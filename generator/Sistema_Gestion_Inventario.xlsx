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Traslados" sheetId="5" r:id="rId5"/>
    <sheet name="Ajustes" sheetId="6" r:id="rId6"/>
    <sheet name="Inventario" sheetId="7" r:id="rId7"/>
    <sheet name="Clientes" sheetId="8" r:id="rId8"/>
    <sheet name="Factura" sheetId="9" r:id="rId9"/>
    <sheet name="Catálogo Venta" sheetId="10" r:id="rId10"/>
    <sheet name="Config" sheetId="11" r:id="rId11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SUMIFS('Ventas'!$K:$K,'Ventas'!$A:$A,"&gt;="&amp;EOMONTH(TODAY(),-1)+1,'Ventas'!$A:$A,"&lt;="&amp;EOMONTH(TODAY(),0))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SUMIFS('Ventas'!$K:$K,'Ventas'!$A:$A,"&gt;="&amp;DATE(YEAR(EOMONTH(TODAY(),-5)),MONTH(EOMONTH(TODAY(),-5)),1),'Ventas'!$A:$A,"&lt;="&amp;EOMONTH(TODAY(),-5))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SUMIFS('Ventas'!$K:$K,'Ventas'!$A:$A,"&gt;="&amp;DATE(YEAR(EOMONTH(TODAY(),-4)),MONTH(EOMONTH(TODAY(),-4)),1),'Ventas'!$A:$A,"&lt;="&amp;EOMONTH(TODAY(),-4))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SUMIFS('Ventas'!$K:$K,'Ventas'!$A:$A,"&gt;="&amp;DATE(YEAR(EOMONTH(TODAY(),-3)),MONTH(EOMONTH(TODAY(),-3)),1),'Ventas'!$A:$A,"&lt;="&amp;EOMONTH(TODAY(),-3))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SUMIFS('Ventas'!$K:$K,'Ventas'!$A:$A,"&gt;="&amp;DATE(YEAR(EOMONTH(TODAY(),-2)),MONTH(EOMONTH(TODAY(),-2)),1),'Ventas'!$A:$A,"&lt;="&amp;EOMONTH(TODAY(),-2))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SUMIFS('Ventas'!$K:$K,'Ventas'!$A:$A,"&gt;="&amp;DATE(YEAR(EOMONTH(TODAY(),-1)),MONTH(EOMONTH(TODAY(),-1)),1),'Ventas'!$A:$A,"&lt;="&amp;EOMONTH(TODAY(),-1))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SUMIFS('Ventas'!$K:$K,'Ventas'!$A:$A,"&gt;="&amp;DATE(YEAR(EOMONTH(TODAY(),0)),MONTH(EOMONTH(TODAY(),0)),1),'Ventas'!$A:$A,"&lt;="&amp;EOMONTH(TODAY(),0))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4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IF($A2="","",IFERROR(VLOOKUP($C2,'Config'!$D$2:$E$8,2,FALSE),0))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IF(OR($A2="",$D2&lt;&gt;"Activo"),"",COUNTIFS($C$2:$C2,$C2,$D$2:$D2,"Activo"))</f>
      </c>
      <c r="Q2" s="19">
        <f>IF($P2="","",$C2&amp;"|"&amp;$P2)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IF($A3="","",IFERROR(VLOOKUP($C3,'Config'!$D$2:$E$8,2,FALSE),0))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IF(OR($A3="",$D3&lt;&gt;"Activo"),"",COUNTIFS($C$2:$C3,$C3,$D$2:$D3,"Activo"))</f>
      </c>
      <c r="Q3" s="19">
        <f>IF($P3="","",$C3&amp;"|"&amp;$P3)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IF($A4="","",IFERROR(VLOOKUP($C4,'Config'!$D$2:$E$8,2,FALSE),0))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IF(OR($A4="",$D4&lt;&gt;"Activo"),"",COUNTIFS($C$2:$C4,$C4,$D$2:$D4,"Activo"))</f>
      </c>
      <c r="Q4" s="19">
        <f>IF($P4="","",$C4&amp;"|"&amp;$P4)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IF($A5="","",IFERROR(VLOOKUP($C5,'Config'!$D$2:$E$8,2,FALSE),0))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IF(OR($A5="",$D5&lt;&gt;"Activo"),"",COUNTIFS($C$2:$C5,$C5,$D$2:$D5,"Activo"))</f>
      </c>
      <c r="Q5" s="19">
        <f>IF($P5="","",$C5&amp;"|"&amp;$P5)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IF($A6="","",IFERROR(VLOOKUP($C6,'Config'!$D$2:$E$8,2,FALSE),0))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IF(OR($A6="",$D6&lt;&gt;"Activo"),"",COUNTIFS($C$2:$C6,$C6,$D$2:$D6,"Activo"))</f>
      </c>
      <c r="Q6" s="19">
        <f>IF($P6="","",$C6&amp;"|"&amp;$P6)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IF($A7="","",IFERROR(VLOOKUP($C7,'Config'!$D$2:$E$8,2,FALSE),0))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IF(OR($A7="",$D7&lt;&gt;"Activo"),"",COUNTIFS($C$2:$C7,$C7,$D$2:$D7,"Activo"))</f>
      </c>
      <c r="Q7" s="19">
        <f>IF($P7="","",$C7&amp;"|"&amp;$P7)</f>
      </c>
    </row>
    <row r="8">
      <c r="A8" s="20"/>
      <c r="B8" s="20"/>
      <c r="C8" s="20"/>
      <c r="D8" s="20"/>
      <c r="E8" s="21"/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IF($A8="","",IFERROR(VLOOKUP($C8,'Config'!$D$2:$E$8,2,FALSE),0))</f>
      </c>
      <c r="M8" s="20"/>
      <c r="N8" s="22"/>
      <c r="O8" s="22"/>
      <c r="P8" s="17">
        <f>IF(OR($A8="",$D8&lt;&gt;"Activo"),"",COUNTIFS($C$2:$C8,$C8,$D$2:$D8,"Activo"))</f>
      </c>
      <c r="Q8" s="19">
        <f>IF($P8="","",$C8&amp;"|"&amp;$P8)</f>
      </c>
    </row>
    <row r="9">
      <c r="A9" s="20"/>
      <c r="B9" s="20"/>
      <c r="C9" s="20"/>
      <c r="D9" s="20"/>
      <c r="E9" s="21"/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IF($A9="","",IFERROR(VLOOKUP($C9,'Config'!$D$2:$E$8,2,FALSE),0))</f>
      </c>
      <c r="M9" s="20"/>
      <c r="N9" s="22"/>
      <c r="O9" s="22"/>
      <c r="P9" s="17">
        <f>IF(OR($A9="",$D9&lt;&gt;"Activo"),"",COUNTIFS($C$2:$C9,$C9,$D$2:$D9,"Activo"))</f>
      </c>
      <c r="Q9" s="19">
        <f>IF($P9="","",$C9&amp;"|"&amp;$P9)</f>
      </c>
    </row>
    <row r="10">
      <c r="A10" s="20"/>
      <c r="B10" s="20"/>
      <c r="C10" s="20"/>
      <c r="D10" s="20"/>
      <c r="E10" s="21"/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IF($A10="","",IFERROR(VLOOKUP($C10,'Config'!$D$2:$E$8,2,FALSE),0))</f>
      </c>
      <c r="M10" s="20"/>
      <c r="N10" s="22"/>
      <c r="O10" s="22"/>
      <c r="P10" s="17">
        <f>IF(OR($A10="",$D10&lt;&gt;"Activo"),"",COUNTIFS($C$2:$C10,$C10,$D$2:$D10,"Activo"))</f>
      </c>
      <c r="Q10" s="19">
        <f>IF($P10="","",$C10&amp;"|"&amp;$P10)</f>
      </c>
    </row>
    <row r="11">
      <c r="A11" s="20"/>
      <c r="B11" s="20"/>
      <c r="C11" s="20"/>
      <c r="D11" s="20"/>
      <c r="E11" s="21"/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IF($A11="","",IFERROR(VLOOKUP($C11,'Config'!$D$2:$E$8,2,FALSE),0))</f>
      </c>
      <c r="M11" s="20"/>
      <c r="N11" s="22"/>
      <c r="O11" s="22"/>
      <c r="P11" s="17">
        <f>IF(OR($A11="",$D11&lt;&gt;"Activo"),"",COUNTIFS($C$2:$C11,$C11,$D$2:$D11,"Activo"))</f>
      </c>
      <c r="Q11" s="19">
        <f>IF($P11="","",$C11&amp;"|"&amp;$P11)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IF($A12="","",IFERROR(VLOOKUP($C12,'Config'!$D$2:$E$8,2,FALSE),0))</f>
      </c>
      <c r="M12" s="20"/>
      <c r="N12" s="22"/>
      <c r="O12" s="22"/>
      <c r="P12" s="17">
        <f>IF(OR($A12="",$D12&lt;&gt;"Activo"),"",COUNTIFS($C$2:$C12,$C12,$D$2:$D12,"Activo"))</f>
      </c>
      <c r="Q12" s="19">
        <f>IF($P12="","",$C12&amp;"|"&amp;$P12)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IF($A13="","",IFERROR(VLOOKUP($C13,'Config'!$D$2:$E$8,2,FALSE),0))</f>
      </c>
      <c r="M13" s="20"/>
      <c r="N13" s="22"/>
      <c r="O13" s="22"/>
      <c r="P13" s="17">
        <f>IF(OR($A13="",$D13&lt;&gt;"Activo"),"",COUNTIFS($C$2:$C13,$C13,$D$2:$D13,"Activo"))</f>
      </c>
      <c r="Q13" s="19">
        <f>IF($P13="","",$C13&amp;"|"&amp;$P13)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IF($A14="","",IFERROR(VLOOKUP($C14,'Config'!$D$2:$E$8,2,FALSE),0))</f>
      </c>
      <c r="M14" s="20"/>
      <c r="N14" s="22"/>
      <c r="O14" s="22"/>
      <c r="P14" s="17">
        <f>IF(OR($A14="",$D14&lt;&gt;"Activo"),"",COUNTIFS($C$2:$C14,$C14,$D$2:$D14,"Activo"))</f>
      </c>
      <c r="Q14" s="19">
        <f>IF($P14="","",$C14&amp;"|"&amp;$P14)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IF($A15="","",IFERROR(VLOOKUP($C15,'Config'!$D$2:$E$8,2,FALSE),0))</f>
      </c>
      <c r="M15" s="20"/>
      <c r="N15" s="22"/>
      <c r="O15" s="22"/>
      <c r="P15" s="17">
        <f>IF(OR($A15="",$D15&lt;&gt;"Activo"),"",COUNTIFS($C$2:$C15,$C15,$D$2:$D15,"Activo"))</f>
      </c>
      <c r="Q15" s="19">
        <f>IF($P15="","",$C15&amp;"|"&amp;$P15)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IF($A16="","",IFERROR(VLOOKUP($C16,'Config'!$D$2:$E$8,2,FALSE),0))</f>
      </c>
      <c r="M16" s="20"/>
      <c r="N16" s="22"/>
      <c r="O16" s="22"/>
      <c r="P16" s="17">
        <f>IF(OR($A16="",$D16&lt;&gt;"Activo"),"",COUNTIFS($C$2:$C16,$C16,$D$2:$D16,"Activo"))</f>
      </c>
      <c r="Q16" s="19">
        <f>IF($P16="","",$C16&amp;"|"&amp;$P16)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IF($A17="","",IFERROR(VLOOKUP($C17,'Config'!$D$2:$E$8,2,FALSE),0))</f>
      </c>
      <c r="M17" s="20"/>
      <c r="N17" s="22"/>
      <c r="O17" s="22"/>
      <c r="P17" s="17">
        <f>IF(OR($A17="",$D17&lt;&gt;"Activo"),"",COUNTIFS($C$2:$C17,$C17,$D$2:$D17,"Activo"))</f>
      </c>
      <c r="Q17" s="19">
        <f>IF($P17="","",$C17&amp;"|"&amp;$P17)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IF($A18="","",IFERROR(VLOOKUP($C18,'Config'!$D$2:$E$8,2,FALSE),0))</f>
      </c>
      <c r="M18" s="20"/>
      <c r="N18" s="22"/>
      <c r="O18" s="22"/>
      <c r="P18" s="17">
        <f>IF(OR($A18="",$D18&lt;&gt;"Activo"),"",COUNTIFS($C$2:$C18,$C18,$D$2:$D18,"Activo"))</f>
      </c>
      <c r="Q18" s="19">
        <f>IF($P18="","",$C18&amp;"|"&amp;$P18)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IF($A19="","",IFERROR(VLOOKUP($C19,'Config'!$D$2:$E$8,2,FALSE),0))</f>
      </c>
      <c r="M19" s="20"/>
      <c r="N19" s="22"/>
      <c r="O19" s="22"/>
      <c r="P19" s="17">
        <f>IF(OR($A19="",$D19&lt;&gt;"Activo"),"",COUNTIFS($C$2:$C19,$C19,$D$2:$D19,"Activo"))</f>
      </c>
      <c r="Q19" s="19">
        <f>IF($P19="","",$C19&amp;"|"&amp;$P19)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IF($A20="","",IFERROR(VLOOKUP($C20,'Config'!$D$2:$E$8,2,FALSE),0))</f>
      </c>
      <c r="M20" s="20"/>
      <c r="N20" s="22"/>
      <c r="O20" s="22"/>
      <c r="P20" s="17">
        <f>IF(OR($A20="",$D20&lt;&gt;"Activo"),"",COUNTIFS($C$2:$C20,$C20,$D$2:$D20,"Activo"))</f>
      </c>
      <c r="Q20" s="19">
        <f>IF($P20="","",$C20&amp;"|"&amp;$P20)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IF($A21="","",IFERROR(VLOOKUP($C21,'Config'!$D$2:$E$8,2,FALSE),0))</f>
      </c>
      <c r="M21" s="20"/>
      <c r="N21" s="22"/>
      <c r="O21" s="22"/>
      <c r="P21" s="17">
        <f>IF(OR($A21="",$D21&lt;&gt;"Activo"),"",COUNTIFS($C$2:$C21,$C21,$D$2:$D21,"Activo"))</f>
      </c>
      <c r="Q21" s="19">
        <f>IF($P21="","",$C21&amp;"|"&amp;$P21)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IF($A22="","",IFERROR(VLOOKUP($C22,'Config'!$D$2:$E$8,2,FALSE),0))</f>
      </c>
      <c r="M22" s="20"/>
      <c r="N22" s="22"/>
      <c r="O22" s="22"/>
      <c r="P22" s="17">
        <f>IF(OR($A22="",$D22&lt;&gt;"Activo"),"",COUNTIFS($C$2:$C22,$C22,$D$2:$D22,"Activo"))</f>
      </c>
      <c r="Q22" s="19">
        <f>IF($P22="","",$C22&amp;"|"&amp;$P22)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IF($A23="","",IFERROR(VLOOKUP($C23,'Config'!$D$2:$E$8,2,FALSE),0))</f>
      </c>
      <c r="M23" s="20"/>
      <c r="N23" s="22"/>
      <c r="O23" s="22"/>
      <c r="P23" s="17">
        <f>IF(OR($A23="",$D23&lt;&gt;"Activo"),"",COUNTIFS($C$2:$C23,$C23,$D$2:$D23,"Activo"))</f>
      </c>
      <c r="Q23" s="19">
        <f>IF($P23="","",$C23&amp;"|"&amp;$P23)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IF($A24="","",IFERROR(VLOOKUP($C24,'Config'!$D$2:$E$8,2,FALSE),0))</f>
      </c>
      <c r="M24" s="20"/>
      <c r="N24" s="22"/>
      <c r="O24" s="22"/>
      <c r="P24" s="17">
        <f>IF(OR($A24="",$D24&lt;&gt;"Activo"),"",COUNTIFS($C$2:$C24,$C24,$D$2:$D24,"Activo"))</f>
      </c>
      <c r="Q24" s="19">
        <f>IF($P24="","",$C24&amp;"|"&amp;$P24)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IF($A25="","",IFERROR(VLOOKUP($C25,'Config'!$D$2:$E$8,2,FALSE),0))</f>
      </c>
      <c r="M25" s="20"/>
      <c r="N25" s="22"/>
      <c r="O25" s="22"/>
      <c r="P25" s="17">
        <f>IF(OR($A25="",$D25&lt;&gt;"Activo"),"",COUNTIFS($C$2:$C25,$C25,$D$2:$D25,"Activo"))</f>
      </c>
      <c r="Q25" s="19">
        <f>IF($P25="","",$C25&amp;"|"&amp;$P25)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IF($A26="","",IFERROR(VLOOKUP($C26,'Config'!$D$2:$E$8,2,FALSE),0))</f>
      </c>
      <c r="M26" s="20"/>
      <c r="N26" s="22"/>
      <c r="O26" s="22"/>
      <c r="P26" s="17">
        <f>IF(OR($A26="",$D26&lt;&gt;"Activo"),"",COUNTIFS($C$2:$C26,$C26,$D$2:$D26,"Activo"))</f>
      </c>
      <c r="Q26" s="19">
        <f>IF($P26="","",$C26&amp;"|"&amp;$P26)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IF($A27="","",IFERROR(VLOOKUP($C27,'Config'!$D$2:$E$8,2,FALSE),0))</f>
      </c>
      <c r="M27" s="20"/>
      <c r="N27" s="22"/>
      <c r="O27" s="22"/>
      <c r="P27" s="17">
        <f>IF(OR($A27="",$D27&lt;&gt;"Activo"),"",COUNTIFS($C$2:$C27,$C27,$D$2:$D27,"Activo"))</f>
      </c>
      <c r="Q27" s="19">
        <f>IF($P27="","",$C27&amp;"|"&amp;$P27)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IF($A28="","",IFERROR(VLOOKUP($C28,'Config'!$D$2:$E$8,2,FALSE),0))</f>
      </c>
      <c r="M28" s="20"/>
      <c r="N28" s="22"/>
      <c r="O28" s="22"/>
      <c r="P28" s="17">
        <f>IF(OR($A28="",$D28&lt;&gt;"Activo"),"",COUNTIFS($C$2:$C28,$C28,$D$2:$D28,"Activo"))</f>
      </c>
      <c r="Q28" s="19">
        <f>IF($P28="","",$C28&amp;"|"&amp;$P28)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IF($A29="","",IFERROR(VLOOKUP($C29,'Config'!$D$2:$E$8,2,FALSE),0))</f>
      </c>
      <c r="M29" s="20"/>
      <c r="N29" s="22"/>
      <c r="O29" s="22"/>
      <c r="P29" s="17">
        <f>IF(OR($A29="",$D29&lt;&gt;"Activo"),"",COUNTIFS($C$2:$C29,$C29,$D$2:$D29,"Activo"))</f>
      </c>
      <c r="Q29" s="19">
        <f>IF($P29="","",$C29&amp;"|"&amp;$P29)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IF($A30="","",IFERROR(VLOOKUP($C30,'Config'!$D$2:$E$8,2,FALSE),0))</f>
      </c>
      <c r="M30" s="20"/>
      <c r="N30" s="22"/>
      <c r="O30" s="22"/>
      <c r="P30" s="17">
        <f>IF(OR($A30="",$D30&lt;&gt;"Activo"),"",COUNTIFS($C$2:$C30,$C30,$D$2:$D30,"Activo"))</f>
      </c>
      <c r="Q30" s="19">
        <f>IF($P30="","",$C30&amp;"|"&amp;$P30)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IF($A31="","",IFERROR(VLOOKUP($C31,'Config'!$D$2:$E$8,2,FALSE),0))</f>
      </c>
      <c r="M31" s="20"/>
      <c r="N31" s="22"/>
      <c r="O31" s="22"/>
      <c r="P31" s="17">
        <f>IF(OR($A31="",$D31&lt;&gt;"Activo"),"",COUNTIFS($C$2:$C31,$C31,$D$2:$D31,"Activo"))</f>
      </c>
      <c r="Q31" s="19">
        <f>IF($P31="","",$C31&amp;"|"&amp;$P31)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IF($A32="","",IFERROR(VLOOKUP($C32,'Config'!$D$2:$E$8,2,FALSE),0))</f>
      </c>
      <c r="M32" s="20"/>
      <c r="N32" s="22"/>
      <c r="O32" s="22"/>
      <c r="P32" s="17">
        <f>IF(OR($A32="",$D32&lt;&gt;"Activo"),"",COUNTIFS($C$2:$C32,$C32,$D$2:$D32,"Activo"))</f>
      </c>
      <c r="Q32" s="19">
        <f>IF($P32="","",$C32&amp;"|"&amp;$P32)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IF($A33="","",IFERROR(VLOOKUP($C33,'Config'!$D$2:$E$8,2,FALSE),0))</f>
      </c>
      <c r="M33" s="20"/>
      <c r="N33" s="22"/>
      <c r="O33" s="22"/>
      <c r="P33" s="17">
        <f>IF(OR($A33="",$D33&lt;&gt;"Activo"),"",COUNTIFS($C$2:$C33,$C33,$D$2:$D33,"Activo"))</f>
      </c>
      <c r="Q33" s="19">
        <f>IF($P33="","",$C33&amp;"|"&amp;$P33)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IF($A34="","",IFERROR(VLOOKUP($C34,'Config'!$D$2:$E$8,2,FALSE),0))</f>
      </c>
      <c r="M34" s="20"/>
      <c r="N34" s="22"/>
      <c r="O34" s="22"/>
      <c r="P34" s="17">
        <f>IF(OR($A34="",$D34&lt;&gt;"Activo"),"",COUNTIFS($C$2:$C34,$C34,$D$2:$D34,"Activo"))</f>
      </c>
      <c r="Q34" s="19">
        <f>IF($P34="","",$C34&amp;"|"&amp;$P34)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IF($A35="","",IFERROR(VLOOKUP($C35,'Config'!$D$2:$E$8,2,FALSE),0))</f>
      </c>
      <c r="M35" s="20"/>
      <c r="N35" s="22"/>
      <c r="O35" s="22"/>
      <c r="P35" s="17">
        <f>IF(OR($A35="",$D35&lt;&gt;"Activo"),"",COUNTIFS($C$2:$C35,$C35,$D$2:$D35,"Activo"))</f>
      </c>
      <c r="Q35" s="19">
        <f>IF($P35="","",$C35&amp;"|"&amp;$P35)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IF($A36="","",IFERROR(VLOOKUP($C36,'Config'!$D$2:$E$8,2,FALSE),0))</f>
      </c>
      <c r="M36" s="20"/>
      <c r="N36" s="22"/>
      <c r="O36" s="22"/>
      <c r="P36" s="17">
        <f>IF(OR($A36="",$D36&lt;&gt;"Activo"),"",COUNTIFS($C$2:$C36,$C36,$D$2:$D36,"Activo"))</f>
      </c>
      <c r="Q36" s="19">
        <f>IF($P36="","",$C36&amp;"|"&amp;$P36)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IF($A37="","",IFERROR(VLOOKUP($C37,'Config'!$D$2:$E$8,2,FALSE),0))</f>
      </c>
      <c r="M37" s="20"/>
      <c r="N37" s="22"/>
      <c r="O37" s="22"/>
      <c r="P37" s="17">
        <f>IF(OR($A37="",$D37&lt;&gt;"Activo"),"",COUNTIFS($C$2:$C37,$C37,$D$2:$D37,"Activo"))</f>
      </c>
      <c r="Q37" s="19">
        <f>IF($P37="","",$C37&amp;"|"&amp;$P37)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IF($A38="","",IFERROR(VLOOKUP($C38,'Config'!$D$2:$E$8,2,FALSE),0))</f>
      </c>
      <c r="M38" s="20"/>
      <c r="N38" s="22"/>
      <c r="O38" s="22"/>
      <c r="P38" s="17">
        <f>IF(OR($A38="",$D38&lt;&gt;"Activo"),"",COUNTIFS($C$2:$C38,$C38,$D$2:$D38,"Activo"))</f>
      </c>
      <c r="Q38" s="19">
        <f>IF($P38="","",$C38&amp;"|"&amp;$P38)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IF($A39="","",IFERROR(VLOOKUP($C39,'Config'!$D$2:$E$8,2,FALSE),0))</f>
      </c>
      <c r="M39" s="20"/>
      <c r="N39" s="22"/>
      <c r="O39" s="22"/>
      <c r="P39" s="17">
        <f>IF(OR($A39="",$D39&lt;&gt;"Activo"),"",COUNTIFS($C$2:$C39,$C39,$D$2:$D39,"Activo"))</f>
      </c>
      <c r="Q39" s="19">
        <f>IF($P39="","",$C39&amp;"|"&amp;$P39)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IF($A40="","",IFERROR(VLOOKUP($C40,'Config'!$D$2:$E$8,2,FALSE),0))</f>
      </c>
      <c r="M40" s="20"/>
      <c r="N40" s="22"/>
      <c r="O40" s="22"/>
      <c r="P40" s="17">
        <f>IF(OR($A40="",$D40&lt;&gt;"Activo"),"",COUNTIFS($C$2:$C40,$C40,$D$2:$D40,"Activo"))</f>
      </c>
      <c r="Q40" s="19">
        <f>IF($P40="","",$C40&amp;"|"&amp;$P40)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IF($A41="","",IFERROR(VLOOKUP($C41,'Config'!$D$2:$E$8,2,FALSE),0))</f>
      </c>
      <c r="M41" s="20"/>
      <c r="N41" s="22"/>
      <c r="O41" s="22"/>
      <c r="P41" s="17">
        <f>IF(OR($A41="",$D41&lt;&gt;"Activo"),"",COUNTIFS($C$2:$C41,$C41,$D$2:$D41,"Activo"))</f>
      </c>
      <c r="Q41" s="19">
        <f>IF($P41="","",$C41&amp;"|"&amp;$P41)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IF($A42="","",IFERROR(VLOOKUP($C42,'Config'!$D$2:$E$8,2,FALSE),0))</f>
      </c>
      <c r="M42" s="20"/>
      <c r="N42" s="22"/>
      <c r="O42" s="22"/>
      <c r="P42" s="17">
        <f>IF(OR($A42="",$D42&lt;&gt;"Activo"),"",COUNTIFS($C$2:$C42,$C42,$D$2:$D42,"Activo"))</f>
      </c>
      <c r="Q42" s="19">
        <f>IF($P42="","",$C42&amp;"|"&amp;$P42)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IF($A43="","",IFERROR(VLOOKUP($C43,'Config'!$D$2:$E$8,2,FALSE),0))</f>
      </c>
      <c r="M43" s="20"/>
      <c r="N43" s="22"/>
      <c r="O43" s="22"/>
      <c r="P43" s="17">
        <f>IF(OR($A43="",$D43&lt;&gt;"Activo"),"",COUNTIFS($C$2:$C43,$C43,$D$2:$D43,"Activo"))</f>
      </c>
      <c r="Q43" s="19">
        <f>IF($P43="","",$C43&amp;"|"&amp;$P43)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IF($A44="","",IFERROR(VLOOKUP($C44,'Config'!$D$2:$E$8,2,FALSE),0))</f>
      </c>
      <c r="M44" s="20"/>
      <c r="N44" s="22"/>
      <c r="O44" s="22"/>
      <c r="P44" s="17">
        <f>IF(OR($A44="",$D44&lt;&gt;"Activo"),"",COUNTIFS($C$2:$C44,$C44,$D$2:$D44,"Activo"))</f>
      </c>
      <c r="Q44" s="19">
        <f>IF($P44="","",$C44&amp;"|"&amp;$P44)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IF($A45="","",IFERROR(VLOOKUP($C45,'Config'!$D$2:$E$8,2,FALSE),0))</f>
      </c>
      <c r="M45" s="20"/>
      <c r="N45" s="22"/>
      <c r="O45" s="22"/>
      <c r="P45" s="17">
        <f>IF(OR($A45="",$D45&lt;&gt;"Activo"),"",COUNTIFS($C$2:$C45,$C45,$D$2:$D45,"Activo"))</f>
      </c>
      <c r="Q45" s="19">
        <f>IF($P45="","",$C45&amp;"|"&amp;$P45)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IF($A46="","",IFERROR(VLOOKUP($C46,'Config'!$D$2:$E$8,2,FALSE),0))</f>
      </c>
      <c r="M46" s="20"/>
      <c r="N46" s="22"/>
      <c r="O46" s="22"/>
      <c r="P46" s="17">
        <f>IF(OR($A46="",$D46&lt;&gt;"Activo"),"",COUNTIFS($C$2:$C46,$C46,$D$2:$D46,"Activo"))</f>
      </c>
      <c r="Q46" s="19">
        <f>IF($P46="","",$C46&amp;"|"&amp;$P46)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IF($A47="","",IFERROR(VLOOKUP($C47,'Config'!$D$2:$E$8,2,FALSE),0))</f>
      </c>
      <c r="M47" s="20"/>
      <c r="N47" s="22"/>
      <c r="O47" s="22"/>
      <c r="P47" s="17">
        <f>IF(OR($A47="",$D47&lt;&gt;"Activo"),"",COUNTIFS($C$2:$C47,$C47,$D$2:$D47,"Activo"))</f>
      </c>
      <c r="Q47" s="19">
        <f>IF($P47="","",$C47&amp;"|"&amp;$P47)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IF($A48="","",IFERROR(VLOOKUP($C48,'Config'!$D$2:$E$8,2,FALSE),0))</f>
      </c>
      <c r="M48" s="20"/>
      <c r="N48" s="22"/>
      <c r="O48" s="22"/>
      <c r="P48" s="17">
        <f>IF(OR($A48="",$D48&lt;&gt;"Activo"),"",COUNTIFS($C$2:$C48,$C48,$D$2:$D48,"Activo"))</f>
      </c>
      <c r="Q48" s="19">
        <f>IF($P48="","",$C48&amp;"|"&amp;$P48)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IF($A49="","",IFERROR(VLOOKUP($C49,'Config'!$D$2:$E$8,2,FALSE),0))</f>
      </c>
      <c r="M49" s="20"/>
      <c r="N49" s="22"/>
      <c r="O49" s="22"/>
      <c r="P49" s="17">
        <f>IF(OR($A49="",$D49&lt;&gt;"Activo"),"",COUNTIFS($C$2:$C49,$C49,$D$2:$D49,"Activo"))</f>
      </c>
      <c r="Q49" s="19">
        <f>IF($P49="","",$C49&amp;"|"&amp;$P49)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IF($A50="","",IFERROR(VLOOKUP($C50,'Config'!$D$2:$E$8,2,FALSE),0))</f>
      </c>
      <c r="M50" s="20"/>
      <c r="N50" s="22"/>
      <c r="O50" s="22"/>
      <c r="P50" s="17">
        <f>IF(OR($A50="",$D50&lt;&gt;"Activo"),"",COUNTIFS($C$2:$C50,$C50,$D$2:$D50,"Activo"))</f>
      </c>
      <c r="Q50" s="19">
        <f>IF($P50="","",$C50&amp;"|"&amp;$P50)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IF($A51="","",IFERROR(VLOOKUP($C51,'Config'!$D$2:$E$8,2,FALSE),0))</f>
      </c>
      <c r="M51" s="20"/>
      <c r="N51" s="22"/>
      <c r="O51" s="22"/>
      <c r="P51" s="17">
        <f>IF(OR($A51="",$D51&lt;&gt;"Activo"),"",COUNTIFS($C$2:$C51,$C51,$D$2:$D51,"Activo"))</f>
      </c>
      <c r="Q51" s="19">
        <f>IF($P51="","",$C51&amp;"|"&amp;$P51)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IF($A52="","",IFERROR(VLOOKUP($C52,'Config'!$D$2:$E$8,2,FALSE),0))</f>
      </c>
      <c r="M52" s="20"/>
      <c r="N52" s="22"/>
      <c r="O52" s="22"/>
      <c r="P52" s="17">
        <f>IF(OR($A52="",$D52&lt;&gt;"Activo"),"",COUNTIFS($C$2:$C52,$C52,$D$2:$D52,"Activo"))</f>
      </c>
      <c r="Q52" s="19">
        <f>IF($P52="","",$C52&amp;"|"&amp;$P52)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IF($A53="","",IFERROR(VLOOKUP($C53,'Config'!$D$2:$E$8,2,FALSE),0))</f>
      </c>
      <c r="M53" s="20"/>
      <c r="N53" s="22"/>
      <c r="O53" s="22"/>
      <c r="P53" s="17">
        <f>IF(OR($A53="",$D53&lt;&gt;"Activo"),"",COUNTIFS($C$2:$C53,$C53,$D$2:$D53,"Activo"))</f>
      </c>
      <c r="Q53" s="19">
        <f>IF($P53="","",$C53&amp;"|"&amp;$P53)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IF($A54="","",IFERROR(VLOOKUP($C54,'Config'!$D$2:$E$8,2,FALSE),0))</f>
      </c>
      <c r="M54" s="20"/>
      <c r="N54" s="22"/>
      <c r="O54" s="22"/>
      <c r="P54" s="17">
        <f>IF(OR($A54="",$D54&lt;&gt;"Activo"),"",COUNTIFS($C$2:$C54,$C54,$D$2:$D54,"Activo"))</f>
      </c>
      <c r="Q54" s="19">
        <f>IF($P54="","",$C54&amp;"|"&amp;$P54)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IF($A55="","",IFERROR(VLOOKUP($C55,'Config'!$D$2:$E$8,2,FALSE),0))</f>
      </c>
      <c r="M55" s="20"/>
      <c r="N55" s="22"/>
      <c r="O55" s="22"/>
      <c r="P55" s="17">
        <f>IF(OR($A55="",$D55&lt;&gt;"Activo"),"",COUNTIFS($C$2:$C55,$C55,$D$2:$D55,"Activo"))</f>
      </c>
      <c r="Q55" s="19">
        <f>IF($P55="","",$C55&amp;"|"&amp;$P55)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IF($A56="","",IFERROR(VLOOKUP($C56,'Config'!$D$2:$E$8,2,FALSE),0))</f>
      </c>
      <c r="M56" s="20"/>
      <c r="N56" s="22"/>
      <c r="O56" s="22"/>
      <c r="P56" s="17">
        <f>IF(OR($A56="",$D56&lt;&gt;"Activo"),"",COUNTIFS($C$2:$C56,$C56,$D$2:$D56,"Activo"))</f>
      </c>
      <c r="Q56" s="19">
        <f>IF($P56="","",$C56&amp;"|"&amp;$P56)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IF($A57="","",IFERROR(VLOOKUP($C57,'Config'!$D$2:$E$8,2,FALSE),0))</f>
      </c>
      <c r="M57" s="20"/>
      <c r="N57" s="22"/>
      <c r="O57" s="22"/>
      <c r="P57" s="17">
        <f>IF(OR($A57="",$D57&lt;&gt;"Activo"),"",COUNTIFS($C$2:$C57,$C57,$D$2:$D57,"Activo"))</f>
      </c>
      <c r="Q57" s="19">
        <f>IF($P57="","",$C57&amp;"|"&amp;$P57)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IF($A58="","",IFERROR(VLOOKUP($C58,'Config'!$D$2:$E$8,2,FALSE),0))</f>
      </c>
      <c r="M58" s="20"/>
      <c r="N58" s="22"/>
      <c r="O58" s="22"/>
      <c r="P58" s="17">
        <f>IF(OR($A58="",$D58&lt;&gt;"Activo"),"",COUNTIFS($C$2:$C58,$C58,$D$2:$D58,"Activo"))</f>
      </c>
      <c r="Q58" s="19">
        <f>IF($P58="","",$C58&amp;"|"&amp;$P58)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IF($A59="","",IFERROR(VLOOKUP($C59,'Config'!$D$2:$E$8,2,FALSE),0))</f>
      </c>
      <c r="M59" s="20"/>
      <c r="N59" s="22"/>
      <c r="O59" s="22"/>
      <c r="P59" s="17">
        <f>IF(OR($A59="",$D59&lt;&gt;"Activo"),"",COUNTIFS($C$2:$C59,$C59,$D$2:$D59,"Activo"))</f>
      </c>
      <c r="Q59" s="19">
        <f>IF($P59="","",$C59&amp;"|"&amp;$P59)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IF($A60="","",IFERROR(VLOOKUP($C60,'Config'!$D$2:$E$8,2,FALSE),0))</f>
      </c>
      <c r="M60" s="20"/>
      <c r="N60" s="22"/>
      <c r="O60" s="22"/>
      <c r="P60" s="17">
        <f>IF(OR($A60="",$D60&lt;&gt;"Activo"),"",COUNTIFS($C$2:$C60,$C60,$D$2:$D60,"Activo"))</f>
      </c>
      <c r="Q60" s="19">
        <f>IF($P60="","",$C60&amp;"|"&amp;$P60)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IF($A61="","",IFERROR(VLOOKUP($C61,'Config'!$D$2:$E$8,2,FALSE),0))</f>
      </c>
      <c r="M61" s="20"/>
      <c r="N61" s="22"/>
      <c r="O61" s="22"/>
      <c r="P61" s="17">
        <f>IF(OR($A61="",$D61&lt;&gt;"Activo"),"",COUNTIFS($C$2:$C61,$C61,$D$2:$D61,"Activo"))</f>
      </c>
      <c r="Q61" s="19">
        <f>IF($P61="","",$C61&amp;"|"&amp;$P61)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IF($A62="","",IFERROR(VLOOKUP($C62,'Config'!$D$2:$E$8,2,FALSE),0))</f>
      </c>
      <c r="M62" s="20"/>
      <c r="N62" s="22"/>
      <c r="O62" s="22"/>
      <c r="P62" s="17">
        <f>IF(OR($A62="",$D62&lt;&gt;"Activo"),"",COUNTIFS($C$2:$C62,$C62,$D$2:$D62,"Activo"))</f>
      </c>
      <c r="Q62" s="19">
        <f>IF($P62="","",$C62&amp;"|"&amp;$P62)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IF($A63="","",IFERROR(VLOOKUP($C63,'Config'!$D$2:$E$8,2,FALSE),0))</f>
      </c>
      <c r="M63" s="20"/>
      <c r="N63" s="22"/>
      <c r="O63" s="22"/>
      <c r="P63" s="17">
        <f>IF(OR($A63="",$D63&lt;&gt;"Activo"),"",COUNTIFS($C$2:$C63,$C63,$D$2:$D63,"Activo"))</f>
      </c>
      <c r="Q63" s="19">
        <f>IF($P63="","",$C63&amp;"|"&amp;$P63)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IF($A64="","",IFERROR(VLOOKUP($C64,'Config'!$D$2:$E$8,2,FALSE),0))</f>
      </c>
      <c r="M64" s="20"/>
      <c r="N64" s="22"/>
      <c r="O64" s="22"/>
      <c r="P64" s="17">
        <f>IF(OR($A64="",$D64&lt;&gt;"Activo"),"",COUNTIFS($C$2:$C64,$C64,$D$2:$D64,"Activo"))</f>
      </c>
      <c r="Q64" s="19">
        <f>IF($P64="","",$C64&amp;"|"&amp;$P64)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IF($A65="","",IFERROR(VLOOKUP($C65,'Config'!$D$2:$E$8,2,FALSE),0))</f>
      </c>
      <c r="M65" s="20"/>
      <c r="N65" s="22"/>
      <c r="O65" s="22"/>
      <c r="P65" s="17">
        <f>IF(OR($A65="",$D65&lt;&gt;"Activo"),"",COUNTIFS($C$2:$C65,$C65,$D$2:$D65,"Activo"))</f>
      </c>
      <c r="Q65" s="19">
        <f>IF($P65="","",$C65&amp;"|"&amp;$P65)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IF($A66="","",IFERROR(VLOOKUP($C66,'Config'!$D$2:$E$8,2,FALSE),0))</f>
      </c>
      <c r="M66" s="20"/>
      <c r="N66" s="22"/>
      <c r="O66" s="22"/>
      <c r="P66" s="17">
        <f>IF(OR($A66="",$D66&lt;&gt;"Activo"),"",COUNTIFS($C$2:$C66,$C66,$D$2:$D66,"Activo"))</f>
      </c>
      <c r="Q66" s="19">
        <f>IF($P66="","",$C66&amp;"|"&amp;$P66)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IF($A67="","",IFERROR(VLOOKUP($C67,'Config'!$D$2:$E$8,2,FALSE),0))</f>
      </c>
      <c r="M67" s="20"/>
      <c r="N67" s="22"/>
      <c r="O67" s="22"/>
      <c r="P67" s="17">
        <f>IF(OR($A67="",$D67&lt;&gt;"Activo"),"",COUNTIFS($C$2:$C67,$C67,$D$2:$D67,"Activo"))</f>
      </c>
      <c r="Q67" s="19">
        <f>IF($P67="","",$C67&amp;"|"&amp;$P67)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IF($A68="","",IFERROR(VLOOKUP($C68,'Config'!$D$2:$E$8,2,FALSE),0))</f>
      </c>
      <c r="M68" s="20"/>
      <c r="N68" s="22"/>
      <c r="O68" s="22"/>
      <c r="P68" s="17">
        <f>IF(OR($A68="",$D68&lt;&gt;"Activo"),"",COUNTIFS($C$2:$C68,$C68,$D$2:$D68,"Activo"))</f>
      </c>
      <c r="Q68" s="19">
        <f>IF($P68="","",$C68&amp;"|"&amp;$P68)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IF($A69="","",IFERROR(VLOOKUP($C69,'Config'!$D$2:$E$8,2,FALSE),0))</f>
      </c>
      <c r="M69" s="20"/>
      <c r="N69" s="22"/>
      <c r="O69" s="22"/>
      <c r="P69" s="17">
        <f>IF(OR($A69="",$D69&lt;&gt;"Activo"),"",COUNTIFS($C$2:$C69,$C69,$D$2:$D69,"Activo"))</f>
      </c>
      <c r="Q69" s="19">
        <f>IF($P69="","",$C69&amp;"|"&amp;$P69)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IF($A70="","",IFERROR(VLOOKUP($C70,'Config'!$D$2:$E$8,2,FALSE),0))</f>
      </c>
      <c r="M70" s="20"/>
      <c r="N70" s="22"/>
      <c r="O70" s="22"/>
      <c r="P70" s="17">
        <f>IF(OR($A70="",$D70&lt;&gt;"Activo"),"",COUNTIFS($C$2:$C70,$C70,$D$2:$D70,"Activo"))</f>
      </c>
      <c r="Q70" s="19">
        <f>IF($P70="","",$C70&amp;"|"&amp;$P70)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IF($A71="","",IFERROR(VLOOKUP($C71,'Config'!$D$2:$E$8,2,FALSE),0))</f>
      </c>
      <c r="M71" s="20"/>
      <c r="N71" s="22"/>
      <c r="O71" s="22"/>
      <c r="P71" s="17">
        <f>IF(OR($A71="",$D71&lt;&gt;"Activo"),"",COUNTIFS($C$2:$C71,$C71,$D$2:$D71,"Activo"))</f>
      </c>
      <c r="Q71" s="19">
        <f>IF($P71="","",$C71&amp;"|"&amp;$P71)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IF($A72="","",IFERROR(VLOOKUP($C72,'Config'!$D$2:$E$8,2,FALSE),0))</f>
      </c>
      <c r="M72" s="20"/>
      <c r="N72" s="22"/>
      <c r="O72" s="22"/>
      <c r="P72" s="17">
        <f>IF(OR($A72="",$D72&lt;&gt;"Activo"),"",COUNTIFS($C$2:$C72,$C72,$D$2:$D72,"Activo"))</f>
      </c>
      <c r="Q72" s="19">
        <f>IF($P72="","",$C72&amp;"|"&amp;$P72)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IF($A73="","",IFERROR(VLOOKUP($C73,'Config'!$D$2:$E$8,2,FALSE),0))</f>
      </c>
      <c r="M73" s="20"/>
      <c r="N73" s="22"/>
      <c r="O73" s="22"/>
      <c r="P73" s="17">
        <f>IF(OR($A73="",$D73&lt;&gt;"Activo"),"",COUNTIFS($C$2:$C73,$C73,$D$2:$D73,"Activo"))</f>
      </c>
      <c r="Q73" s="19">
        <f>IF($P73="","",$C73&amp;"|"&amp;$P73)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IF($A74="","",IFERROR(VLOOKUP($C74,'Config'!$D$2:$E$8,2,FALSE),0))</f>
      </c>
      <c r="M74" s="20"/>
      <c r="N74" s="22"/>
      <c r="O74" s="22"/>
      <c r="P74" s="17">
        <f>IF(OR($A74="",$D74&lt;&gt;"Activo"),"",COUNTIFS($C$2:$C74,$C74,$D$2:$D74,"Activo"))</f>
      </c>
      <c r="Q74" s="19">
        <f>IF($P74="","",$C74&amp;"|"&amp;$P74)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IF($A75="","",IFERROR(VLOOKUP($C75,'Config'!$D$2:$E$8,2,FALSE),0))</f>
      </c>
      <c r="M75" s="20"/>
      <c r="N75" s="22"/>
      <c r="O75" s="22"/>
      <c r="P75" s="17">
        <f>IF(OR($A75="",$D75&lt;&gt;"Activo"),"",COUNTIFS($C$2:$C75,$C75,$D$2:$D75,"Activo"))</f>
      </c>
      <c r="Q75" s="19">
        <f>IF($P75="","",$C75&amp;"|"&amp;$P75)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IF($A76="","",IFERROR(VLOOKUP($C76,'Config'!$D$2:$E$8,2,FALSE),0))</f>
      </c>
      <c r="M76" s="20"/>
      <c r="N76" s="22"/>
      <c r="O76" s="22"/>
      <c r="P76" s="17">
        <f>IF(OR($A76="",$D76&lt;&gt;"Activo"),"",COUNTIFS($C$2:$C76,$C76,$D$2:$D76,"Activo"))</f>
      </c>
      <c r="Q76" s="19">
        <f>IF($P76="","",$C76&amp;"|"&amp;$P76)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IF($A77="","",IFERROR(VLOOKUP($C77,'Config'!$D$2:$E$8,2,FALSE),0))</f>
      </c>
      <c r="M77" s="20"/>
      <c r="N77" s="22"/>
      <c r="O77" s="22"/>
      <c r="P77" s="17">
        <f>IF(OR($A77="",$D77&lt;&gt;"Activo"),"",COUNTIFS($C$2:$C77,$C77,$D$2:$D77,"Activo"))</f>
      </c>
      <c r="Q77" s="19">
        <f>IF($P77="","",$C77&amp;"|"&amp;$P77)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IF($A78="","",IFERROR(VLOOKUP($C78,'Config'!$D$2:$E$8,2,FALSE),0))</f>
      </c>
      <c r="M78" s="20"/>
      <c r="N78" s="22"/>
      <c r="O78" s="22"/>
      <c r="P78" s="17">
        <f>IF(OR($A78="",$D78&lt;&gt;"Activo"),"",COUNTIFS($C$2:$C78,$C78,$D$2:$D78,"Activo"))</f>
      </c>
      <c r="Q78" s="19">
        <f>IF($P78="","",$C78&amp;"|"&amp;$P78)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IF($A79="","",IFERROR(VLOOKUP($C79,'Config'!$D$2:$E$8,2,FALSE),0))</f>
      </c>
      <c r="M79" s="20"/>
      <c r="N79" s="22"/>
      <c r="O79" s="22"/>
      <c r="P79" s="17">
        <f>IF(OR($A79="",$D79&lt;&gt;"Activo"),"",COUNTIFS($C$2:$C79,$C79,$D$2:$D79,"Activo"))</f>
      </c>
      <c r="Q79" s="19">
        <f>IF($P79="","",$C79&amp;"|"&amp;$P79)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IF($A80="","",IFERROR(VLOOKUP($C80,'Config'!$D$2:$E$8,2,FALSE),0))</f>
      </c>
      <c r="M80" s="20"/>
      <c r="N80" s="22"/>
      <c r="O80" s="22"/>
      <c r="P80" s="17">
        <f>IF(OR($A80="",$D80&lt;&gt;"Activo"),"",COUNTIFS($C$2:$C80,$C80,$D$2:$D80,"Activo"))</f>
      </c>
      <c r="Q80" s="19">
        <f>IF($P80="","",$C80&amp;"|"&amp;$P80)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IF($A81="","",IFERROR(VLOOKUP($C81,'Config'!$D$2:$E$8,2,FALSE),0))</f>
      </c>
      <c r="M81" s="20"/>
      <c r="N81" s="22"/>
      <c r="O81" s="22"/>
      <c r="P81" s="17">
        <f>IF(OR($A81="",$D81&lt;&gt;"Activo"),"",COUNTIFS($C$2:$C81,$C81,$D$2:$D81,"Activo"))</f>
      </c>
      <c r="Q81" s="19">
        <f>IF($P81="","",$C81&amp;"|"&amp;$P81)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IF($A82="","",IFERROR(VLOOKUP($C82,'Config'!$D$2:$E$8,2,FALSE),0))</f>
      </c>
      <c r="M82" s="20"/>
      <c r="N82" s="22"/>
      <c r="O82" s="22"/>
      <c r="P82" s="17">
        <f>IF(OR($A82="",$D82&lt;&gt;"Activo"),"",COUNTIFS($C$2:$C82,$C82,$D$2:$D82,"Activo"))</f>
      </c>
      <c r="Q82" s="19">
        <f>IF($P82="","",$C82&amp;"|"&amp;$P82)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IF($A83="","",IFERROR(VLOOKUP($C83,'Config'!$D$2:$E$8,2,FALSE),0))</f>
      </c>
      <c r="M83" s="20"/>
      <c r="N83" s="22"/>
      <c r="O83" s="22"/>
      <c r="P83" s="17">
        <f>IF(OR($A83="",$D83&lt;&gt;"Activo"),"",COUNTIFS($C$2:$C83,$C83,$D$2:$D83,"Activo"))</f>
      </c>
      <c r="Q83" s="19">
        <f>IF($P83="","",$C83&amp;"|"&amp;$P83)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IF($A84="","",IFERROR(VLOOKUP($C84,'Config'!$D$2:$E$8,2,FALSE),0))</f>
      </c>
      <c r="M84" s="20"/>
      <c r="N84" s="22"/>
      <c r="O84" s="22"/>
      <c r="P84" s="17">
        <f>IF(OR($A84="",$D84&lt;&gt;"Activo"),"",COUNTIFS($C$2:$C84,$C84,$D$2:$D84,"Activo"))</f>
      </c>
      <c r="Q84" s="19">
        <f>IF($P84="","",$C84&amp;"|"&amp;$P84)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IF($A85="","",IFERROR(VLOOKUP($C85,'Config'!$D$2:$E$8,2,FALSE),0))</f>
      </c>
      <c r="M85" s="20"/>
      <c r="N85" s="22"/>
      <c r="O85" s="22"/>
      <c r="P85" s="17">
        <f>IF(OR($A85="",$D85&lt;&gt;"Activo"),"",COUNTIFS($C$2:$C85,$C85,$D$2:$D85,"Activo"))</f>
      </c>
      <c r="Q85" s="19">
        <f>IF($P85="","",$C85&amp;"|"&amp;$P85)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IF($A86="","",IFERROR(VLOOKUP($C86,'Config'!$D$2:$E$8,2,FALSE),0))</f>
      </c>
      <c r="M86" s="20"/>
      <c r="N86" s="22"/>
      <c r="O86" s="22"/>
      <c r="P86" s="17">
        <f>IF(OR($A86="",$D86&lt;&gt;"Activo"),"",COUNTIFS($C$2:$C86,$C86,$D$2:$D86,"Activo"))</f>
      </c>
      <c r="Q86" s="19">
        <f>IF($P86="","",$C86&amp;"|"&amp;$P86)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IF($A87="","",IFERROR(VLOOKUP($C87,'Config'!$D$2:$E$8,2,FALSE),0))</f>
      </c>
      <c r="M87" s="20"/>
      <c r="N87" s="22"/>
      <c r="O87" s="22"/>
      <c r="P87" s="17">
        <f>IF(OR($A87="",$D87&lt;&gt;"Activo"),"",COUNTIFS($C$2:$C87,$C87,$D$2:$D87,"Activo"))</f>
      </c>
      <c r="Q87" s="19">
        <f>IF($P87="","",$C87&amp;"|"&amp;$P87)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IF($A88="","",IFERROR(VLOOKUP($C88,'Config'!$D$2:$E$8,2,FALSE),0))</f>
      </c>
      <c r="M88" s="20"/>
      <c r="N88" s="22"/>
      <c r="O88" s="22"/>
      <c r="P88" s="17">
        <f>IF(OR($A88="",$D88&lt;&gt;"Activo"),"",COUNTIFS($C$2:$C88,$C88,$D$2:$D88,"Activo"))</f>
      </c>
      <c r="Q88" s="19">
        <f>IF($P88="","",$C88&amp;"|"&amp;$P88)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IF($A89="","",IFERROR(VLOOKUP($C89,'Config'!$D$2:$E$8,2,FALSE),0))</f>
      </c>
      <c r="M89" s="20"/>
      <c r="N89" s="22"/>
      <c r="O89" s="22"/>
      <c r="P89" s="17">
        <f>IF(OR($A89="",$D89&lt;&gt;"Activo"),"",COUNTIFS($C$2:$C89,$C89,$D$2:$D89,"Activo"))</f>
      </c>
      <c r="Q89" s="19">
        <f>IF($P89="","",$C89&amp;"|"&amp;$P89)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IF($A90="","",IFERROR(VLOOKUP($C90,'Config'!$D$2:$E$8,2,FALSE),0))</f>
      </c>
      <c r="M90" s="20"/>
      <c r="N90" s="22"/>
      <c r="O90" s="22"/>
      <c r="P90" s="17">
        <f>IF(OR($A90="",$D90&lt;&gt;"Activo"),"",COUNTIFS($C$2:$C90,$C90,$D$2:$D90,"Activo"))</f>
      </c>
      <c r="Q90" s="19">
        <f>IF($P90="","",$C90&amp;"|"&amp;$P90)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IF($A91="","",IFERROR(VLOOKUP($C91,'Config'!$D$2:$E$8,2,FALSE),0))</f>
      </c>
      <c r="M91" s="20"/>
      <c r="N91" s="22"/>
      <c r="O91" s="22"/>
      <c r="P91" s="17">
        <f>IF(OR($A91="",$D91&lt;&gt;"Activo"),"",COUNTIFS($C$2:$C91,$C91,$D$2:$D91,"Activo"))</f>
      </c>
      <c r="Q91" s="19">
        <f>IF($P91="","",$C91&amp;"|"&amp;$P91)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IF($A92="","",IFERROR(VLOOKUP($C92,'Config'!$D$2:$E$8,2,FALSE),0))</f>
      </c>
      <c r="M92" s="20"/>
      <c r="N92" s="22"/>
      <c r="O92" s="22"/>
      <c r="P92" s="17">
        <f>IF(OR($A92="",$D92&lt;&gt;"Activo"),"",COUNTIFS($C$2:$C92,$C92,$D$2:$D92,"Activo"))</f>
      </c>
      <c r="Q92" s="19">
        <f>IF($P92="","",$C92&amp;"|"&amp;$P92)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IF($A93="","",IFERROR(VLOOKUP($C93,'Config'!$D$2:$E$8,2,FALSE),0))</f>
      </c>
      <c r="M93" s="20"/>
      <c r="N93" s="22"/>
      <c r="O93" s="22"/>
      <c r="P93" s="17">
        <f>IF(OR($A93="",$D93&lt;&gt;"Activo"),"",COUNTIFS($C$2:$C93,$C93,$D$2:$D93,"Activo"))</f>
      </c>
      <c r="Q93" s="19">
        <f>IF($P93="","",$C93&amp;"|"&amp;$P93)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IF($A94="","",IFERROR(VLOOKUP($C94,'Config'!$D$2:$E$8,2,FALSE),0))</f>
      </c>
      <c r="M94" s="20"/>
      <c r="N94" s="22"/>
      <c r="O94" s="22"/>
      <c r="P94" s="17">
        <f>IF(OR($A94="",$D94&lt;&gt;"Activo"),"",COUNTIFS($C$2:$C94,$C94,$D$2:$D94,"Activo"))</f>
      </c>
      <c r="Q94" s="19">
        <f>IF($P94="","",$C94&amp;"|"&amp;$P94)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IF($A95="","",IFERROR(VLOOKUP($C95,'Config'!$D$2:$E$8,2,FALSE),0))</f>
      </c>
      <c r="M95" s="20"/>
      <c r="N95" s="22"/>
      <c r="O95" s="22"/>
      <c r="P95" s="17">
        <f>IF(OR($A95="",$D95&lt;&gt;"Activo"),"",COUNTIFS($C$2:$C95,$C95,$D$2:$D95,"Activo"))</f>
      </c>
      <c r="Q95" s="19">
        <f>IF($P95="","",$C95&amp;"|"&amp;$P95)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IF($A96="","",IFERROR(VLOOKUP($C96,'Config'!$D$2:$E$8,2,FALSE),0))</f>
      </c>
      <c r="M96" s="20"/>
      <c r="N96" s="22"/>
      <c r="O96" s="22"/>
      <c r="P96" s="17">
        <f>IF(OR($A96="",$D96&lt;&gt;"Activo"),"",COUNTIFS($C$2:$C96,$C96,$D$2:$D96,"Activo"))</f>
      </c>
      <c r="Q96" s="19">
        <f>IF($P96="","",$C96&amp;"|"&amp;$P96)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IF($A97="","",IFERROR(VLOOKUP($C97,'Config'!$D$2:$E$8,2,FALSE),0))</f>
      </c>
      <c r="M97" s="20"/>
      <c r="N97" s="22"/>
      <c r="O97" s="22"/>
      <c r="P97" s="17">
        <f>IF(OR($A97="",$D97&lt;&gt;"Activo"),"",COUNTIFS($C$2:$C97,$C97,$D$2:$D97,"Activo"))</f>
      </c>
      <c r="Q97" s="19">
        <f>IF($P97="","",$C97&amp;"|"&amp;$P97)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IF($A98="","",IFERROR(VLOOKUP($C98,'Config'!$D$2:$E$8,2,FALSE),0))</f>
      </c>
      <c r="M98" s="20"/>
      <c r="N98" s="22"/>
      <c r="O98" s="22"/>
      <c r="P98" s="17">
        <f>IF(OR($A98="",$D98&lt;&gt;"Activo"),"",COUNTIFS($C$2:$C98,$C98,$D$2:$D98,"Activo"))</f>
      </c>
      <c r="Q98" s="19">
        <f>IF($P98="","",$C98&amp;"|"&amp;$P98)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IF($A99="","",IFERROR(VLOOKUP($C99,'Config'!$D$2:$E$8,2,FALSE),0))</f>
      </c>
      <c r="M99" s="20"/>
      <c r="N99" s="22"/>
      <c r="O99" s="22"/>
      <c r="P99" s="17">
        <f>IF(OR($A99="",$D99&lt;&gt;"Activo"),"",COUNTIFS($C$2:$C99,$C99,$D$2:$D99,"Activo"))</f>
      </c>
      <c r="Q99" s="19">
        <f>IF($P99="","",$C99&amp;"|"&amp;$P99)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IF($A100="","",IFERROR(VLOOKUP($C100,'Config'!$D$2:$E$8,2,FALSE),0))</f>
      </c>
      <c r="M100" s="20"/>
      <c r="N100" s="22"/>
      <c r="O100" s="22"/>
      <c r="P100" s="17">
        <f>IF(OR($A100="",$D100&lt;&gt;"Activo"),"",COUNTIFS($C$2:$C100,$C100,$D$2:$D100,"Activo"))</f>
      </c>
      <c r="Q100" s="19">
        <f>IF($P100="","",$C100&amp;"|"&amp;$P100)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IF($A101="","",IFERROR(VLOOKUP($C101,'Config'!$D$2:$E$8,2,FALSE),0))</f>
      </c>
      <c r="M101" s="20"/>
      <c r="N101" s="22"/>
      <c r="O101" s="22"/>
      <c r="P101" s="17">
        <f>IF(OR($A101="",$D101&lt;&gt;"Activo"),"",COUNTIFS($C$2:$C101,$C101,$D$2:$D101,"Activo"))</f>
      </c>
      <c r="Q101" s="19">
        <f>IF($P101="","",$C101&amp;"|"&amp;$P101)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IF($A102="","",IFERROR(VLOOKUP($C102,'Config'!$D$2:$E$8,2,FALSE),0))</f>
      </c>
      <c r="M102" s="20"/>
      <c r="N102" s="22"/>
      <c r="O102" s="22"/>
      <c r="P102" s="17">
        <f>IF(OR($A102="",$D102&lt;&gt;"Activo"),"",COUNTIFS($C$2:$C102,$C102,$D$2:$D102,"Activo"))</f>
      </c>
      <c r="Q102" s="19">
        <f>IF($P102="","",$C102&amp;"|"&amp;$P102)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IF($A103="","",IFERROR(VLOOKUP($C103,'Config'!$D$2:$E$8,2,FALSE),0))</f>
      </c>
      <c r="M103" s="20"/>
      <c r="N103" s="22"/>
      <c r="O103" s="22"/>
      <c r="P103" s="17">
        <f>IF(OR($A103="",$D103&lt;&gt;"Activo"),"",COUNTIFS($C$2:$C103,$C103,$D$2:$D103,"Activo"))</f>
      </c>
      <c r="Q103" s="19">
        <f>IF($P103="","",$C103&amp;"|"&amp;$P103)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IF($A104="","",IFERROR(VLOOKUP($C104,'Config'!$D$2:$E$8,2,FALSE),0))</f>
      </c>
      <c r="M104" s="20"/>
      <c r="N104" s="22"/>
      <c r="O104" s="22"/>
      <c r="P104" s="17">
        <f>IF(OR($A104="",$D104&lt;&gt;"Activo"),"",COUNTIFS($C$2:$C104,$C104,$D$2:$D104,"Activo"))</f>
      </c>
      <c r="Q104" s="19">
        <f>IF($P104="","",$C104&amp;"|"&amp;$P104)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IF($A105="","",IFERROR(VLOOKUP($C105,'Config'!$D$2:$E$8,2,FALSE),0))</f>
      </c>
      <c r="M105" s="20"/>
      <c r="N105" s="22"/>
      <c r="O105" s="22"/>
      <c r="P105" s="17">
        <f>IF(OR($A105="",$D105&lt;&gt;"Activo"),"",COUNTIFS($C$2:$C105,$C105,$D$2:$D105,"Activo"))</f>
      </c>
      <c r="Q105" s="19">
        <f>IF($P105="","",$C105&amp;"|"&amp;$P105)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IF($A106="","",IFERROR(VLOOKUP($C106,'Config'!$D$2:$E$8,2,FALSE),0))</f>
      </c>
      <c r="M106" s="20"/>
      <c r="N106" s="22"/>
      <c r="O106" s="22"/>
      <c r="P106" s="17">
        <f>IF(OR($A106="",$D106&lt;&gt;"Activo"),"",COUNTIFS($C$2:$C106,$C106,$D$2:$D106,"Activo"))</f>
      </c>
      <c r="Q106" s="19">
        <f>IF($P106="","",$C106&amp;"|"&amp;$P106)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IF($A107="","",IFERROR(VLOOKUP($C107,'Config'!$D$2:$E$8,2,FALSE),0))</f>
      </c>
      <c r="M107" s="20"/>
      <c r="N107" s="22"/>
      <c r="O107" s="22"/>
      <c r="P107" s="17">
        <f>IF(OR($A107="",$D107&lt;&gt;"Activo"),"",COUNTIFS($C$2:$C107,$C107,$D$2:$D107,"Activo"))</f>
      </c>
      <c r="Q107" s="19">
        <f>IF($P107="","",$C107&amp;"|"&amp;$P107)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IF($A108="","",IFERROR(VLOOKUP($C108,'Config'!$D$2:$E$8,2,FALSE),0))</f>
      </c>
      <c r="M108" s="20"/>
      <c r="N108" s="22"/>
      <c r="O108" s="22"/>
      <c r="P108" s="17">
        <f>IF(OR($A108="",$D108&lt;&gt;"Activo"),"",COUNTIFS($C$2:$C108,$C108,$D$2:$D108,"Activo"))</f>
      </c>
      <c r="Q108" s="19">
        <f>IF($P108="","",$C108&amp;"|"&amp;$P108)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IF($A109="","",IFERROR(VLOOKUP($C109,'Config'!$D$2:$E$8,2,FALSE),0))</f>
      </c>
      <c r="M109" s="20"/>
      <c r="N109" s="22"/>
      <c r="O109" s="22"/>
      <c r="P109" s="17">
        <f>IF(OR($A109="",$D109&lt;&gt;"Activo"),"",COUNTIFS($C$2:$C109,$C109,$D$2:$D109,"Activo"))</f>
      </c>
      <c r="Q109" s="19">
        <f>IF($P109="","",$C109&amp;"|"&amp;$P109)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IF($A110="","",IFERROR(VLOOKUP($C110,'Config'!$D$2:$E$8,2,FALSE),0))</f>
      </c>
      <c r="M110" s="20"/>
      <c r="N110" s="22"/>
      <c r="O110" s="22"/>
      <c r="P110" s="17">
        <f>IF(OR($A110="",$D110&lt;&gt;"Activo"),"",COUNTIFS($C$2:$C110,$C110,$D$2:$D110,"Activo"))</f>
      </c>
      <c r="Q110" s="19">
        <f>IF($P110="","",$C110&amp;"|"&amp;$P110)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IF($A111="","",IFERROR(VLOOKUP($C111,'Config'!$D$2:$E$8,2,FALSE),0))</f>
      </c>
      <c r="M111" s="20"/>
      <c r="N111" s="22"/>
      <c r="O111" s="22"/>
      <c r="P111" s="17">
        <f>IF(OR($A111="",$D111&lt;&gt;"Activo"),"",COUNTIFS($C$2:$C111,$C111,$D$2:$D111,"Activo"))</f>
      </c>
      <c r="Q111" s="19">
        <f>IF($P111="","",$C111&amp;"|"&amp;$P111)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IF($A112="","",IFERROR(VLOOKUP($C112,'Config'!$D$2:$E$8,2,FALSE),0))</f>
      </c>
      <c r="M112" s="20"/>
      <c r="N112" s="22"/>
      <c r="O112" s="22"/>
      <c r="P112" s="17">
        <f>IF(OR($A112="",$D112&lt;&gt;"Activo"),"",COUNTIFS($C$2:$C112,$C112,$D$2:$D112,"Activo"))</f>
      </c>
      <c r="Q112" s="19">
        <f>IF($P112="","",$C112&amp;"|"&amp;$P112)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IF($A113="","",IFERROR(VLOOKUP($C113,'Config'!$D$2:$E$8,2,FALSE),0))</f>
      </c>
      <c r="M113" s="20"/>
      <c r="N113" s="22"/>
      <c r="O113" s="22"/>
      <c r="P113" s="17">
        <f>IF(OR($A113="",$D113&lt;&gt;"Activo"),"",COUNTIFS($C$2:$C113,$C113,$D$2:$D113,"Activo"))</f>
      </c>
      <c r="Q113" s="19">
        <f>IF($P113="","",$C113&amp;"|"&amp;$P113)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IF($A114="","",IFERROR(VLOOKUP($C114,'Config'!$D$2:$E$8,2,FALSE),0))</f>
      </c>
      <c r="M114" s="20"/>
      <c r="N114" s="22"/>
      <c r="O114" s="22"/>
      <c r="P114" s="17">
        <f>IF(OR($A114="",$D114&lt;&gt;"Activo"),"",COUNTIFS($C$2:$C114,$C114,$D$2:$D114,"Activo"))</f>
      </c>
      <c r="Q114" s="19">
        <f>IF($P114="","",$C114&amp;"|"&amp;$P114)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IF($A115="","",IFERROR(VLOOKUP($C115,'Config'!$D$2:$E$8,2,FALSE),0))</f>
      </c>
      <c r="M115" s="20"/>
      <c r="N115" s="22"/>
      <c r="O115" s="22"/>
      <c r="P115" s="17">
        <f>IF(OR($A115="",$D115&lt;&gt;"Activo"),"",COUNTIFS($C$2:$C115,$C115,$D$2:$D115,"Activo"))</f>
      </c>
      <c r="Q115" s="19">
        <f>IF($P115="","",$C115&amp;"|"&amp;$P115)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IF($A116="","",IFERROR(VLOOKUP($C116,'Config'!$D$2:$E$8,2,FALSE),0))</f>
      </c>
      <c r="M116" s="20"/>
      <c r="N116" s="22"/>
      <c r="O116" s="22"/>
      <c r="P116" s="17">
        <f>IF(OR($A116="",$D116&lt;&gt;"Activo"),"",COUNTIFS($C$2:$C116,$C116,$D$2:$D116,"Activo"))</f>
      </c>
      <c r="Q116" s="19">
        <f>IF($P116="","",$C116&amp;"|"&amp;$P116)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IF($A117="","",IFERROR(VLOOKUP($C117,'Config'!$D$2:$E$8,2,FALSE),0))</f>
      </c>
      <c r="M117" s="20"/>
      <c r="N117" s="22"/>
      <c r="O117" s="22"/>
      <c r="P117" s="17">
        <f>IF(OR($A117="",$D117&lt;&gt;"Activo"),"",COUNTIFS($C$2:$C117,$C117,$D$2:$D117,"Activo"))</f>
      </c>
      <c r="Q117" s="19">
        <f>IF($P117="","",$C117&amp;"|"&amp;$P117)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IF($A118="","",IFERROR(VLOOKUP($C118,'Config'!$D$2:$E$8,2,FALSE),0))</f>
      </c>
      <c r="M118" s="20"/>
      <c r="N118" s="22"/>
      <c r="O118" s="22"/>
      <c r="P118" s="17">
        <f>IF(OR($A118="",$D118&lt;&gt;"Activo"),"",COUNTIFS($C$2:$C118,$C118,$D$2:$D118,"Activo"))</f>
      </c>
      <c r="Q118" s="19">
        <f>IF($P118="","",$C118&amp;"|"&amp;$P118)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IF($A119="","",IFERROR(VLOOKUP($C119,'Config'!$D$2:$E$8,2,FALSE),0))</f>
      </c>
      <c r="M119" s="20"/>
      <c r="N119" s="22"/>
      <c r="O119" s="22"/>
      <c r="P119" s="17">
        <f>IF(OR($A119="",$D119&lt;&gt;"Activo"),"",COUNTIFS($C$2:$C119,$C119,$D$2:$D119,"Activo"))</f>
      </c>
      <c r="Q119" s="19">
        <f>IF($P119="","",$C119&amp;"|"&amp;$P119)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IF($A120="","",IFERROR(VLOOKUP($C120,'Config'!$D$2:$E$8,2,FALSE),0))</f>
      </c>
      <c r="M120" s="20"/>
      <c r="N120" s="22"/>
      <c r="O120" s="22"/>
      <c r="P120" s="17">
        <f>IF(OR($A120="",$D120&lt;&gt;"Activo"),"",COUNTIFS($C$2:$C120,$C120,$D$2:$D120,"Activo"))</f>
      </c>
      <c r="Q120" s="19">
        <f>IF($P120="","",$C120&amp;"|"&amp;$P120)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IF($A121="","",IFERROR(VLOOKUP($C121,'Config'!$D$2:$E$8,2,FALSE),0))</f>
      </c>
      <c r="M121" s="20"/>
      <c r="N121" s="22"/>
      <c r="O121" s="22"/>
      <c r="P121" s="17">
        <f>IF(OR($A121="",$D121&lt;&gt;"Activo"),"",COUNTIFS($C$2:$C121,$C121,$D$2:$D121,"Activo"))</f>
      </c>
      <c r="Q121" s="19">
        <f>IF($P121="","",$C121&amp;"|"&amp;$P121)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IF($A122="","",IFERROR(VLOOKUP($C122,'Config'!$D$2:$E$8,2,FALSE),0))</f>
      </c>
      <c r="M122" s="20"/>
      <c r="N122" s="22"/>
      <c r="O122" s="22"/>
      <c r="P122" s="17">
        <f>IF(OR($A122="",$D122&lt;&gt;"Activo"),"",COUNTIFS($C$2:$C122,$C122,$D$2:$D122,"Activo"))</f>
      </c>
      <c r="Q122" s="19">
        <f>IF($P122="","",$C122&amp;"|"&amp;$P122)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IF($A123="","",IFERROR(VLOOKUP($C123,'Config'!$D$2:$E$8,2,FALSE),0))</f>
      </c>
      <c r="M123" s="20"/>
      <c r="N123" s="22"/>
      <c r="O123" s="22"/>
      <c r="P123" s="17">
        <f>IF(OR($A123="",$D123&lt;&gt;"Activo"),"",COUNTIFS($C$2:$C123,$C123,$D$2:$D123,"Activo"))</f>
      </c>
      <c r="Q123" s="19">
        <f>IF($P123="","",$C123&amp;"|"&amp;$P123)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IF($A124="","",IFERROR(VLOOKUP($C124,'Config'!$D$2:$E$8,2,FALSE),0))</f>
      </c>
      <c r="M124" s="20"/>
      <c r="N124" s="22"/>
      <c r="O124" s="22"/>
      <c r="P124" s="17">
        <f>IF(OR($A124="",$D124&lt;&gt;"Activo"),"",COUNTIFS($C$2:$C124,$C124,$D$2:$D124,"Activo"))</f>
      </c>
      <c r="Q124" s="19">
        <f>IF($P124="","",$C124&amp;"|"&amp;$P124)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IF($A125="","",IFERROR(VLOOKUP($C125,'Config'!$D$2:$E$8,2,FALSE),0))</f>
      </c>
      <c r="M125" s="20"/>
      <c r="N125" s="22"/>
      <c r="O125" s="22"/>
      <c r="P125" s="17">
        <f>IF(OR($A125="",$D125&lt;&gt;"Activo"),"",COUNTIFS($C$2:$C125,$C125,$D$2:$D125,"Activo"))</f>
      </c>
      <c r="Q125" s="19">
        <f>IF($P125="","",$C125&amp;"|"&amp;$P125)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IF($A126="","",IFERROR(VLOOKUP($C126,'Config'!$D$2:$E$8,2,FALSE),0))</f>
      </c>
      <c r="M126" s="20"/>
      <c r="N126" s="22"/>
      <c r="O126" s="22"/>
      <c r="P126" s="17">
        <f>IF(OR($A126="",$D126&lt;&gt;"Activo"),"",COUNTIFS($C$2:$C126,$C126,$D$2:$D126,"Activo"))</f>
      </c>
      <c r="Q126" s="19">
        <f>IF($P126="","",$C126&amp;"|"&amp;$P126)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IF($A127="","",IFERROR(VLOOKUP($C127,'Config'!$D$2:$E$8,2,FALSE),0))</f>
      </c>
      <c r="M127" s="20"/>
      <c r="N127" s="22"/>
      <c r="O127" s="22"/>
      <c r="P127" s="17">
        <f>IF(OR($A127="",$D127&lt;&gt;"Activo"),"",COUNTIFS($C$2:$C127,$C127,$D$2:$D127,"Activo"))</f>
      </c>
      <c r="Q127" s="19">
        <f>IF($P127="","",$C127&amp;"|"&amp;$P127)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IF($A128="","",IFERROR(VLOOKUP($C128,'Config'!$D$2:$E$8,2,FALSE),0))</f>
      </c>
      <c r="M128" s="20"/>
      <c r="N128" s="22"/>
      <c r="O128" s="22"/>
      <c r="P128" s="17">
        <f>IF(OR($A128="",$D128&lt;&gt;"Activo"),"",COUNTIFS($C$2:$C128,$C128,$D$2:$D128,"Activo"))</f>
      </c>
      <c r="Q128" s="19">
        <f>IF($P128="","",$C128&amp;"|"&amp;$P128)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IF($A129="","",IFERROR(VLOOKUP($C129,'Config'!$D$2:$E$8,2,FALSE),0))</f>
      </c>
      <c r="M129" s="20"/>
      <c r="N129" s="22"/>
      <c r="O129" s="22"/>
      <c r="P129" s="17">
        <f>IF(OR($A129="",$D129&lt;&gt;"Activo"),"",COUNTIFS($C$2:$C129,$C129,$D$2:$D129,"Activo"))</f>
      </c>
      <c r="Q129" s="19">
        <f>IF($P129="","",$C129&amp;"|"&amp;$P129)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IF($A130="","",IFERROR(VLOOKUP($C130,'Config'!$D$2:$E$8,2,FALSE),0))</f>
      </c>
      <c r="M130" s="20"/>
      <c r="N130" s="22"/>
      <c r="O130" s="22"/>
      <c r="P130" s="17">
        <f>IF(OR($A130="",$D130&lt;&gt;"Activo"),"",COUNTIFS($C$2:$C130,$C130,$D$2:$D130,"Activo"))</f>
      </c>
      <c r="Q130" s="19">
        <f>IF($P130="","",$C130&amp;"|"&amp;$P130)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IF($A131="","",IFERROR(VLOOKUP($C131,'Config'!$D$2:$E$8,2,FALSE),0))</f>
      </c>
      <c r="M131" s="20"/>
      <c r="N131" s="22"/>
      <c r="O131" s="22"/>
      <c r="P131" s="17">
        <f>IF(OR($A131="",$D131&lt;&gt;"Activo"),"",COUNTIFS($C$2:$C131,$C131,$D$2:$D131,"Activo"))</f>
      </c>
      <c r="Q131" s="19">
        <f>IF($P131="","",$C131&amp;"|"&amp;$P131)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IF($A132="","",IFERROR(VLOOKUP($C132,'Config'!$D$2:$E$8,2,FALSE),0))</f>
      </c>
      <c r="M132" s="20"/>
      <c r="N132" s="22"/>
      <c r="O132" s="22"/>
      <c r="P132" s="17">
        <f>IF(OR($A132="",$D132&lt;&gt;"Activo"),"",COUNTIFS($C$2:$C132,$C132,$D$2:$D132,"Activo"))</f>
      </c>
      <c r="Q132" s="19">
        <f>IF($P132="","",$C132&amp;"|"&amp;$P132)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IF($A133="","",IFERROR(VLOOKUP($C133,'Config'!$D$2:$E$8,2,FALSE),0))</f>
      </c>
      <c r="M133" s="20"/>
      <c r="N133" s="22"/>
      <c r="O133" s="22"/>
      <c r="P133" s="17">
        <f>IF(OR($A133="",$D133&lt;&gt;"Activo"),"",COUNTIFS($C$2:$C133,$C133,$D$2:$D133,"Activo"))</f>
      </c>
      <c r="Q133" s="19">
        <f>IF($P133="","",$C133&amp;"|"&amp;$P133)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IF($A134="","",IFERROR(VLOOKUP($C134,'Config'!$D$2:$E$8,2,FALSE),0))</f>
      </c>
      <c r="M134" s="20"/>
      <c r="N134" s="22"/>
      <c r="O134" s="22"/>
      <c r="P134" s="17">
        <f>IF(OR($A134="",$D134&lt;&gt;"Activo"),"",COUNTIFS($C$2:$C134,$C134,$D$2:$D134,"Activo"))</f>
      </c>
      <c r="Q134" s="19">
        <f>IF($P134="","",$C134&amp;"|"&amp;$P134)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IF($A135="","",IFERROR(VLOOKUP($C135,'Config'!$D$2:$E$8,2,FALSE),0))</f>
      </c>
      <c r="M135" s="20"/>
      <c r="N135" s="22"/>
      <c r="O135" s="22"/>
      <c r="P135" s="17">
        <f>IF(OR($A135="",$D135&lt;&gt;"Activo"),"",COUNTIFS($C$2:$C135,$C135,$D$2:$D135,"Activo"))</f>
      </c>
      <c r="Q135" s="19">
        <f>IF($P135="","",$C135&amp;"|"&amp;$P135)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IF($A136="","",IFERROR(VLOOKUP($C136,'Config'!$D$2:$E$8,2,FALSE),0))</f>
      </c>
      <c r="M136" s="20"/>
      <c r="N136" s="22"/>
      <c r="O136" s="22"/>
      <c r="P136" s="17">
        <f>IF(OR($A136="",$D136&lt;&gt;"Activo"),"",COUNTIFS($C$2:$C136,$C136,$D$2:$D136,"Activo"))</f>
      </c>
      <c r="Q136" s="19">
        <f>IF($P136="","",$C136&amp;"|"&amp;$P136)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IF($A137="","",IFERROR(VLOOKUP($C137,'Config'!$D$2:$E$8,2,FALSE),0))</f>
      </c>
      <c r="M137" s="20"/>
      <c r="N137" s="22"/>
      <c r="O137" s="22"/>
      <c r="P137" s="17">
        <f>IF(OR($A137="",$D137&lt;&gt;"Activo"),"",COUNTIFS($C$2:$C137,$C137,$D$2:$D137,"Activo"))</f>
      </c>
      <c r="Q137" s="19">
        <f>IF($P137="","",$C137&amp;"|"&amp;$P137)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IF($A138="","",IFERROR(VLOOKUP($C138,'Config'!$D$2:$E$8,2,FALSE),0))</f>
      </c>
      <c r="M138" s="20"/>
      <c r="N138" s="22"/>
      <c r="O138" s="22"/>
      <c r="P138" s="17">
        <f>IF(OR($A138="",$D138&lt;&gt;"Activo"),"",COUNTIFS($C$2:$C138,$C138,$D$2:$D138,"Activo"))</f>
      </c>
      <c r="Q138" s="19">
        <f>IF($P138="","",$C138&amp;"|"&amp;$P138)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IF($A139="","",IFERROR(VLOOKUP($C139,'Config'!$D$2:$E$8,2,FALSE),0))</f>
      </c>
      <c r="M139" s="20"/>
      <c r="N139" s="22"/>
      <c r="O139" s="22"/>
      <c r="P139" s="17">
        <f>IF(OR($A139="",$D139&lt;&gt;"Activo"),"",COUNTIFS($C$2:$C139,$C139,$D$2:$D139,"Activo"))</f>
      </c>
      <c r="Q139" s="19">
        <f>IF($P139="","",$C139&amp;"|"&amp;$P139)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IF($A140="","",IFERROR(VLOOKUP($C140,'Config'!$D$2:$E$8,2,FALSE),0))</f>
      </c>
      <c r="M140" s="20"/>
      <c r="N140" s="22"/>
      <c r="O140" s="22"/>
      <c r="P140" s="17">
        <f>IF(OR($A140="",$D140&lt;&gt;"Activo"),"",COUNTIFS($C$2:$C140,$C140,$D$2:$D140,"Activo"))</f>
      </c>
      <c r="Q140" s="19">
        <f>IF($P140="","",$C140&amp;"|"&amp;$P140)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IF($A141="","",IFERROR(VLOOKUP($C141,'Config'!$D$2:$E$8,2,FALSE),0))</f>
      </c>
      <c r="M141" s="20"/>
      <c r="N141" s="22"/>
      <c r="O141" s="22"/>
      <c r="P141" s="17">
        <f>IF(OR($A141="",$D141&lt;&gt;"Activo"),"",COUNTIFS($C$2:$C141,$C141,$D$2:$D141,"Activo"))</f>
      </c>
      <c r="Q141" s="19">
        <f>IF($P141="","",$C141&amp;"|"&amp;$P141)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IF($A142="","",IFERROR(VLOOKUP($C142,'Config'!$D$2:$E$8,2,FALSE),0))</f>
      </c>
      <c r="M142" s="20"/>
      <c r="N142" s="22"/>
      <c r="O142" s="22"/>
      <c r="P142" s="17">
        <f>IF(OR($A142="",$D142&lt;&gt;"Activo"),"",COUNTIFS($C$2:$C142,$C142,$D$2:$D142,"Activo"))</f>
      </c>
      <c r="Q142" s="19">
        <f>IF($P142="","",$C142&amp;"|"&amp;$P142)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IF($A143="","",IFERROR(VLOOKUP($C143,'Config'!$D$2:$E$8,2,FALSE),0))</f>
      </c>
      <c r="M143" s="20"/>
      <c r="N143" s="22"/>
      <c r="O143" s="22"/>
      <c r="P143" s="17">
        <f>IF(OR($A143="",$D143&lt;&gt;"Activo"),"",COUNTIFS($C$2:$C143,$C143,$D$2:$D143,"Activo"))</f>
      </c>
      <c r="Q143" s="19">
        <f>IF($P143="","",$C143&amp;"|"&amp;$P143)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IF($A144="","",IFERROR(VLOOKUP($C144,'Config'!$D$2:$E$8,2,FALSE),0))</f>
      </c>
      <c r="M144" s="20"/>
      <c r="N144" s="22"/>
      <c r="O144" s="22"/>
      <c r="P144" s="17">
        <f>IF(OR($A144="",$D144&lt;&gt;"Activo"),"",COUNTIFS($C$2:$C144,$C144,$D$2:$D144,"Activo"))</f>
      </c>
      <c r="Q144" s="19">
        <f>IF($P144="","",$C144&amp;"|"&amp;$P144)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IF($A145="","",IFERROR(VLOOKUP($C145,'Config'!$D$2:$E$8,2,FALSE),0))</f>
      </c>
      <c r="M145" s="20"/>
      <c r="N145" s="22"/>
      <c r="O145" s="22"/>
      <c r="P145" s="17">
        <f>IF(OR($A145="",$D145&lt;&gt;"Activo"),"",COUNTIFS($C$2:$C145,$C145,$D$2:$D145,"Activo"))</f>
      </c>
      <c r="Q145" s="19">
        <f>IF($P145="","",$C145&amp;"|"&amp;$P145)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IF($A146="","",IFERROR(VLOOKUP($C146,'Config'!$D$2:$E$8,2,FALSE),0))</f>
      </c>
      <c r="M146" s="20"/>
      <c r="N146" s="22"/>
      <c r="O146" s="22"/>
      <c r="P146" s="17">
        <f>IF(OR($A146="",$D146&lt;&gt;"Activo"),"",COUNTIFS($C$2:$C146,$C146,$D$2:$D146,"Activo"))</f>
      </c>
      <c r="Q146" s="19">
        <f>IF($P146="","",$C146&amp;"|"&amp;$P146)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IF($A147="","",IFERROR(VLOOKUP($C147,'Config'!$D$2:$E$8,2,FALSE),0))</f>
      </c>
      <c r="M147" s="20"/>
      <c r="N147" s="22"/>
      <c r="O147" s="22"/>
      <c r="P147" s="17">
        <f>IF(OR($A147="",$D147&lt;&gt;"Activo"),"",COUNTIFS($C$2:$C147,$C147,$D$2:$D147,"Activo"))</f>
      </c>
      <c r="Q147" s="19">
        <f>IF($P147="","",$C147&amp;"|"&amp;$P147)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IF($A148="","",IFERROR(VLOOKUP($C148,'Config'!$D$2:$E$8,2,FALSE),0))</f>
      </c>
      <c r="M148" s="20"/>
      <c r="N148" s="22"/>
      <c r="O148" s="22"/>
      <c r="P148" s="17">
        <f>IF(OR($A148="",$D148&lt;&gt;"Activo"),"",COUNTIFS($C$2:$C148,$C148,$D$2:$D148,"Activo"))</f>
      </c>
      <c r="Q148" s="19">
        <f>IF($P148="","",$C148&amp;"|"&amp;$P148)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IF($A149="","",IFERROR(VLOOKUP($C149,'Config'!$D$2:$E$8,2,FALSE),0))</f>
      </c>
      <c r="M149" s="20"/>
      <c r="N149" s="22"/>
      <c r="O149" s="22"/>
      <c r="P149" s="17">
        <f>IF(OR($A149="",$D149&lt;&gt;"Activo"),"",COUNTIFS($C$2:$C149,$C149,$D$2:$D149,"Activo"))</f>
      </c>
      <c r="Q149" s="19">
        <f>IF($P149="","",$C149&amp;"|"&amp;$P149)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IF($A150="","",IFERROR(VLOOKUP($C150,'Config'!$D$2:$E$8,2,FALSE),0))</f>
      </c>
      <c r="M150" s="20"/>
      <c r="N150" s="22"/>
      <c r="O150" s="22"/>
      <c r="P150" s="17">
        <f>IF(OR($A150="",$D150&lt;&gt;"Activo"),"",COUNTIFS($C$2:$C150,$C150,$D$2:$D150,"Activo"))</f>
      </c>
      <c r="Q150" s="19">
        <f>IF($P150="","",$C150&amp;"|"&amp;$P150)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IF($A151="","",IFERROR(VLOOKUP($C151,'Config'!$D$2:$E$8,2,FALSE),0))</f>
      </c>
      <c r="M151" s="20"/>
      <c r="N151" s="22"/>
      <c r="O151" s="22"/>
      <c r="P151" s="17">
        <f>IF(OR($A151="",$D151&lt;&gt;"Activo"),"",COUNTIFS($C$2:$C151,$C151,$D$2:$D151,"Activo"))</f>
      </c>
      <c r="Q151" s="19">
        <f>IF($P151="","",$C151&amp;"|"&amp;$P151)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IF($A152="","",IFERROR(VLOOKUP($C152,'Config'!$D$2:$E$8,2,FALSE),0))</f>
      </c>
      <c r="M152" s="20"/>
      <c r="N152" s="22"/>
      <c r="O152" s="22"/>
      <c r="P152" s="17">
        <f>IF(OR($A152="",$D152&lt;&gt;"Activo"),"",COUNTIFS($C$2:$C152,$C152,$D$2:$D152,"Activo"))</f>
      </c>
      <c r="Q152" s="19">
        <f>IF($P152="","",$C152&amp;"|"&amp;$P152)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IF($A153="","",IFERROR(VLOOKUP($C153,'Config'!$D$2:$E$8,2,FALSE),0))</f>
      </c>
      <c r="M153" s="20"/>
      <c r="N153" s="22"/>
      <c r="O153" s="22"/>
      <c r="P153" s="17">
        <f>IF(OR($A153="",$D153&lt;&gt;"Activo"),"",COUNTIFS($C$2:$C153,$C153,$D$2:$D153,"Activo"))</f>
      </c>
      <c r="Q153" s="19">
        <f>IF($P153="","",$C153&amp;"|"&amp;$P153)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IF($A154="","",IFERROR(VLOOKUP($C154,'Config'!$D$2:$E$8,2,FALSE),0))</f>
      </c>
      <c r="M154" s="20"/>
      <c r="N154" s="22"/>
      <c r="O154" s="22"/>
      <c r="P154" s="17">
        <f>IF(OR($A154="",$D154&lt;&gt;"Activo"),"",COUNTIFS($C$2:$C154,$C154,$D$2:$D154,"Activo"))</f>
      </c>
      <c r="Q154" s="19">
        <f>IF($P154="","",$C154&amp;"|"&amp;$P154)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IF($A155="","",IFERROR(VLOOKUP($C155,'Config'!$D$2:$E$8,2,FALSE),0))</f>
      </c>
      <c r="M155" s="20"/>
      <c r="N155" s="22"/>
      <c r="O155" s="22"/>
      <c r="P155" s="17">
        <f>IF(OR($A155="",$D155&lt;&gt;"Activo"),"",COUNTIFS($C$2:$C155,$C155,$D$2:$D155,"Activo"))</f>
      </c>
      <c r="Q155" s="19">
        <f>IF($P155="","",$C155&amp;"|"&amp;$P155)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IF($A156="","",IFERROR(VLOOKUP($C156,'Config'!$D$2:$E$8,2,FALSE),0))</f>
      </c>
      <c r="M156" s="20"/>
      <c r="N156" s="22"/>
      <c r="O156" s="22"/>
      <c r="P156" s="17">
        <f>IF(OR($A156="",$D156&lt;&gt;"Activo"),"",COUNTIFS($C$2:$C156,$C156,$D$2:$D156,"Activo"))</f>
      </c>
      <c r="Q156" s="19">
        <f>IF($P156="","",$C156&amp;"|"&amp;$P156)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IF($A157="","",IFERROR(VLOOKUP($C157,'Config'!$D$2:$E$8,2,FALSE),0))</f>
      </c>
      <c r="M157" s="20"/>
      <c r="N157" s="22"/>
      <c r="O157" s="22"/>
      <c r="P157" s="17">
        <f>IF(OR($A157="",$D157&lt;&gt;"Activo"),"",COUNTIFS($C$2:$C157,$C157,$D$2:$D157,"Activo"))</f>
      </c>
      <c r="Q157" s="19">
        <f>IF($P157="","",$C157&amp;"|"&amp;$P157)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IF($A158="","",IFERROR(VLOOKUP($C158,'Config'!$D$2:$E$8,2,FALSE),0))</f>
      </c>
      <c r="M158" s="20"/>
      <c r="N158" s="22"/>
      <c r="O158" s="22"/>
      <c r="P158" s="17">
        <f>IF(OR($A158="",$D158&lt;&gt;"Activo"),"",COUNTIFS($C$2:$C158,$C158,$D$2:$D158,"Activo"))</f>
      </c>
      <c r="Q158" s="19">
        <f>IF($P158="","",$C158&amp;"|"&amp;$P158)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IF($A159="","",IFERROR(VLOOKUP($C159,'Config'!$D$2:$E$8,2,FALSE),0))</f>
      </c>
      <c r="M159" s="20"/>
      <c r="N159" s="22"/>
      <c r="O159" s="22"/>
      <c r="P159" s="17">
        <f>IF(OR($A159="",$D159&lt;&gt;"Activo"),"",COUNTIFS($C$2:$C159,$C159,$D$2:$D159,"Activo"))</f>
      </c>
      <c r="Q159" s="19">
        <f>IF($P159="","",$C159&amp;"|"&amp;$P159)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IF($A160="","",IFERROR(VLOOKUP($C160,'Config'!$D$2:$E$8,2,FALSE),0))</f>
      </c>
      <c r="M160" s="20"/>
      <c r="N160" s="22"/>
      <c r="O160" s="22"/>
      <c r="P160" s="17">
        <f>IF(OR($A160="",$D160&lt;&gt;"Activo"),"",COUNTIFS($C$2:$C160,$C160,$D$2:$D160,"Activo"))</f>
      </c>
      <c r="Q160" s="19">
        <f>IF($P160="","",$C160&amp;"|"&amp;$P160)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IF($A161="","",IFERROR(VLOOKUP($C161,'Config'!$D$2:$E$8,2,FALSE),0))</f>
      </c>
      <c r="M161" s="20"/>
      <c r="N161" s="22"/>
      <c r="O161" s="22"/>
      <c r="P161" s="17">
        <f>IF(OR($A161="",$D161&lt;&gt;"Activo"),"",COUNTIFS($C$2:$C161,$C161,$D$2:$D161,"Activo"))</f>
      </c>
      <c r="Q161" s="19">
        <f>IF($P161="","",$C161&amp;"|"&amp;$P161)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IF($A162="","",IFERROR(VLOOKUP($C162,'Config'!$D$2:$E$8,2,FALSE),0))</f>
      </c>
      <c r="M162" s="20"/>
      <c r="N162" s="22"/>
      <c r="O162" s="22"/>
      <c r="P162" s="17">
        <f>IF(OR($A162="",$D162&lt;&gt;"Activo"),"",COUNTIFS($C$2:$C162,$C162,$D$2:$D162,"Activo"))</f>
      </c>
      <c r="Q162" s="19">
        <f>IF($P162="","",$C162&amp;"|"&amp;$P162)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IF($A163="","",IFERROR(VLOOKUP($C163,'Config'!$D$2:$E$8,2,FALSE),0))</f>
      </c>
      <c r="M163" s="20"/>
      <c r="N163" s="22"/>
      <c r="O163" s="22"/>
      <c r="P163" s="17">
        <f>IF(OR($A163="",$D163&lt;&gt;"Activo"),"",COUNTIFS($C$2:$C163,$C163,$D$2:$D163,"Activo"))</f>
      </c>
      <c r="Q163" s="19">
        <f>IF($P163="","",$C163&amp;"|"&amp;$P163)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IF($A164="","",IFERROR(VLOOKUP($C164,'Config'!$D$2:$E$8,2,FALSE),0))</f>
      </c>
      <c r="M164" s="20"/>
      <c r="N164" s="22"/>
      <c r="O164" s="22"/>
      <c r="P164" s="17">
        <f>IF(OR($A164="",$D164&lt;&gt;"Activo"),"",COUNTIFS($C$2:$C164,$C164,$D$2:$D164,"Activo"))</f>
      </c>
      <c r="Q164" s="19">
        <f>IF($P164="","",$C164&amp;"|"&amp;$P164)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IF($A165="","",IFERROR(VLOOKUP($C165,'Config'!$D$2:$E$8,2,FALSE),0))</f>
      </c>
      <c r="M165" s="20"/>
      <c r="N165" s="22"/>
      <c r="O165" s="22"/>
      <c r="P165" s="17">
        <f>IF(OR($A165="",$D165&lt;&gt;"Activo"),"",COUNTIFS($C$2:$C165,$C165,$D$2:$D165,"Activo"))</f>
      </c>
      <c r="Q165" s="19">
        <f>IF($P165="","",$C165&amp;"|"&amp;$P165)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IF($A166="","",IFERROR(VLOOKUP($C166,'Config'!$D$2:$E$8,2,FALSE),0))</f>
      </c>
      <c r="M166" s="20"/>
      <c r="N166" s="22"/>
      <c r="O166" s="22"/>
      <c r="P166" s="17">
        <f>IF(OR($A166="",$D166&lt;&gt;"Activo"),"",COUNTIFS($C$2:$C166,$C166,$D$2:$D166,"Activo"))</f>
      </c>
      <c r="Q166" s="19">
        <f>IF($P166="","",$C166&amp;"|"&amp;$P166)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IF($A167="","",IFERROR(VLOOKUP($C167,'Config'!$D$2:$E$8,2,FALSE),0))</f>
      </c>
      <c r="M167" s="20"/>
      <c r="N167" s="22"/>
      <c r="O167" s="22"/>
      <c r="P167" s="17">
        <f>IF(OR($A167="",$D167&lt;&gt;"Activo"),"",COUNTIFS($C$2:$C167,$C167,$D$2:$D167,"Activo"))</f>
      </c>
      <c r="Q167" s="19">
        <f>IF($P167="","",$C167&amp;"|"&amp;$P167)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IF($A168="","",IFERROR(VLOOKUP($C168,'Config'!$D$2:$E$8,2,FALSE),0))</f>
      </c>
      <c r="M168" s="20"/>
      <c r="N168" s="22"/>
      <c r="O168" s="22"/>
      <c r="P168" s="17">
        <f>IF(OR($A168="",$D168&lt;&gt;"Activo"),"",COUNTIFS($C$2:$C168,$C168,$D$2:$D168,"Activo"))</f>
      </c>
      <c r="Q168" s="19">
        <f>IF($P168="","",$C168&amp;"|"&amp;$P168)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IF($A169="","",IFERROR(VLOOKUP($C169,'Config'!$D$2:$E$8,2,FALSE),0))</f>
      </c>
      <c r="M169" s="20"/>
      <c r="N169" s="22"/>
      <c r="O169" s="22"/>
      <c r="P169" s="17">
        <f>IF(OR($A169="",$D169&lt;&gt;"Activo"),"",COUNTIFS($C$2:$C169,$C169,$D$2:$D169,"Activo"))</f>
      </c>
      <c r="Q169" s="19">
        <f>IF($P169="","",$C169&amp;"|"&amp;$P169)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IF($A170="","",IFERROR(VLOOKUP($C170,'Config'!$D$2:$E$8,2,FALSE),0))</f>
      </c>
      <c r="M170" s="20"/>
      <c r="N170" s="22"/>
      <c r="O170" s="22"/>
      <c r="P170" s="17">
        <f>IF(OR($A170="",$D170&lt;&gt;"Activo"),"",COUNTIFS($C$2:$C170,$C170,$D$2:$D170,"Activo"))</f>
      </c>
      <c r="Q170" s="19">
        <f>IF($P170="","",$C170&amp;"|"&amp;$P170)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IF($A171="","",IFERROR(VLOOKUP($C171,'Config'!$D$2:$E$8,2,FALSE),0))</f>
      </c>
      <c r="M171" s="20"/>
      <c r="N171" s="22"/>
      <c r="O171" s="22"/>
      <c r="P171" s="17">
        <f>IF(OR($A171="",$D171&lt;&gt;"Activo"),"",COUNTIFS($C$2:$C171,$C171,$D$2:$D171,"Activo"))</f>
      </c>
      <c r="Q171" s="19">
        <f>IF($P171="","",$C171&amp;"|"&amp;$P171)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IF($A172="","",IFERROR(VLOOKUP($C172,'Config'!$D$2:$E$8,2,FALSE),0))</f>
      </c>
      <c r="M172" s="20"/>
      <c r="N172" s="22"/>
      <c r="O172" s="22"/>
      <c r="P172" s="17">
        <f>IF(OR($A172="",$D172&lt;&gt;"Activo"),"",COUNTIFS($C$2:$C172,$C172,$D$2:$D172,"Activo"))</f>
      </c>
      <c r="Q172" s="19">
        <f>IF($P172="","",$C172&amp;"|"&amp;$P172)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IF($A173="","",IFERROR(VLOOKUP($C173,'Config'!$D$2:$E$8,2,FALSE),0))</f>
      </c>
      <c r="M173" s="20"/>
      <c r="N173" s="22"/>
      <c r="O173" s="22"/>
      <c r="P173" s="17">
        <f>IF(OR($A173="",$D173&lt;&gt;"Activo"),"",COUNTIFS($C$2:$C173,$C173,$D$2:$D173,"Activo"))</f>
      </c>
      <c r="Q173" s="19">
        <f>IF($P173="","",$C173&amp;"|"&amp;$P173)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IF($A174="","",IFERROR(VLOOKUP($C174,'Config'!$D$2:$E$8,2,FALSE),0))</f>
      </c>
      <c r="M174" s="20"/>
      <c r="N174" s="22"/>
      <c r="O174" s="22"/>
      <c r="P174" s="17">
        <f>IF(OR($A174="",$D174&lt;&gt;"Activo"),"",COUNTIFS($C$2:$C174,$C174,$D$2:$D174,"Activo"))</f>
      </c>
      <c r="Q174" s="19">
        <f>IF($P174="","",$C174&amp;"|"&amp;$P174)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IF($A175="","",IFERROR(VLOOKUP($C175,'Config'!$D$2:$E$8,2,FALSE),0))</f>
      </c>
      <c r="M175" s="20"/>
      <c r="N175" s="22"/>
      <c r="O175" s="22"/>
      <c r="P175" s="17">
        <f>IF(OR($A175="",$D175&lt;&gt;"Activo"),"",COUNTIFS($C$2:$C175,$C175,$D$2:$D175,"Activo"))</f>
      </c>
      <c r="Q175" s="19">
        <f>IF($P175="","",$C175&amp;"|"&amp;$P175)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IF($A176="","",IFERROR(VLOOKUP($C176,'Config'!$D$2:$E$8,2,FALSE),0))</f>
      </c>
      <c r="M176" s="20"/>
      <c r="N176" s="22"/>
      <c r="O176" s="22"/>
      <c r="P176" s="17">
        <f>IF(OR($A176="",$D176&lt;&gt;"Activo"),"",COUNTIFS($C$2:$C176,$C176,$D$2:$D176,"Activo"))</f>
      </c>
      <c r="Q176" s="19">
        <f>IF($P176="","",$C176&amp;"|"&amp;$P176)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IF($A177="","",IFERROR(VLOOKUP($C177,'Config'!$D$2:$E$8,2,FALSE),0))</f>
      </c>
      <c r="M177" s="20"/>
      <c r="N177" s="22"/>
      <c r="O177" s="22"/>
      <c r="P177" s="17">
        <f>IF(OR($A177="",$D177&lt;&gt;"Activo"),"",COUNTIFS($C$2:$C177,$C177,$D$2:$D177,"Activo"))</f>
      </c>
      <c r="Q177" s="19">
        <f>IF($P177="","",$C177&amp;"|"&amp;$P177)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IF($A178="","",IFERROR(VLOOKUP($C178,'Config'!$D$2:$E$8,2,FALSE),0))</f>
      </c>
      <c r="M178" s="20"/>
      <c r="N178" s="22"/>
      <c r="O178" s="22"/>
      <c r="P178" s="17">
        <f>IF(OR($A178="",$D178&lt;&gt;"Activo"),"",COUNTIFS($C$2:$C178,$C178,$D$2:$D178,"Activo"))</f>
      </c>
      <c r="Q178" s="19">
        <f>IF($P178="","",$C178&amp;"|"&amp;$P178)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IF($A179="","",IFERROR(VLOOKUP($C179,'Config'!$D$2:$E$8,2,FALSE),0))</f>
      </c>
      <c r="M179" s="20"/>
      <c r="N179" s="22"/>
      <c r="O179" s="22"/>
      <c r="P179" s="17">
        <f>IF(OR($A179="",$D179&lt;&gt;"Activo"),"",COUNTIFS($C$2:$C179,$C179,$D$2:$D179,"Activo"))</f>
      </c>
      <c r="Q179" s="19">
        <f>IF($P179="","",$C179&amp;"|"&amp;$P179)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IF($A180="","",IFERROR(VLOOKUP($C180,'Config'!$D$2:$E$8,2,FALSE),0))</f>
      </c>
      <c r="M180" s="20"/>
      <c r="N180" s="22"/>
      <c r="O180" s="22"/>
      <c r="P180" s="17">
        <f>IF(OR($A180="",$D180&lt;&gt;"Activo"),"",COUNTIFS($C$2:$C180,$C180,$D$2:$D180,"Activo"))</f>
      </c>
      <c r="Q180" s="19">
        <f>IF($P180="","",$C180&amp;"|"&amp;$P180)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IF($A181="","",IFERROR(VLOOKUP($C181,'Config'!$D$2:$E$8,2,FALSE),0))</f>
      </c>
      <c r="M181" s="20"/>
      <c r="N181" s="22"/>
      <c r="O181" s="22"/>
      <c r="P181" s="17">
        <f>IF(OR($A181="",$D181&lt;&gt;"Activo"),"",COUNTIFS($C$2:$C181,$C181,$D$2:$D181,"Activo"))</f>
      </c>
      <c r="Q181" s="19">
        <f>IF($P181="","",$C181&amp;"|"&amp;$P181)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IF($A182="","",IFERROR(VLOOKUP($C182,'Config'!$D$2:$E$8,2,FALSE),0))</f>
      </c>
      <c r="M182" s="20"/>
      <c r="N182" s="22"/>
      <c r="O182" s="22"/>
      <c r="P182" s="17">
        <f>IF(OR($A182="",$D182&lt;&gt;"Activo"),"",COUNTIFS($C$2:$C182,$C182,$D$2:$D182,"Activo"))</f>
      </c>
      <c r="Q182" s="19">
        <f>IF($P182="","",$C182&amp;"|"&amp;$P182)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IF($A183="","",IFERROR(VLOOKUP($C183,'Config'!$D$2:$E$8,2,FALSE),0))</f>
      </c>
      <c r="M183" s="20"/>
      <c r="N183" s="22"/>
      <c r="O183" s="22"/>
      <c r="P183" s="17">
        <f>IF(OR($A183="",$D183&lt;&gt;"Activo"),"",COUNTIFS($C$2:$C183,$C183,$D$2:$D183,"Activo"))</f>
      </c>
      <c r="Q183" s="19">
        <f>IF($P183="","",$C183&amp;"|"&amp;$P183)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IF($A184="","",IFERROR(VLOOKUP($C184,'Config'!$D$2:$E$8,2,FALSE),0))</f>
      </c>
      <c r="M184" s="20"/>
      <c r="N184" s="22"/>
      <c r="O184" s="22"/>
      <c r="P184" s="17">
        <f>IF(OR($A184="",$D184&lt;&gt;"Activo"),"",COUNTIFS($C$2:$C184,$C184,$D$2:$D184,"Activo"))</f>
      </c>
      <c r="Q184" s="19">
        <f>IF($P184="","",$C184&amp;"|"&amp;$P184)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IF($A185="","",IFERROR(VLOOKUP($C185,'Config'!$D$2:$E$8,2,FALSE),0))</f>
      </c>
      <c r="M185" s="20"/>
      <c r="N185" s="22"/>
      <c r="O185" s="22"/>
      <c r="P185" s="17">
        <f>IF(OR($A185="",$D185&lt;&gt;"Activo"),"",COUNTIFS($C$2:$C185,$C185,$D$2:$D185,"Activo"))</f>
      </c>
      <c r="Q185" s="19">
        <f>IF($P185="","",$C185&amp;"|"&amp;$P185)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IF($A186="","",IFERROR(VLOOKUP($C186,'Config'!$D$2:$E$8,2,FALSE),0))</f>
      </c>
      <c r="M186" s="20"/>
      <c r="N186" s="22"/>
      <c r="O186" s="22"/>
      <c r="P186" s="17">
        <f>IF(OR($A186="",$D186&lt;&gt;"Activo"),"",COUNTIFS($C$2:$C186,$C186,$D$2:$D186,"Activo"))</f>
      </c>
      <c r="Q186" s="19">
        <f>IF($P186="","",$C186&amp;"|"&amp;$P186)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IF($A187="","",IFERROR(VLOOKUP($C187,'Config'!$D$2:$E$8,2,FALSE),0))</f>
      </c>
      <c r="M187" s="20"/>
      <c r="N187" s="22"/>
      <c r="O187" s="22"/>
      <c r="P187" s="17">
        <f>IF(OR($A187="",$D187&lt;&gt;"Activo"),"",COUNTIFS($C$2:$C187,$C187,$D$2:$D187,"Activo"))</f>
      </c>
      <c r="Q187" s="19">
        <f>IF($P187="","",$C187&amp;"|"&amp;$P187)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IF($A188="","",IFERROR(VLOOKUP($C188,'Config'!$D$2:$E$8,2,FALSE),0))</f>
      </c>
      <c r="M188" s="20"/>
      <c r="N188" s="22"/>
      <c r="O188" s="22"/>
      <c r="P188" s="17">
        <f>IF(OR($A188="",$D188&lt;&gt;"Activo"),"",COUNTIFS($C$2:$C188,$C188,$D$2:$D188,"Activo"))</f>
      </c>
      <c r="Q188" s="19">
        <f>IF($P188="","",$C188&amp;"|"&amp;$P188)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IF($A189="","",IFERROR(VLOOKUP($C189,'Config'!$D$2:$E$8,2,FALSE),0))</f>
      </c>
      <c r="M189" s="20"/>
      <c r="N189" s="22"/>
      <c r="O189" s="22"/>
      <c r="P189" s="17">
        <f>IF(OR($A189="",$D189&lt;&gt;"Activo"),"",COUNTIFS($C$2:$C189,$C189,$D$2:$D189,"Activo"))</f>
      </c>
      <c r="Q189" s="19">
        <f>IF($P189="","",$C189&amp;"|"&amp;$P189)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IF($A190="","",IFERROR(VLOOKUP($C190,'Config'!$D$2:$E$8,2,FALSE),0))</f>
      </c>
      <c r="M190" s="20"/>
      <c r="N190" s="22"/>
      <c r="O190" s="22"/>
      <c r="P190" s="17">
        <f>IF(OR($A190="",$D190&lt;&gt;"Activo"),"",COUNTIFS($C$2:$C190,$C190,$D$2:$D190,"Activo"))</f>
      </c>
      <c r="Q190" s="19">
        <f>IF($P190="","",$C190&amp;"|"&amp;$P190)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IF($A191="","",IFERROR(VLOOKUP($C191,'Config'!$D$2:$E$8,2,FALSE),0))</f>
      </c>
      <c r="M191" s="20"/>
      <c r="N191" s="22"/>
      <c r="O191" s="22"/>
      <c r="P191" s="17">
        <f>IF(OR($A191="",$D191&lt;&gt;"Activo"),"",COUNTIFS($C$2:$C191,$C191,$D$2:$D191,"Activo"))</f>
      </c>
      <c r="Q191" s="19">
        <f>IF($P191="","",$C191&amp;"|"&amp;$P191)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IF($A192="","",IFERROR(VLOOKUP($C192,'Config'!$D$2:$E$8,2,FALSE),0))</f>
      </c>
      <c r="M192" s="20"/>
      <c r="N192" s="22"/>
      <c r="O192" s="22"/>
      <c r="P192" s="17">
        <f>IF(OR($A192="",$D192&lt;&gt;"Activo"),"",COUNTIFS($C$2:$C192,$C192,$D$2:$D192,"Activo"))</f>
      </c>
      <c r="Q192" s="19">
        <f>IF($P192="","",$C192&amp;"|"&amp;$P192)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IF($A193="","",IFERROR(VLOOKUP($C193,'Config'!$D$2:$E$8,2,FALSE),0))</f>
      </c>
      <c r="M193" s="20"/>
      <c r="N193" s="22"/>
      <c r="O193" s="22"/>
      <c r="P193" s="17">
        <f>IF(OR($A193="",$D193&lt;&gt;"Activo"),"",COUNTIFS($C$2:$C193,$C193,$D$2:$D193,"Activo"))</f>
      </c>
      <c r="Q193" s="19">
        <f>IF($P193="","",$C193&amp;"|"&amp;$P193)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IF($A194="","",IFERROR(VLOOKUP($C194,'Config'!$D$2:$E$8,2,FALSE),0))</f>
      </c>
      <c r="M194" s="20"/>
      <c r="N194" s="22"/>
      <c r="O194" s="22"/>
      <c r="P194" s="17">
        <f>IF(OR($A194="",$D194&lt;&gt;"Activo"),"",COUNTIFS($C$2:$C194,$C194,$D$2:$D194,"Activo"))</f>
      </c>
      <c r="Q194" s="19">
        <f>IF($P194="","",$C194&amp;"|"&amp;$P194)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IF($A195="","",IFERROR(VLOOKUP($C195,'Config'!$D$2:$E$8,2,FALSE),0))</f>
      </c>
      <c r="M195" s="20"/>
      <c r="N195" s="22"/>
      <c r="O195" s="22"/>
      <c r="P195" s="17">
        <f>IF(OR($A195="",$D195&lt;&gt;"Activo"),"",COUNTIFS($C$2:$C195,$C195,$D$2:$D195,"Activo"))</f>
      </c>
      <c r="Q195" s="19">
        <f>IF($P195="","",$C195&amp;"|"&amp;$P195)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IF($A196="","",IFERROR(VLOOKUP($C196,'Config'!$D$2:$E$8,2,FALSE),0))</f>
      </c>
      <c r="M196" s="20"/>
      <c r="N196" s="22"/>
      <c r="O196" s="22"/>
      <c r="P196" s="17">
        <f>IF(OR($A196="",$D196&lt;&gt;"Activo"),"",COUNTIFS($C$2:$C196,$C196,$D$2:$D196,"Activo"))</f>
      </c>
      <c r="Q196" s="19">
        <f>IF($P196="","",$C196&amp;"|"&amp;$P196)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IF($A197="","",IFERROR(VLOOKUP($C197,'Config'!$D$2:$E$8,2,FALSE),0))</f>
      </c>
      <c r="M197" s="20"/>
      <c r="N197" s="22"/>
      <c r="O197" s="22"/>
      <c r="P197" s="17">
        <f>IF(OR($A197="",$D197&lt;&gt;"Activo"),"",COUNTIFS($C$2:$C197,$C197,$D$2:$D197,"Activo"))</f>
      </c>
      <c r="Q197" s="19">
        <f>IF($P197="","",$C197&amp;"|"&amp;$P197)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IF($A198="","",IFERROR(VLOOKUP($C198,'Config'!$D$2:$E$8,2,FALSE),0))</f>
      </c>
      <c r="M198" s="20"/>
      <c r="N198" s="22"/>
      <c r="O198" s="22"/>
      <c r="P198" s="17">
        <f>IF(OR($A198="",$D198&lt;&gt;"Activo"),"",COUNTIFS($C$2:$C198,$C198,$D$2:$D198,"Activo"))</f>
      </c>
      <c r="Q198" s="19">
        <f>IF($P198="","",$C198&amp;"|"&amp;$P198)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IF($A199="","",IFERROR(VLOOKUP($C199,'Config'!$D$2:$E$8,2,FALSE),0))</f>
      </c>
      <c r="M199" s="20"/>
      <c r="N199" s="22"/>
      <c r="O199" s="22"/>
      <c r="P199" s="17">
        <f>IF(OR($A199="",$D199&lt;&gt;"Activo"),"",COUNTIFS($C$2:$C199,$C199,$D$2:$D199,"Activo"))</f>
      </c>
      <c r="Q199" s="19">
        <f>IF($P199="","",$C199&amp;"|"&amp;$P199)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IF($A200="","",IFERROR(VLOOKUP($C200,'Config'!$D$2:$E$8,2,FALSE),0))</f>
      </c>
      <c r="M200" s="20"/>
      <c r="N200" s="22"/>
      <c r="O200" s="22"/>
      <c r="P200" s="17">
        <f>IF(OR($A200="",$D200&lt;&gt;"Activo"),"",COUNTIFS($C$2:$C200,$C200,$D$2:$D200,"Activo"))</f>
      </c>
      <c r="Q200" s="19">
        <f>IF($P200="","",$C200&amp;"|"&amp;$P200)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IF($A201="","",IFERROR(VLOOKUP($C201,'Config'!$D$2:$E$8,2,FALSE),0))</f>
      </c>
      <c r="M201" s="20"/>
      <c r="N201" s="22"/>
      <c r="O201" s="22"/>
      <c r="P201" s="17">
        <f>IF(OR($A201="",$D201&lt;&gt;"Activo"),"",COUNTIFS($C$2:$C201,$C201,$D$2:$D201,"Activo"))</f>
      </c>
      <c r="Q201" s="19">
        <f>IF($P201="","",$C201&amp;"|"&amp;$P201)</f>
      </c>
    </row>
  </sheetData>
  <dataValidations count="2">
    <dataValidation type="list" allowBlank="1" showInputMessage="1" showErrorMessage="0" sqref="C2:C201">
      <formula1>'Config'!$D$2:$D$8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5.00" customWidth="1"/>
    <col min="6" max="6" width="15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</row>
  </sheetData>
  <dataValidations count="1">
    <dataValidation type="list" allowBlank="1" showInputMessage="1" showErrorMessage="0" sqref="B2:B301">
      <formula1>'Catálogo'!$A$2:$A$201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4.00" customWidth="1"/>
    <col min="12" max="12" width="10.00" customWidth="1"/>
    <col min="13" max="13" width="14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Utilidad</t>
        </is>
      </c>
      <c r="L1" s="1" t="inlineStr">
        <is>
          <t xml:space="preserve">Margen %</t>
        </is>
      </c>
      <c r="M1" s="1" t="inlineStr">
        <is>
          <t xml:space="preserve">clave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IF($D2="","",$H2-$J2)</f>
      </c>
      <c r="L2" s="18">
        <f>IF($D2="","",IF($H2=0,0,($H2-$J2)/$H2))</f>
      </c>
      <c r="M2" s="19">
        <f>IF($D2="","",$D2&amp;"|"&amp;$G2)</f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IF($D3="","",$H3-$J3)</f>
      </c>
      <c r="L3" s="18">
        <f>IF($D3="","",IF($H3=0,0,($H3-$J3)/$H3))</f>
      </c>
      <c r="M3" s="19">
        <f>IF($D3="","",$D3&amp;"|"&amp;$G3)</f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IF($D4="","",$H4-$J4)</f>
      </c>
      <c r="L4" s="18">
        <f>IF($D4="","",IF($H4=0,0,($H4-$J4)/$H4))</f>
      </c>
      <c r="M4" s="19">
        <f>IF($D4="","",$D4&amp;"|"&amp;$G4)</f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IF($D5="","",$H5-$J5)</f>
      </c>
      <c r="L5" s="18">
        <f>IF($D5="","",IF($H5=0,0,($H5-$J5)/$H5))</f>
      </c>
      <c r="M5" s="19">
        <f>IF($D5="","",$D5&amp;"|"&amp;$G5)</f>
      </c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IF($D6="","",$H6-$J6)</f>
      </c>
      <c r="L6" s="18">
        <f>IF($D6="","",IF($H6=0,0,($H6-$J6)/$H6))</f>
      </c>
      <c r="M6" s="19">
        <f>IF($D6="","",$D6&amp;"|"&amp;$G6)</f>
      </c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IF($D7="","",$H7-$J7)</f>
      </c>
      <c r="L7" s="18">
        <f>IF($D7="","",IF($H7=0,0,($H7-$J7)/$H7))</f>
      </c>
      <c r="M7" s="19">
        <f>IF($D7="","",$D7&amp;"|"&amp;$G7)</f>
      </c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IF($D8="","",$H8-$J8)</f>
      </c>
      <c r="L8" s="18">
        <f>IF($D8="","",IF($H8=0,0,($H8-$J8)/$H8))</f>
      </c>
      <c r="M8" s="19">
        <f>IF($D8="","",$D8&amp;"|"&amp;$G8)</f>
      </c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IF($D9="","",$H9-$J9)</f>
      </c>
      <c r="L9" s="18">
        <f>IF($D9="","",IF($H9=0,0,($H9-$J9)/$H9))</f>
      </c>
      <c r="M9" s="19">
        <f>IF($D9="","",$D9&amp;"|"&amp;$G9)</f>
      </c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IF($D10="","",$H10-$J10)</f>
      </c>
      <c r="L10" s="18">
        <f>IF($D10="","",IF($H10=0,0,($H10-$J10)/$H10))</f>
      </c>
      <c r="M10" s="19">
        <f>IF($D10="","",$D10&amp;"|"&amp;$G10)</f>
      </c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IF($D11="","",$H11-$J11)</f>
      </c>
      <c r="L11" s="18">
        <f>IF($D11="","",IF($H11=0,0,($H11-$J11)/$H11))</f>
      </c>
      <c r="M11" s="19">
        <f>IF($D11="","",$D11&amp;"|"&amp;$G11)</f>
      </c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IF($D12="","",$H12-$J12)</f>
      </c>
      <c r="L12" s="18">
        <f>IF($D12="","",IF($H12=0,0,($H12-$J12)/$H12))</f>
      </c>
      <c r="M12" s="19">
        <f>IF($D12="","",$D12&amp;"|"&amp;$G12)</f>
      </c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IF($D13="","",$H13-$J13)</f>
      </c>
      <c r="L13" s="18">
        <f>IF($D13="","",IF($H13=0,0,($H13-$J13)/$H13))</f>
      </c>
      <c r="M13" s="19">
        <f>IF($D13="","",$D13&amp;"|"&amp;$G13)</f>
      </c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IF($D14="","",$H14-$J14)</f>
      </c>
      <c r="L14" s="18">
        <f>IF($D14="","",IF($H14=0,0,($H14-$J14)/$H14))</f>
      </c>
      <c r="M14" s="19">
        <f>IF($D14="","",$D14&amp;"|"&amp;$G14)</f>
      </c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IF($D15="","",$H15-$J15)</f>
      </c>
      <c r="L15" s="18">
        <f>IF($D15="","",IF($H15=0,0,($H15-$J15)/$H15))</f>
      </c>
      <c r="M15" s="19">
        <f>IF($D15="","",$D15&amp;"|"&amp;$G15)</f>
      </c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IF($D16="","",$H16-$J16)</f>
      </c>
      <c r="L16" s="18">
        <f>IF($D16="","",IF($H16=0,0,($H16-$J16)/$H16))</f>
      </c>
      <c r="M16" s="19">
        <f>IF($D16="","",$D16&amp;"|"&amp;$G16)</f>
      </c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IF($D17="","",$H17-$J17)</f>
      </c>
      <c r="L17" s="18">
        <f>IF($D17="","",IF($H17=0,0,($H17-$J17)/$H17))</f>
      </c>
      <c r="M17" s="19">
        <f>IF($D17="","",$D17&amp;"|"&amp;$G17)</f>
      </c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IF($D18="","",$H18-$J18)</f>
      </c>
      <c r="L18" s="18">
        <f>IF($D18="","",IF($H18=0,0,($H18-$J18)/$H18))</f>
      </c>
      <c r="M18" s="19">
        <f>IF($D18="","",$D18&amp;"|"&amp;$G18)</f>
      </c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IF($D19="","",$H19-$J19)</f>
      </c>
      <c r="L19" s="18">
        <f>IF($D19="","",IF($H19=0,0,($H19-$J19)/$H19))</f>
      </c>
      <c r="M19" s="19">
        <f>IF($D19="","",$D19&amp;"|"&amp;$G19)</f>
      </c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IF($D20="","",$H20-$J20)</f>
      </c>
      <c r="L20" s="18">
        <f>IF($D20="","",IF($H20=0,0,($H20-$J20)/$H20))</f>
      </c>
      <c r="M20" s="19">
        <f>IF($D20="","",$D20&amp;"|"&amp;$G20)</f>
      </c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IF($D21="","",$H21-$J21)</f>
      </c>
      <c r="L21" s="18">
        <f>IF($D21="","",IF($H21=0,0,($H21-$J21)/$H21))</f>
      </c>
      <c r="M21" s="19">
        <f>IF($D21="","",$D21&amp;"|"&amp;$G21)</f>
      </c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IF($D22="","",$H22-$J22)</f>
      </c>
      <c r="L22" s="18">
        <f>IF($D22="","",IF($H22=0,0,($H22-$J22)/$H22))</f>
      </c>
      <c r="M22" s="19">
        <f>IF($D22="","",$D22&amp;"|"&amp;$G22)</f>
      </c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IF($D23="","",$H23-$J23)</f>
      </c>
      <c r="L23" s="18">
        <f>IF($D23="","",IF($H23=0,0,($H23-$J23)/$H23))</f>
      </c>
      <c r="M23" s="19">
        <f>IF($D23="","",$D23&amp;"|"&amp;$G23)</f>
      </c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IF($D24="","",$H24-$J24)</f>
      </c>
      <c r="L24" s="18">
        <f>IF($D24="","",IF($H24=0,0,($H24-$J24)/$H24))</f>
      </c>
      <c r="M24" s="19">
        <f>IF($D24="","",$D24&amp;"|"&amp;$G24)</f>
      </c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IF($D25="","",$H25-$J25)</f>
      </c>
      <c r="L25" s="18">
        <f>IF($D25="","",IF($H25=0,0,($H25-$J25)/$H25))</f>
      </c>
      <c r="M25" s="19">
        <f>IF($D25="","",$D25&amp;"|"&amp;$G25)</f>
      </c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IF($D26="","",$H26-$J26)</f>
      </c>
      <c r="L26" s="18">
        <f>IF($D26="","",IF($H26=0,0,($H26-$J26)/$H26))</f>
      </c>
      <c r="M26" s="19">
        <f>IF($D26="","",$D26&amp;"|"&amp;$G26)</f>
      </c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IF($D27="","",$H27-$J27)</f>
      </c>
      <c r="L27" s="18">
        <f>IF($D27="","",IF($H27=0,0,($H27-$J27)/$H27))</f>
      </c>
      <c r="M27" s="19">
        <f>IF($D27="","",$D27&amp;"|"&amp;$G27)</f>
      </c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IF($D28="","",$H28-$J28)</f>
      </c>
      <c r="L28" s="18">
        <f>IF($D28="","",IF($H28=0,0,($H28-$J28)/$H28))</f>
      </c>
      <c r="M28" s="19">
        <f>IF($D28="","",$D28&amp;"|"&amp;$G28)</f>
      </c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IF($D29="","",$H29-$J29)</f>
      </c>
      <c r="L29" s="18">
        <f>IF($D29="","",IF($H29=0,0,($H29-$J29)/$H29))</f>
      </c>
      <c r="M29" s="19">
        <f>IF($D29="","",$D29&amp;"|"&amp;$G29)</f>
      </c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IF($D30="","",$H30-$J30)</f>
      </c>
      <c r="L30" s="18">
        <f>IF($D30="","",IF($H30=0,0,($H30-$J30)/$H30))</f>
      </c>
      <c r="M30" s="19">
        <f>IF($D30="","",$D30&amp;"|"&amp;$G30)</f>
      </c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IF($D31="","",$H31-$J31)</f>
      </c>
      <c r="L31" s="18">
        <f>IF($D31="","",IF($H31=0,0,($H31-$J31)/$H31))</f>
      </c>
      <c r="M31" s="19">
        <f>IF($D31="","",$D31&amp;"|"&amp;$G31)</f>
      </c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IF($D32="","",$H32-$J32)</f>
      </c>
      <c r="L32" s="18">
        <f>IF($D32="","",IF($H32=0,0,($H32-$J32)/$H32))</f>
      </c>
      <c r="M32" s="19">
        <f>IF($D32="","",$D32&amp;"|"&amp;$G32)</f>
      </c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IF($D33="","",$H33-$J33)</f>
      </c>
      <c r="L33" s="18">
        <f>IF($D33="","",IF($H33=0,0,($H33-$J33)/$H33))</f>
      </c>
      <c r="M33" s="19">
        <f>IF($D33="","",$D33&amp;"|"&amp;$G33)</f>
      </c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IF($D34="","",$H34-$J34)</f>
      </c>
      <c r="L34" s="18">
        <f>IF($D34="","",IF($H34=0,0,($H34-$J34)/$H34))</f>
      </c>
      <c r="M34" s="19">
        <f>IF($D34="","",$D34&amp;"|"&amp;$G34)</f>
      </c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IF($D35="","",$H35-$J35)</f>
      </c>
      <c r="L35" s="18">
        <f>IF($D35="","",IF($H35=0,0,($H35-$J35)/$H35))</f>
      </c>
      <c r="M35" s="19">
        <f>IF($D35="","",$D35&amp;"|"&amp;$G35)</f>
      </c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IF($D36="","",$H36-$J36)</f>
      </c>
      <c r="L36" s="18">
        <f>IF($D36="","",IF($H36=0,0,($H36-$J36)/$H36))</f>
      </c>
      <c r="M36" s="19">
        <f>IF($D36="","",$D36&amp;"|"&amp;$G36)</f>
      </c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IF($D37="","",$H37-$J37)</f>
      </c>
      <c r="L37" s="18">
        <f>IF($D37="","",IF($H37=0,0,($H37-$J37)/$H37))</f>
      </c>
      <c r="M37" s="19">
        <f>IF($D37="","",$D37&amp;"|"&amp;$G37)</f>
      </c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IF($D38="","",$H38-$J38)</f>
      </c>
      <c r="L38" s="18">
        <f>IF($D38="","",IF($H38=0,0,($H38-$J38)/$H38))</f>
      </c>
      <c r="M38" s="19">
        <f>IF($D38="","",$D38&amp;"|"&amp;$G38)</f>
      </c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IF($D39="","",$H39-$J39)</f>
      </c>
      <c r="L39" s="18">
        <f>IF($D39="","",IF($H39=0,0,($H39-$J39)/$H39))</f>
      </c>
      <c r="M39" s="19">
        <f>IF($D39="","",$D39&amp;"|"&amp;$G39)</f>
      </c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IF($D40="","",$H40-$J40)</f>
      </c>
      <c r="L40" s="18">
        <f>IF($D40="","",IF($H40=0,0,($H40-$J40)/$H40))</f>
      </c>
      <c r="M40" s="19">
        <f>IF($D40="","",$D40&amp;"|"&amp;$G40)</f>
      </c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IF($D41="","",$H41-$J41)</f>
      </c>
      <c r="L41" s="18">
        <f>IF($D41="","",IF($H41=0,0,($H41-$J41)/$H41))</f>
      </c>
      <c r="M41" s="19">
        <f>IF($D41="","",$D41&amp;"|"&amp;$G41)</f>
      </c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IF($D42="","",$H42-$J42)</f>
      </c>
      <c r="L42" s="18">
        <f>IF($D42="","",IF($H42=0,0,($H42-$J42)/$H42))</f>
      </c>
      <c r="M42" s="19">
        <f>IF($D42="","",$D42&amp;"|"&amp;$G42)</f>
      </c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IF($D43="","",$H43-$J43)</f>
      </c>
      <c r="L43" s="18">
        <f>IF($D43="","",IF($H43=0,0,($H43-$J43)/$H43))</f>
      </c>
      <c r="M43" s="19">
        <f>IF($D43="","",$D43&amp;"|"&amp;$G43)</f>
      </c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IF($D44="","",$H44-$J44)</f>
      </c>
      <c r="L44" s="18">
        <f>IF($D44="","",IF($H44=0,0,($H44-$J44)/$H44))</f>
      </c>
      <c r="M44" s="19">
        <f>IF($D44="","",$D44&amp;"|"&amp;$G44)</f>
      </c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IF($D45="","",$H45-$J45)</f>
      </c>
      <c r="L45" s="18">
        <f>IF($D45="","",IF($H45=0,0,($H45-$J45)/$H45))</f>
      </c>
      <c r="M45" s="19">
        <f>IF($D45="","",$D45&amp;"|"&amp;$G45)</f>
      </c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IF($D46="","",$H46-$J46)</f>
      </c>
      <c r="L46" s="18">
        <f>IF($D46="","",IF($H46=0,0,($H46-$J46)/$H46))</f>
      </c>
      <c r="M46" s="19">
        <f>IF($D46="","",$D46&amp;"|"&amp;$G46)</f>
      </c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IF($D47="","",$H47-$J47)</f>
      </c>
      <c r="L47" s="18">
        <f>IF($D47="","",IF($H47=0,0,($H47-$J47)/$H47))</f>
      </c>
      <c r="M47" s="19">
        <f>IF($D47="","",$D47&amp;"|"&amp;$G47)</f>
      </c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IF($D48="","",$H48-$J48)</f>
      </c>
      <c r="L48" s="18">
        <f>IF($D48="","",IF($H48=0,0,($H48-$J48)/$H48))</f>
      </c>
      <c r="M48" s="19">
        <f>IF($D48="","",$D48&amp;"|"&amp;$G48)</f>
      </c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IF($D49="","",$H49-$J49)</f>
      </c>
      <c r="L49" s="18">
        <f>IF($D49="","",IF($H49=0,0,($H49-$J49)/$H49))</f>
      </c>
      <c r="M49" s="19">
        <f>IF($D49="","",$D49&amp;"|"&amp;$G49)</f>
      </c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IF($D50="","",$H50-$J50)</f>
      </c>
      <c r="L50" s="18">
        <f>IF($D50="","",IF($H50=0,0,($H50-$J50)/$H50))</f>
      </c>
      <c r="M50" s="19">
        <f>IF($D50="","",$D50&amp;"|"&amp;$G50)</f>
      </c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IF($D51="","",$H51-$J51)</f>
      </c>
      <c r="L51" s="18">
        <f>IF($D51="","",IF($H51=0,0,($H51-$J51)/$H51))</f>
      </c>
      <c r="M51" s="19">
        <f>IF($D51="","",$D51&amp;"|"&amp;$G51)</f>
      </c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IF($D52="","",$H52-$J52)</f>
      </c>
      <c r="L52" s="18">
        <f>IF($D52="","",IF($H52=0,0,($H52-$J52)/$H52))</f>
      </c>
      <c r="M52" s="19">
        <f>IF($D52="","",$D52&amp;"|"&amp;$G52)</f>
      </c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IF($D53="","",$H53-$J53)</f>
      </c>
      <c r="L53" s="18">
        <f>IF($D53="","",IF($H53=0,0,($H53-$J53)/$H53))</f>
      </c>
      <c r="M53" s="19">
        <f>IF($D53="","",$D53&amp;"|"&amp;$G53)</f>
      </c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IF($D54="","",$H54-$J54)</f>
      </c>
      <c r="L54" s="18">
        <f>IF($D54="","",IF($H54=0,0,($H54-$J54)/$H54))</f>
      </c>
      <c r="M54" s="19">
        <f>IF($D54="","",$D54&amp;"|"&amp;$G54)</f>
      </c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IF($D55="","",$H55-$J55)</f>
      </c>
      <c r="L55" s="18">
        <f>IF($D55="","",IF($H55=0,0,($H55-$J55)/$H55))</f>
      </c>
      <c r="M55" s="19">
        <f>IF($D55="","",$D55&amp;"|"&amp;$G55)</f>
      </c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IF($D56="","",$H56-$J56)</f>
      </c>
      <c r="L56" s="18">
        <f>IF($D56="","",IF($H56=0,0,($H56-$J56)/$H56))</f>
      </c>
      <c r="M56" s="19">
        <f>IF($D56="","",$D56&amp;"|"&amp;$G56)</f>
      </c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IF($D57="","",$H57-$J57)</f>
      </c>
      <c r="L57" s="18">
        <f>IF($D57="","",IF($H57=0,0,($H57-$J57)/$H57))</f>
      </c>
      <c r="M57" s="19">
        <f>IF($D57="","",$D57&amp;"|"&amp;$G57)</f>
      </c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IF($D58="","",$H58-$J58)</f>
      </c>
      <c r="L58" s="18">
        <f>IF($D58="","",IF($H58=0,0,($H58-$J58)/$H58))</f>
      </c>
      <c r="M58" s="19">
        <f>IF($D58="","",$D58&amp;"|"&amp;$G58)</f>
      </c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IF($D59="","",$H59-$J59)</f>
      </c>
      <c r="L59" s="18">
        <f>IF($D59="","",IF($H59=0,0,($H59-$J59)/$H59))</f>
      </c>
      <c r="M59" s="19">
        <f>IF($D59="","",$D59&amp;"|"&amp;$G59)</f>
      </c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IF($D60="","",$H60-$J60)</f>
      </c>
      <c r="L60" s="18">
        <f>IF($D60="","",IF($H60=0,0,($H60-$J60)/$H60))</f>
      </c>
      <c r="M60" s="19">
        <f>IF($D60="","",$D60&amp;"|"&amp;$G60)</f>
      </c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IF($D61="","",$H61-$J61)</f>
      </c>
      <c r="L61" s="18">
        <f>IF($D61="","",IF($H61=0,0,($H61-$J61)/$H61))</f>
      </c>
      <c r="M61" s="19">
        <f>IF($D61="","",$D61&amp;"|"&amp;$G61)</f>
      </c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IF($D62="","",$H62-$J62)</f>
      </c>
      <c r="L62" s="18">
        <f>IF($D62="","",IF($H62=0,0,($H62-$J62)/$H62))</f>
      </c>
      <c r="M62" s="19">
        <f>IF($D62="","",$D62&amp;"|"&amp;$G62)</f>
      </c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IF($D63="","",$H63-$J63)</f>
      </c>
      <c r="L63" s="18">
        <f>IF($D63="","",IF($H63=0,0,($H63-$J63)/$H63))</f>
      </c>
      <c r="M63" s="19">
        <f>IF($D63="","",$D63&amp;"|"&amp;$G63)</f>
      </c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IF($D64="","",$H64-$J64)</f>
      </c>
      <c r="L64" s="18">
        <f>IF($D64="","",IF($H64=0,0,($H64-$J64)/$H64))</f>
      </c>
      <c r="M64" s="19">
        <f>IF($D64="","",$D64&amp;"|"&amp;$G64)</f>
      </c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IF($D65="","",$H65-$J65)</f>
      </c>
      <c r="L65" s="18">
        <f>IF($D65="","",IF($H65=0,0,($H65-$J65)/$H65))</f>
      </c>
      <c r="M65" s="19">
        <f>IF($D65="","",$D65&amp;"|"&amp;$G65)</f>
      </c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IF($D66="","",$H66-$J66)</f>
      </c>
      <c r="L66" s="18">
        <f>IF($D66="","",IF($H66=0,0,($H66-$J66)/$H66))</f>
      </c>
      <c r="M66" s="19">
        <f>IF($D66="","",$D66&amp;"|"&amp;$G66)</f>
      </c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IF($D67="","",$H67-$J67)</f>
      </c>
      <c r="L67" s="18">
        <f>IF($D67="","",IF($H67=0,0,($H67-$J67)/$H67))</f>
      </c>
      <c r="M67" s="19">
        <f>IF($D67="","",$D67&amp;"|"&amp;$G67)</f>
      </c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IF($D68="","",$H68-$J68)</f>
      </c>
      <c r="L68" s="18">
        <f>IF($D68="","",IF($H68=0,0,($H68-$J68)/$H68))</f>
      </c>
      <c r="M68" s="19">
        <f>IF($D68="","",$D68&amp;"|"&amp;$G68)</f>
      </c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IF($D69="","",$H69-$J69)</f>
      </c>
      <c r="L69" s="18">
        <f>IF($D69="","",IF($H69=0,0,($H69-$J69)/$H69))</f>
      </c>
      <c r="M69" s="19">
        <f>IF($D69="","",$D69&amp;"|"&amp;$G69)</f>
      </c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IF($D70="","",$H70-$J70)</f>
      </c>
      <c r="L70" s="18">
        <f>IF($D70="","",IF($H70=0,0,($H70-$J70)/$H70))</f>
      </c>
      <c r="M70" s="19">
        <f>IF($D70="","",$D70&amp;"|"&amp;$G70)</f>
      </c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IF($D71="","",$H71-$J71)</f>
      </c>
      <c r="L71" s="18">
        <f>IF($D71="","",IF($H71=0,0,($H71-$J71)/$H71))</f>
      </c>
      <c r="M71" s="19">
        <f>IF($D71="","",$D71&amp;"|"&amp;$G71)</f>
      </c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IF($D72="","",$H72-$J72)</f>
      </c>
      <c r="L72" s="18">
        <f>IF($D72="","",IF($H72=0,0,($H72-$J72)/$H72))</f>
      </c>
      <c r="M72" s="19">
        <f>IF($D72="","",$D72&amp;"|"&amp;$G72)</f>
      </c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IF($D73="","",$H73-$J73)</f>
      </c>
      <c r="L73" s="18">
        <f>IF($D73="","",IF($H73=0,0,($H73-$J73)/$H73))</f>
      </c>
      <c r="M73" s="19">
        <f>IF($D73="","",$D73&amp;"|"&amp;$G73)</f>
      </c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IF($D74="","",$H74-$J74)</f>
      </c>
      <c r="L74" s="18">
        <f>IF($D74="","",IF($H74=0,0,($H74-$J74)/$H74))</f>
      </c>
      <c r="M74" s="19">
        <f>IF($D74="","",$D74&amp;"|"&amp;$G74)</f>
      </c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IF($D75="","",$H75-$J75)</f>
      </c>
      <c r="L75" s="18">
        <f>IF($D75="","",IF($H75=0,0,($H75-$J75)/$H75))</f>
      </c>
      <c r="M75" s="19">
        <f>IF($D75="","",$D75&amp;"|"&amp;$G75)</f>
      </c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IF($D76="","",$H76-$J76)</f>
      </c>
      <c r="L76" s="18">
        <f>IF($D76="","",IF($H76=0,0,($H76-$J76)/$H76))</f>
      </c>
      <c r="M76" s="19">
        <f>IF($D76="","",$D76&amp;"|"&amp;$G76)</f>
      </c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IF($D77="","",$H77-$J77)</f>
      </c>
      <c r="L77" s="18">
        <f>IF($D77="","",IF($H77=0,0,($H77-$J77)/$H77))</f>
      </c>
      <c r="M77" s="19">
        <f>IF($D77="","",$D77&amp;"|"&amp;$G77)</f>
      </c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IF($D78="","",$H78-$J78)</f>
      </c>
      <c r="L78" s="18">
        <f>IF($D78="","",IF($H78=0,0,($H78-$J78)/$H78))</f>
      </c>
      <c r="M78" s="19">
        <f>IF($D78="","",$D78&amp;"|"&amp;$G78)</f>
      </c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IF($D79="","",$H79-$J79)</f>
      </c>
      <c r="L79" s="18">
        <f>IF($D79="","",IF($H79=0,0,($H79-$J79)/$H79))</f>
      </c>
      <c r="M79" s="19">
        <f>IF($D79="","",$D79&amp;"|"&amp;$G79)</f>
      </c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IF($D80="","",$H80-$J80)</f>
      </c>
      <c r="L80" s="18">
        <f>IF($D80="","",IF($H80=0,0,($H80-$J80)/$H80))</f>
      </c>
      <c r="M80" s="19">
        <f>IF($D80="","",$D80&amp;"|"&amp;$G80)</f>
      </c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IF($D81="","",$H81-$J81)</f>
      </c>
      <c r="L81" s="18">
        <f>IF($D81="","",IF($H81=0,0,($H81-$J81)/$H81))</f>
      </c>
      <c r="M81" s="19">
        <f>IF($D81="","",$D81&amp;"|"&amp;$G81)</f>
      </c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IF($D82="","",$H82-$J82)</f>
      </c>
      <c r="L82" s="18">
        <f>IF($D82="","",IF($H82=0,0,($H82-$J82)/$H82))</f>
      </c>
      <c r="M82" s="19">
        <f>IF($D82="","",$D82&amp;"|"&amp;$G82)</f>
      </c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IF($D83="","",$H83-$J83)</f>
      </c>
      <c r="L83" s="18">
        <f>IF($D83="","",IF($H83=0,0,($H83-$J83)/$H83))</f>
      </c>
      <c r="M83" s="19">
        <f>IF($D83="","",$D83&amp;"|"&amp;$G83)</f>
      </c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IF($D84="","",$H84-$J84)</f>
      </c>
      <c r="L84" s="18">
        <f>IF($D84="","",IF($H84=0,0,($H84-$J84)/$H84))</f>
      </c>
      <c r="M84" s="19">
        <f>IF($D84="","",$D84&amp;"|"&amp;$G84)</f>
      </c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IF($D85="","",$H85-$J85)</f>
      </c>
      <c r="L85" s="18">
        <f>IF($D85="","",IF($H85=0,0,($H85-$J85)/$H85))</f>
      </c>
      <c r="M85" s="19">
        <f>IF($D85="","",$D85&amp;"|"&amp;$G85)</f>
      </c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IF($D86="","",$H86-$J86)</f>
      </c>
      <c r="L86" s="18">
        <f>IF($D86="","",IF($H86=0,0,($H86-$J86)/$H86))</f>
      </c>
      <c r="M86" s="19">
        <f>IF($D86="","",$D86&amp;"|"&amp;$G86)</f>
      </c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IF($D87="","",$H87-$J87)</f>
      </c>
      <c r="L87" s="18">
        <f>IF($D87="","",IF($H87=0,0,($H87-$J87)/$H87))</f>
      </c>
      <c r="M87" s="19">
        <f>IF($D87="","",$D87&amp;"|"&amp;$G87)</f>
      </c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IF($D88="","",$H88-$J88)</f>
      </c>
      <c r="L88" s="18">
        <f>IF($D88="","",IF($H88=0,0,($H88-$J88)/$H88))</f>
      </c>
      <c r="M88" s="19">
        <f>IF($D88="","",$D88&amp;"|"&amp;$G88)</f>
      </c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IF($D89="","",$H89-$J89)</f>
      </c>
      <c r="L89" s="18">
        <f>IF($D89="","",IF($H89=0,0,($H89-$J89)/$H89))</f>
      </c>
      <c r="M89" s="19">
        <f>IF($D89="","",$D89&amp;"|"&amp;$G89)</f>
      </c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IF($D90="","",$H90-$J90)</f>
      </c>
      <c r="L90" s="18">
        <f>IF($D90="","",IF($H90=0,0,($H90-$J90)/$H90))</f>
      </c>
      <c r="M90" s="19">
        <f>IF($D90="","",$D90&amp;"|"&amp;$G90)</f>
      </c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IF($D91="","",$H91-$J91)</f>
      </c>
      <c r="L91" s="18">
        <f>IF($D91="","",IF($H91=0,0,($H91-$J91)/$H91))</f>
      </c>
      <c r="M91" s="19">
        <f>IF($D91="","",$D91&amp;"|"&amp;$G91)</f>
      </c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IF($D92="","",$H92-$J92)</f>
      </c>
      <c r="L92" s="18">
        <f>IF($D92="","",IF($H92=0,0,($H92-$J92)/$H92))</f>
      </c>
      <c r="M92" s="19">
        <f>IF($D92="","",$D92&amp;"|"&amp;$G92)</f>
      </c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IF($D93="","",$H93-$J93)</f>
      </c>
      <c r="L93" s="18">
        <f>IF($D93="","",IF($H93=0,0,($H93-$J93)/$H93))</f>
      </c>
      <c r="M93" s="19">
        <f>IF($D93="","",$D93&amp;"|"&amp;$G93)</f>
      </c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IF($D94="","",$H94-$J94)</f>
      </c>
      <c r="L94" s="18">
        <f>IF($D94="","",IF($H94=0,0,($H94-$J94)/$H94))</f>
      </c>
      <c r="M94" s="19">
        <f>IF($D94="","",$D94&amp;"|"&amp;$G94)</f>
      </c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IF($D95="","",$H95-$J95)</f>
      </c>
      <c r="L95" s="18">
        <f>IF($D95="","",IF($H95=0,0,($H95-$J95)/$H95))</f>
      </c>
      <c r="M95" s="19">
        <f>IF($D95="","",$D95&amp;"|"&amp;$G95)</f>
      </c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IF($D96="","",$H96-$J96)</f>
      </c>
      <c r="L96" s="18">
        <f>IF($D96="","",IF($H96=0,0,($H96-$J96)/$H96))</f>
      </c>
      <c r="M96" s="19">
        <f>IF($D96="","",$D96&amp;"|"&amp;$G96)</f>
      </c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IF($D97="","",$H97-$J97)</f>
      </c>
      <c r="L97" s="18">
        <f>IF($D97="","",IF($H97=0,0,($H97-$J97)/$H97))</f>
      </c>
      <c r="M97" s="19">
        <f>IF($D97="","",$D97&amp;"|"&amp;$G97)</f>
      </c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IF($D98="","",$H98-$J98)</f>
      </c>
      <c r="L98" s="18">
        <f>IF($D98="","",IF($H98=0,0,($H98-$J98)/$H98))</f>
      </c>
      <c r="M98" s="19">
        <f>IF($D98="","",$D98&amp;"|"&amp;$G98)</f>
      </c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IF($D99="","",$H99-$J99)</f>
      </c>
      <c r="L99" s="18">
        <f>IF($D99="","",IF($H99=0,0,($H99-$J99)/$H99))</f>
      </c>
      <c r="M99" s="19">
        <f>IF($D99="","",$D99&amp;"|"&amp;$G99)</f>
      </c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IF($D100="","",$H100-$J100)</f>
      </c>
      <c r="L100" s="18">
        <f>IF($D100="","",IF($H100=0,0,($H100-$J100)/$H100))</f>
      </c>
      <c r="M100" s="19">
        <f>IF($D100="","",$D100&amp;"|"&amp;$G100)</f>
      </c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IF($D101="","",$H101-$J101)</f>
      </c>
      <c r="L101" s="18">
        <f>IF($D101="","",IF($H101=0,0,($H101-$J101)/$H101))</f>
      </c>
      <c r="M101" s="19">
        <f>IF($D101="","",$D101&amp;"|"&amp;$G101)</f>
      </c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IF($D102="","",$H102-$J102)</f>
      </c>
      <c r="L102" s="18">
        <f>IF($D102="","",IF($H102=0,0,($H102-$J102)/$H102))</f>
      </c>
      <c r="M102" s="19">
        <f>IF($D102="","",$D102&amp;"|"&amp;$G102)</f>
      </c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IF($D103="","",$H103-$J103)</f>
      </c>
      <c r="L103" s="18">
        <f>IF($D103="","",IF($H103=0,0,($H103-$J103)/$H103))</f>
      </c>
      <c r="M103" s="19">
        <f>IF($D103="","",$D103&amp;"|"&amp;$G103)</f>
      </c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IF($D104="","",$H104-$J104)</f>
      </c>
      <c r="L104" s="18">
        <f>IF($D104="","",IF($H104=0,0,($H104-$J104)/$H104))</f>
      </c>
      <c r="M104" s="19">
        <f>IF($D104="","",$D104&amp;"|"&amp;$G104)</f>
      </c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IF($D105="","",$H105-$J105)</f>
      </c>
      <c r="L105" s="18">
        <f>IF($D105="","",IF($H105=0,0,($H105-$J105)/$H105))</f>
      </c>
      <c r="M105" s="19">
        <f>IF($D105="","",$D105&amp;"|"&amp;$G105)</f>
      </c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IF($D106="","",$H106-$J106)</f>
      </c>
      <c r="L106" s="18">
        <f>IF($D106="","",IF($H106=0,0,($H106-$J106)/$H106))</f>
      </c>
      <c r="M106" s="19">
        <f>IF($D106="","",$D106&amp;"|"&amp;$G106)</f>
      </c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IF($D107="","",$H107-$J107)</f>
      </c>
      <c r="L107" s="18">
        <f>IF($D107="","",IF($H107=0,0,($H107-$J107)/$H107))</f>
      </c>
      <c r="M107" s="19">
        <f>IF($D107="","",$D107&amp;"|"&amp;$G107)</f>
      </c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IF($D108="","",$H108-$J108)</f>
      </c>
      <c r="L108" s="18">
        <f>IF($D108="","",IF($H108=0,0,($H108-$J108)/$H108))</f>
      </c>
      <c r="M108" s="19">
        <f>IF($D108="","",$D108&amp;"|"&amp;$G108)</f>
      </c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IF($D109="","",$H109-$J109)</f>
      </c>
      <c r="L109" s="18">
        <f>IF($D109="","",IF($H109=0,0,($H109-$J109)/$H109))</f>
      </c>
      <c r="M109" s="19">
        <f>IF($D109="","",$D109&amp;"|"&amp;$G109)</f>
      </c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IF($D110="","",$H110-$J110)</f>
      </c>
      <c r="L110" s="18">
        <f>IF($D110="","",IF($H110=0,0,($H110-$J110)/$H110))</f>
      </c>
      <c r="M110" s="19">
        <f>IF($D110="","",$D110&amp;"|"&amp;$G110)</f>
      </c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IF($D111="","",$H111-$J111)</f>
      </c>
      <c r="L111" s="18">
        <f>IF($D111="","",IF($H111=0,0,($H111-$J111)/$H111))</f>
      </c>
      <c r="M111" s="19">
        <f>IF($D111="","",$D111&amp;"|"&amp;$G111)</f>
      </c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IF($D112="","",$H112-$J112)</f>
      </c>
      <c r="L112" s="18">
        <f>IF($D112="","",IF($H112=0,0,($H112-$J112)/$H112))</f>
      </c>
      <c r="M112" s="19">
        <f>IF($D112="","",$D112&amp;"|"&amp;$G112)</f>
      </c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IF($D113="","",$H113-$J113)</f>
      </c>
      <c r="L113" s="18">
        <f>IF($D113="","",IF($H113=0,0,($H113-$J113)/$H113))</f>
      </c>
      <c r="M113" s="19">
        <f>IF($D113="","",$D113&amp;"|"&amp;$G113)</f>
      </c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IF($D114="","",$H114-$J114)</f>
      </c>
      <c r="L114" s="18">
        <f>IF($D114="","",IF($H114=0,0,($H114-$J114)/$H114))</f>
      </c>
      <c r="M114" s="19">
        <f>IF($D114="","",$D114&amp;"|"&amp;$G114)</f>
      </c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IF($D115="","",$H115-$J115)</f>
      </c>
      <c r="L115" s="18">
        <f>IF($D115="","",IF($H115=0,0,($H115-$J115)/$H115))</f>
      </c>
      <c r="M115" s="19">
        <f>IF($D115="","",$D115&amp;"|"&amp;$G115)</f>
      </c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IF($D116="","",$H116-$J116)</f>
      </c>
      <c r="L116" s="18">
        <f>IF($D116="","",IF($H116=0,0,($H116-$J116)/$H116))</f>
      </c>
      <c r="M116" s="19">
        <f>IF($D116="","",$D116&amp;"|"&amp;$G116)</f>
      </c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IF($D117="","",$H117-$J117)</f>
      </c>
      <c r="L117" s="18">
        <f>IF($D117="","",IF($H117=0,0,($H117-$J117)/$H117))</f>
      </c>
      <c r="M117" s="19">
        <f>IF($D117="","",$D117&amp;"|"&amp;$G117)</f>
      </c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IF($D118="","",$H118-$J118)</f>
      </c>
      <c r="L118" s="18">
        <f>IF($D118="","",IF($H118=0,0,($H118-$J118)/$H118))</f>
      </c>
      <c r="M118" s="19">
        <f>IF($D118="","",$D118&amp;"|"&amp;$G118)</f>
      </c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IF($D119="","",$H119-$J119)</f>
      </c>
      <c r="L119" s="18">
        <f>IF($D119="","",IF($H119=0,0,($H119-$J119)/$H119))</f>
      </c>
      <c r="M119" s="19">
        <f>IF($D119="","",$D119&amp;"|"&amp;$G119)</f>
      </c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IF($D120="","",$H120-$J120)</f>
      </c>
      <c r="L120" s="18">
        <f>IF($D120="","",IF($H120=0,0,($H120-$J120)/$H120))</f>
      </c>
      <c r="M120" s="19">
        <f>IF($D120="","",$D120&amp;"|"&amp;$G120)</f>
      </c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IF($D121="","",$H121-$J121)</f>
      </c>
      <c r="L121" s="18">
        <f>IF($D121="","",IF($H121=0,0,($H121-$J121)/$H121))</f>
      </c>
      <c r="M121" s="19">
        <f>IF($D121="","",$D121&amp;"|"&amp;$G121)</f>
      </c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IF($D122="","",$H122-$J122)</f>
      </c>
      <c r="L122" s="18">
        <f>IF($D122="","",IF($H122=0,0,($H122-$J122)/$H122))</f>
      </c>
      <c r="M122" s="19">
        <f>IF($D122="","",$D122&amp;"|"&amp;$G122)</f>
      </c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IF($D123="","",$H123-$J123)</f>
      </c>
      <c r="L123" s="18">
        <f>IF($D123="","",IF($H123=0,0,($H123-$J123)/$H123))</f>
      </c>
      <c r="M123" s="19">
        <f>IF($D123="","",$D123&amp;"|"&amp;$G123)</f>
      </c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IF($D124="","",$H124-$J124)</f>
      </c>
      <c r="L124" s="18">
        <f>IF($D124="","",IF($H124=0,0,($H124-$J124)/$H124))</f>
      </c>
      <c r="M124" s="19">
        <f>IF($D124="","",$D124&amp;"|"&amp;$G124)</f>
      </c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IF($D125="","",$H125-$J125)</f>
      </c>
      <c r="L125" s="18">
        <f>IF($D125="","",IF($H125=0,0,($H125-$J125)/$H125))</f>
      </c>
      <c r="M125" s="19">
        <f>IF($D125="","",$D125&amp;"|"&amp;$G125)</f>
      </c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IF($D126="","",$H126-$J126)</f>
      </c>
      <c r="L126" s="18">
        <f>IF($D126="","",IF($H126=0,0,($H126-$J126)/$H126))</f>
      </c>
      <c r="M126" s="19">
        <f>IF($D126="","",$D126&amp;"|"&amp;$G126)</f>
      </c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IF($D127="","",$H127-$J127)</f>
      </c>
      <c r="L127" s="18">
        <f>IF($D127="","",IF($H127=0,0,($H127-$J127)/$H127))</f>
      </c>
      <c r="M127" s="19">
        <f>IF($D127="","",$D127&amp;"|"&amp;$G127)</f>
      </c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IF($D128="","",$H128-$J128)</f>
      </c>
      <c r="L128" s="18">
        <f>IF($D128="","",IF($H128=0,0,($H128-$J128)/$H128))</f>
      </c>
      <c r="M128" s="19">
        <f>IF($D128="","",$D128&amp;"|"&amp;$G128)</f>
      </c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IF($D129="","",$H129-$J129)</f>
      </c>
      <c r="L129" s="18">
        <f>IF($D129="","",IF($H129=0,0,($H129-$J129)/$H129))</f>
      </c>
      <c r="M129" s="19">
        <f>IF($D129="","",$D129&amp;"|"&amp;$G129)</f>
      </c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IF($D130="","",$H130-$J130)</f>
      </c>
      <c r="L130" s="18">
        <f>IF($D130="","",IF($H130=0,0,($H130-$J130)/$H130))</f>
      </c>
      <c r="M130" s="19">
        <f>IF($D130="","",$D130&amp;"|"&amp;$G130)</f>
      </c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IF($D131="","",$H131-$J131)</f>
      </c>
      <c r="L131" s="18">
        <f>IF($D131="","",IF($H131=0,0,($H131-$J131)/$H131))</f>
      </c>
      <c r="M131" s="19">
        <f>IF($D131="","",$D131&amp;"|"&amp;$G131)</f>
      </c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IF($D132="","",$H132-$J132)</f>
      </c>
      <c r="L132" s="18">
        <f>IF($D132="","",IF($H132=0,0,($H132-$J132)/$H132))</f>
      </c>
      <c r="M132" s="19">
        <f>IF($D132="","",$D132&amp;"|"&amp;$G132)</f>
      </c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IF($D133="","",$H133-$J133)</f>
      </c>
      <c r="L133" s="18">
        <f>IF($D133="","",IF($H133=0,0,($H133-$J133)/$H133))</f>
      </c>
      <c r="M133" s="19">
        <f>IF($D133="","",$D133&amp;"|"&amp;$G133)</f>
      </c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IF($D134="","",$H134-$J134)</f>
      </c>
      <c r="L134" s="18">
        <f>IF($D134="","",IF($H134=0,0,($H134-$J134)/$H134))</f>
      </c>
      <c r="M134" s="19">
        <f>IF($D134="","",$D134&amp;"|"&amp;$G134)</f>
      </c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IF($D135="","",$H135-$J135)</f>
      </c>
      <c r="L135" s="18">
        <f>IF($D135="","",IF($H135=0,0,($H135-$J135)/$H135))</f>
      </c>
      <c r="M135" s="19">
        <f>IF($D135="","",$D135&amp;"|"&amp;$G135)</f>
      </c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IF($D136="","",$H136-$J136)</f>
      </c>
      <c r="L136" s="18">
        <f>IF($D136="","",IF($H136=0,0,($H136-$J136)/$H136))</f>
      </c>
      <c r="M136" s="19">
        <f>IF($D136="","",$D136&amp;"|"&amp;$G136)</f>
      </c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IF($D137="","",$H137-$J137)</f>
      </c>
      <c r="L137" s="18">
        <f>IF($D137="","",IF($H137=0,0,($H137-$J137)/$H137))</f>
      </c>
      <c r="M137" s="19">
        <f>IF($D137="","",$D137&amp;"|"&amp;$G137)</f>
      </c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IF($D138="","",$H138-$J138)</f>
      </c>
      <c r="L138" s="18">
        <f>IF($D138="","",IF($H138=0,0,($H138-$J138)/$H138))</f>
      </c>
      <c r="M138" s="19">
        <f>IF($D138="","",$D138&amp;"|"&amp;$G138)</f>
      </c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IF($D139="","",$H139-$J139)</f>
      </c>
      <c r="L139" s="18">
        <f>IF($D139="","",IF($H139=0,0,($H139-$J139)/$H139))</f>
      </c>
      <c r="M139" s="19">
        <f>IF($D139="","",$D139&amp;"|"&amp;$G139)</f>
      </c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IF($D140="","",$H140-$J140)</f>
      </c>
      <c r="L140" s="18">
        <f>IF($D140="","",IF($H140=0,0,($H140-$J140)/$H140))</f>
      </c>
      <c r="M140" s="19">
        <f>IF($D140="","",$D140&amp;"|"&amp;$G140)</f>
      </c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IF($D141="","",$H141-$J141)</f>
      </c>
      <c r="L141" s="18">
        <f>IF($D141="","",IF($H141=0,0,($H141-$J141)/$H141))</f>
      </c>
      <c r="M141" s="19">
        <f>IF($D141="","",$D141&amp;"|"&amp;$G141)</f>
      </c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IF($D142="","",$H142-$J142)</f>
      </c>
      <c r="L142" s="18">
        <f>IF($D142="","",IF($H142=0,0,($H142-$J142)/$H142))</f>
      </c>
      <c r="M142" s="19">
        <f>IF($D142="","",$D142&amp;"|"&amp;$G142)</f>
      </c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IF($D143="","",$H143-$J143)</f>
      </c>
      <c r="L143" s="18">
        <f>IF($D143="","",IF($H143=0,0,($H143-$J143)/$H143))</f>
      </c>
      <c r="M143" s="19">
        <f>IF($D143="","",$D143&amp;"|"&amp;$G143)</f>
      </c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IF($D144="","",$H144-$J144)</f>
      </c>
      <c r="L144" s="18">
        <f>IF($D144="","",IF($H144=0,0,($H144-$J144)/$H144))</f>
      </c>
      <c r="M144" s="19">
        <f>IF($D144="","",$D144&amp;"|"&amp;$G144)</f>
      </c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IF($D145="","",$H145-$J145)</f>
      </c>
      <c r="L145" s="18">
        <f>IF($D145="","",IF($H145=0,0,($H145-$J145)/$H145))</f>
      </c>
      <c r="M145" s="19">
        <f>IF($D145="","",$D145&amp;"|"&amp;$G145)</f>
      </c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IF($D146="","",$H146-$J146)</f>
      </c>
      <c r="L146" s="18">
        <f>IF($D146="","",IF($H146=0,0,($H146-$J146)/$H146))</f>
      </c>
      <c r="M146" s="19">
        <f>IF($D146="","",$D146&amp;"|"&amp;$G146)</f>
      </c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IF($D147="","",$H147-$J147)</f>
      </c>
      <c r="L147" s="18">
        <f>IF($D147="","",IF($H147=0,0,($H147-$J147)/$H147))</f>
      </c>
      <c r="M147" s="19">
        <f>IF($D147="","",$D147&amp;"|"&amp;$G147)</f>
      </c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IF($D148="","",$H148-$J148)</f>
      </c>
      <c r="L148" s="18">
        <f>IF($D148="","",IF($H148=0,0,($H148-$J148)/$H148))</f>
      </c>
      <c r="M148" s="19">
        <f>IF($D148="","",$D148&amp;"|"&amp;$G148)</f>
      </c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IF($D149="","",$H149-$J149)</f>
      </c>
      <c r="L149" s="18">
        <f>IF($D149="","",IF($H149=0,0,($H149-$J149)/$H149))</f>
      </c>
      <c r="M149" s="19">
        <f>IF($D149="","",$D149&amp;"|"&amp;$G149)</f>
      </c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IF($D150="","",$H150-$J150)</f>
      </c>
      <c r="L150" s="18">
        <f>IF($D150="","",IF($H150=0,0,($H150-$J150)/$H150))</f>
      </c>
      <c r="M150" s="19">
        <f>IF($D150="","",$D150&amp;"|"&amp;$G150)</f>
      </c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IF($D151="","",$H151-$J151)</f>
      </c>
      <c r="L151" s="18">
        <f>IF($D151="","",IF($H151=0,0,($H151-$J151)/$H151))</f>
      </c>
      <c r="M151" s="19">
        <f>IF($D151="","",$D151&amp;"|"&amp;$G151)</f>
      </c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IF($D152="","",$H152-$J152)</f>
      </c>
      <c r="L152" s="18">
        <f>IF($D152="","",IF($H152=0,0,($H152-$J152)/$H152))</f>
      </c>
      <c r="M152" s="19">
        <f>IF($D152="","",$D152&amp;"|"&amp;$G152)</f>
      </c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IF($D153="","",$H153-$J153)</f>
      </c>
      <c r="L153" s="18">
        <f>IF($D153="","",IF($H153=0,0,($H153-$J153)/$H153))</f>
      </c>
      <c r="M153" s="19">
        <f>IF($D153="","",$D153&amp;"|"&amp;$G153)</f>
      </c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IF($D154="","",$H154-$J154)</f>
      </c>
      <c r="L154" s="18">
        <f>IF($D154="","",IF($H154=0,0,($H154-$J154)/$H154))</f>
      </c>
      <c r="M154" s="19">
        <f>IF($D154="","",$D154&amp;"|"&amp;$G154)</f>
      </c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IF($D155="","",$H155-$J155)</f>
      </c>
      <c r="L155" s="18">
        <f>IF($D155="","",IF($H155=0,0,($H155-$J155)/$H155))</f>
      </c>
      <c r="M155" s="19">
        <f>IF($D155="","",$D155&amp;"|"&amp;$G155)</f>
      </c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IF($D156="","",$H156-$J156)</f>
      </c>
      <c r="L156" s="18">
        <f>IF($D156="","",IF($H156=0,0,($H156-$J156)/$H156))</f>
      </c>
      <c r="M156" s="19">
        <f>IF($D156="","",$D156&amp;"|"&amp;$G156)</f>
      </c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IF($D157="","",$H157-$J157)</f>
      </c>
      <c r="L157" s="18">
        <f>IF($D157="","",IF($H157=0,0,($H157-$J157)/$H157))</f>
      </c>
      <c r="M157" s="19">
        <f>IF($D157="","",$D157&amp;"|"&amp;$G157)</f>
      </c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IF($D158="","",$H158-$J158)</f>
      </c>
      <c r="L158" s="18">
        <f>IF($D158="","",IF($H158=0,0,($H158-$J158)/$H158))</f>
      </c>
      <c r="M158" s="19">
        <f>IF($D158="","",$D158&amp;"|"&amp;$G158)</f>
      </c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IF($D159="","",$H159-$J159)</f>
      </c>
      <c r="L159" s="18">
        <f>IF($D159="","",IF($H159=0,0,($H159-$J159)/$H159))</f>
      </c>
      <c r="M159" s="19">
        <f>IF($D159="","",$D159&amp;"|"&amp;$G159)</f>
      </c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IF($D160="","",$H160-$J160)</f>
      </c>
      <c r="L160" s="18">
        <f>IF($D160="","",IF($H160=0,0,($H160-$J160)/$H160))</f>
      </c>
      <c r="M160" s="19">
        <f>IF($D160="","",$D160&amp;"|"&amp;$G160)</f>
      </c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IF($D161="","",$H161-$J161)</f>
      </c>
      <c r="L161" s="18">
        <f>IF($D161="","",IF($H161=0,0,($H161-$J161)/$H161))</f>
      </c>
      <c r="M161" s="19">
        <f>IF($D161="","",$D161&amp;"|"&amp;$G161)</f>
      </c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IF($D162="","",$H162-$J162)</f>
      </c>
      <c r="L162" s="18">
        <f>IF($D162="","",IF($H162=0,0,($H162-$J162)/$H162))</f>
      </c>
      <c r="M162" s="19">
        <f>IF($D162="","",$D162&amp;"|"&amp;$G162)</f>
      </c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IF($D163="","",$H163-$J163)</f>
      </c>
      <c r="L163" s="18">
        <f>IF($D163="","",IF($H163=0,0,($H163-$J163)/$H163))</f>
      </c>
      <c r="M163" s="19">
        <f>IF($D163="","",$D163&amp;"|"&amp;$G163)</f>
      </c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IF($D164="","",$H164-$J164)</f>
      </c>
      <c r="L164" s="18">
        <f>IF($D164="","",IF($H164=0,0,($H164-$J164)/$H164))</f>
      </c>
      <c r="M164" s="19">
        <f>IF($D164="","",$D164&amp;"|"&amp;$G164)</f>
      </c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IF($D165="","",$H165-$J165)</f>
      </c>
      <c r="L165" s="18">
        <f>IF($D165="","",IF($H165=0,0,($H165-$J165)/$H165))</f>
      </c>
      <c r="M165" s="19">
        <f>IF($D165="","",$D165&amp;"|"&amp;$G165)</f>
      </c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IF($D166="","",$H166-$J166)</f>
      </c>
      <c r="L166" s="18">
        <f>IF($D166="","",IF($H166=0,0,($H166-$J166)/$H166))</f>
      </c>
      <c r="M166" s="19">
        <f>IF($D166="","",$D166&amp;"|"&amp;$G166)</f>
      </c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IF($D167="","",$H167-$J167)</f>
      </c>
      <c r="L167" s="18">
        <f>IF($D167="","",IF($H167=0,0,($H167-$J167)/$H167))</f>
      </c>
      <c r="M167" s="19">
        <f>IF($D167="","",$D167&amp;"|"&amp;$G167)</f>
      </c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IF($D168="","",$H168-$J168)</f>
      </c>
      <c r="L168" s="18">
        <f>IF($D168="","",IF($H168=0,0,($H168-$J168)/$H168))</f>
      </c>
      <c r="M168" s="19">
        <f>IF($D168="","",$D168&amp;"|"&amp;$G168)</f>
      </c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IF($D169="","",$H169-$J169)</f>
      </c>
      <c r="L169" s="18">
        <f>IF($D169="","",IF($H169=0,0,($H169-$J169)/$H169))</f>
      </c>
      <c r="M169" s="19">
        <f>IF($D169="","",$D169&amp;"|"&amp;$G169)</f>
      </c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IF($D170="","",$H170-$J170)</f>
      </c>
      <c r="L170" s="18">
        <f>IF($D170="","",IF($H170=0,0,($H170-$J170)/$H170))</f>
      </c>
      <c r="M170" s="19">
        <f>IF($D170="","",$D170&amp;"|"&amp;$G170)</f>
      </c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IF($D171="","",$H171-$J171)</f>
      </c>
      <c r="L171" s="18">
        <f>IF($D171="","",IF($H171=0,0,($H171-$J171)/$H171))</f>
      </c>
      <c r="M171" s="19">
        <f>IF($D171="","",$D171&amp;"|"&amp;$G171)</f>
      </c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IF($D172="","",$H172-$J172)</f>
      </c>
      <c r="L172" s="18">
        <f>IF($D172="","",IF($H172=0,0,($H172-$J172)/$H172))</f>
      </c>
      <c r="M172" s="19">
        <f>IF($D172="","",$D172&amp;"|"&amp;$G172)</f>
      </c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IF($D173="","",$H173-$J173)</f>
      </c>
      <c r="L173" s="18">
        <f>IF($D173="","",IF($H173=0,0,($H173-$J173)/$H173))</f>
      </c>
      <c r="M173" s="19">
        <f>IF($D173="","",$D173&amp;"|"&amp;$G173)</f>
      </c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IF($D174="","",$H174-$J174)</f>
      </c>
      <c r="L174" s="18">
        <f>IF($D174="","",IF($H174=0,0,($H174-$J174)/$H174))</f>
      </c>
      <c r="M174" s="19">
        <f>IF($D174="","",$D174&amp;"|"&amp;$G174)</f>
      </c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IF($D175="","",$H175-$J175)</f>
      </c>
      <c r="L175" s="18">
        <f>IF($D175="","",IF($H175=0,0,($H175-$J175)/$H175))</f>
      </c>
      <c r="M175" s="19">
        <f>IF($D175="","",$D175&amp;"|"&amp;$G175)</f>
      </c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IF($D176="","",$H176-$J176)</f>
      </c>
      <c r="L176" s="18">
        <f>IF($D176="","",IF($H176=0,0,($H176-$J176)/$H176))</f>
      </c>
      <c r="M176" s="19">
        <f>IF($D176="","",$D176&amp;"|"&amp;$G176)</f>
      </c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IF($D177="","",$H177-$J177)</f>
      </c>
      <c r="L177" s="18">
        <f>IF($D177="","",IF($H177=0,0,($H177-$J177)/$H177))</f>
      </c>
      <c r="M177" s="19">
        <f>IF($D177="","",$D177&amp;"|"&amp;$G177)</f>
      </c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IF($D178="","",$H178-$J178)</f>
      </c>
      <c r="L178" s="18">
        <f>IF($D178="","",IF($H178=0,0,($H178-$J178)/$H178))</f>
      </c>
      <c r="M178" s="19">
        <f>IF($D178="","",$D178&amp;"|"&amp;$G178)</f>
      </c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IF($D179="","",$H179-$J179)</f>
      </c>
      <c r="L179" s="18">
        <f>IF($D179="","",IF($H179=0,0,($H179-$J179)/$H179))</f>
      </c>
      <c r="M179" s="19">
        <f>IF($D179="","",$D179&amp;"|"&amp;$G179)</f>
      </c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IF($D180="","",$H180-$J180)</f>
      </c>
      <c r="L180" s="18">
        <f>IF($D180="","",IF($H180=0,0,($H180-$J180)/$H180))</f>
      </c>
      <c r="M180" s="19">
        <f>IF($D180="","",$D180&amp;"|"&amp;$G180)</f>
      </c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IF($D181="","",$H181-$J181)</f>
      </c>
      <c r="L181" s="18">
        <f>IF($D181="","",IF($H181=0,0,($H181-$J181)/$H181))</f>
      </c>
      <c r="M181" s="19">
        <f>IF($D181="","",$D181&amp;"|"&amp;$G181)</f>
      </c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IF($D182="","",$H182-$J182)</f>
      </c>
      <c r="L182" s="18">
        <f>IF($D182="","",IF($H182=0,0,($H182-$J182)/$H182))</f>
      </c>
      <c r="M182" s="19">
        <f>IF($D182="","",$D182&amp;"|"&amp;$G182)</f>
      </c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IF($D183="","",$H183-$J183)</f>
      </c>
      <c r="L183" s="18">
        <f>IF($D183="","",IF($H183=0,0,($H183-$J183)/$H183))</f>
      </c>
      <c r="M183" s="19">
        <f>IF($D183="","",$D183&amp;"|"&amp;$G183)</f>
      </c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IF($D184="","",$H184-$J184)</f>
      </c>
      <c r="L184" s="18">
        <f>IF($D184="","",IF($H184=0,0,($H184-$J184)/$H184))</f>
      </c>
      <c r="M184" s="19">
        <f>IF($D184="","",$D184&amp;"|"&amp;$G184)</f>
      </c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IF($D185="","",$H185-$J185)</f>
      </c>
      <c r="L185" s="18">
        <f>IF($D185="","",IF($H185=0,0,($H185-$J185)/$H185))</f>
      </c>
      <c r="M185" s="19">
        <f>IF($D185="","",$D185&amp;"|"&amp;$G185)</f>
      </c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IF($D186="","",$H186-$J186)</f>
      </c>
      <c r="L186" s="18">
        <f>IF($D186="","",IF($H186=0,0,($H186-$J186)/$H186))</f>
      </c>
      <c r="M186" s="19">
        <f>IF($D186="","",$D186&amp;"|"&amp;$G186)</f>
      </c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IF($D187="","",$H187-$J187)</f>
      </c>
      <c r="L187" s="18">
        <f>IF($D187="","",IF($H187=0,0,($H187-$J187)/$H187))</f>
      </c>
      <c r="M187" s="19">
        <f>IF($D187="","",$D187&amp;"|"&amp;$G187)</f>
      </c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IF($D188="","",$H188-$J188)</f>
      </c>
      <c r="L188" s="18">
        <f>IF($D188="","",IF($H188=0,0,($H188-$J188)/$H188))</f>
      </c>
      <c r="M188" s="19">
        <f>IF($D188="","",$D188&amp;"|"&amp;$G188)</f>
      </c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IF($D189="","",$H189-$J189)</f>
      </c>
      <c r="L189" s="18">
        <f>IF($D189="","",IF($H189=0,0,($H189-$J189)/$H189))</f>
      </c>
      <c r="M189" s="19">
        <f>IF($D189="","",$D189&amp;"|"&amp;$G189)</f>
      </c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IF($D190="","",$H190-$J190)</f>
      </c>
      <c r="L190" s="18">
        <f>IF($D190="","",IF($H190=0,0,($H190-$J190)/$H190))</f>
      </c>
      <c r="M190" s="19">
        <f>IF($D190="","",$D190&amp;"|"&amp;$G190)</f>
      </c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IF($D191="","",$H191-$J191)</f>
      </c>
      <c r="L191" s="18">
        <f>IF($D191="","",IF($H191=0,0,($H191-$J191)/$H191))</f>
      </c>
      <c r="M191" s="19">
        <f>IF($D191="","",$D191&amp;"|"&amp;$G191)</f>
      </c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IF($D192="","",$H192-$J192)</f>
      </c>
      <c r="L192" s="18">
        <f>IF($D192="","",IF($H192=0,0,($H192-$J192)/$H192))</f>
      </c>
      <c r="M192" s="19">
        <f>IF($D192="","",$D192&amp;"|"&amp;$G192)</f>
      </c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IF($D193="","",$H193-$J193)</f>
      </c>
      <c r="L193" s="18">
        <f>IF($D193="","",IF($H193=0,0,($H193-$J193)/$H193))</f>
      </c>
      <c r="M193" s="19">
        <f>IF($D193="","",$D193&amp;"|"&amp;$G193)</f>
      </c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IF($D194="","",$H194-$J194)</f>
      </c>
      <c r="L194" s="18">
        <f>IF($D194="","",IF($H194=0,0,($H194-$J194)/$H194))</f>
      </c>
      <c r="M194" s="19">
        <f>IF($D194="","",$D194&amp;"|"&amp;$G194)</f>
      </c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IF($D195="","",$H195-$J195)</f>
      </c>
      <c r="L195" s="18">
        <f>IF($D195="","",IF($H195=0,0,($H195-$J195)/$H195))</f>
      </c>
      <c r="M195" s="19">
        <f>IF($D195="","",$D195&amp;"|"&amp;$G195)</f>
      </c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IF($D196="","",$H196-$J196)</f>
      </c>
      <c r="L196" s="18">
        <f>IF($D196="","",IF($H196=0,0,($H196-$J196)/$H196))</f>
      </c>
      <c r="M196" s="19">
        <f>IF($D196="","",$D196&amp;"|"&amp;$G196)</f>
      </c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IF($D197="","",$H197-$J197)</f>
      </c>
      <c r="L197" s="18">
        <f>IF($D197="","",IF($H197=0,0,($H197-$J197)/$H197))</f>
      </c>
      <c r="M197" s="19">
        <f>IF($D197="","",$D197&amp;"|"&amp;$G197)</f>
      </c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IF($D198="","",$H198-$J198)</f>
      </c>
      <c r="L198" s="18">
        <f>IF($D198="","",IF($H198=0,0,($H198-$J198)/$H198))</f>
      </c>
      <c r="M198" s="19">
        <f>IF($D198="","",$D198&amp;"|"&amp;$G198)</f>
      </c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IF($D199="","",$H199-$J199)</f>
      </c>
      <c r="L199" s="18">
        <f>IF($D199="","",IF($H199=0,0,($H199-$J199)/$H199))</f>
      </c>
      <c r="M199" s="19">
        <f>IF($D199="","",$D199&amp;"|"&amp;$G199)</f>
      </c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IF($D200="","",$H200-$J200)</f>
      </c>
      <c r="L200" s="18">
        <f>IF($D200="","",IF($H200=0,0,($H200-$J200)/$H200))</f>
      </c>
      <c r="M200" s="19">
        <f>IF($D200="","",$D200&amp;"|"&amp;$G200)</f>
      </c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IF($D201="","",$H201-$J201)</f>
      </c>
      <c r="L201" s="18">
        <f>IF($D201="","",IF($H201=0,0,($H201-$J201)/$H201))</f>
      </c>
      <c r="M201" s="19">
        <f>IF($D201="","",$D201&amp;"|"&amp;$G201)</f>
      </c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IF($D202="","",$H202-$J202)</f>
      </c>
      <c r="L202" s="18">
        <f>IF($D202="","",IF($H202=0,0,($H202-$J202)/$H202))</f>
      </c>
      <c r="M202" s="19">
        <f>IF($D202="","",$D202&amp;"|"&amp;$G202)</f>
      </c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IF($D203="","",$H203-$J203)</f>
      </c>
      <c r="L203" s="18">
        <f>IF($D203="","",IF($H203=0,0,($H203-$J203)/$H203))</f>
      </c>
      <c r="M203" s="19">
        <f>IF($D203="","",$D203&amp;"|"&amp;$G203)</f>
      </c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IF($D204="","",$H204-$J204)</f>
      </c>
      <c r="L204" s="18">
        <f>IF($D204="","",IF($H204=0,0,($H204-$J204)/$H204))</f>
      </c>
      <c r="M204" s="19">
        <f>IF($D204="","",$D204&amp;"|"&amp;$G204)</f>
      </c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IF($D205="","",$H205-$J205)</f>
      </c>
      <c r="L205" s="18">
        <f>IF($D205="","",IF($H205=0,0,($H205-$J205)/$H205))</f>
      </c>
      <c r="M205" s="19">
        <f>IF($D205="","",$D205&amp;"|"&amp;$G205)</f>
      </c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IF($D206="","",$H206-$J206)</f>
      </c>
      <c r="L206" s="18">
        <f>IF($D206="","",IF($H206=0,0,($H206-$J206)/$H206))</f>
      </c>
      <c r="M206" s="19">
        <f>IF($D206="","",$D206&amp;"|"&amp;$G206)</f>
      </c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IF($D207="","",$H207-$J207)</f>
      </c>
      <c r="L207" s="18">
        <f>IF($D207="","",IF($H207=0,0,($H207-$J207)/$H207))</f>
      </c>
      <c r="M207" s="19">
        <f>IF($D207="","",$D207&amp;"|"&amp;$G207)</f>
      </c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IF($D208="","",$H208-$J208)</f>
      </c>
      <c r="L208" s="18">
        <f>IF($D208="","",IF($H208=0,0,($H208-$J208)/$H208))</f>
      </c>
      <c r="M208" s="19">
        <f>IF($D208="","",$D208&amp;"|"&amp;$G208)</f>
      </c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IF($D209="","",$H209-$J209)</f>
      </c>
      <c r="L209" s="18">
        <f>IF($D209="","",IF($H209=0,0,($H209-$J209)/$H209))</f>
      </c>
      <c r="M209" s="19">
        <f>IF($D209="","",$D209&amp;"|"&amp;$G209)</f>
      </c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IF($D210="","",$H210-$J210)</f>
      </c>
      <c r="L210" s="18">
        <f>IF($D210="","",IF($H210=0,0,($H210-$J210)/$H210))</f>
      </c>
      <c r="M210" s="19">
        <f>IF($D210="","",$D210&amp;"|"&amp;$G210)</f>
      </c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IF($D211="","",$H211-$J211)</f>
      </c>
      <c r="L211" s="18">
        <f>IF($D211="","",IF($H211=0,0,($H211-$J211)/$H211))</f>
      </c>
      <c r="M211" s="19">
        <f>IF($D211="","",$D211&amp;"|"&amp;$G211)</f>
      </c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IF($D212="","",$H212-$J212)</f>
      </c>
      <c r="L212" s="18">
        <f>IF($D212="","",IF($H212=0,0,($H212-$J212)/$H212))</f>
      </c>
      <c r="M212" s="19">
        <f>IF($D212="","",$D212&amp;"|"&amp;$G212)</f>
      </c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IF($D213="","",$H213-$J213)</f>
      </c>
      <c r="L213" s="18">
        <f>IF($D213="","",IF($H213=0,0,($H213-$J213)/$H213))</f>
      </c>
      <c r="M213" s="19">
        <f>IF($D213="","",$D213&amp;"|"&amp;$G213)</f>
      </c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IF($D214="","",$H214-$J214)</f>
      </c>
      <c r="L214" s="18">
        <f>IF($D214="","",IF($H214=0,0,($H214-$J214)/$H214))</f>
      </c>
      <c r="M214" s="19">
        <f>IF($D214="","",$D214&amp;"|"&amp;$G214)</f>
      </c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IF($D215="","",$H215-$J215)</f>
      </c>
      <c r="L215" s="18">
        <f>IF($D215="","",IF($H215=0,0,($H215-$J215)/$H215))</f>
      </c>
      <c r="M215" s="19">
        <f>IF($D215="","",$D215&amp;"|"&amp;$G215)</f>
      </c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IF($D216="","",$H216-$J216)</f>
      </c>
      <c r="L216" s="18">
        <f>IF($D216="","",IF($H216=0,0,($H216-$J216)/$H216))</f>
      </c>
      <c r="M216" s="19">
        <f>IF($D216="","",$D216&amp;"|"&amp;$G216)</f>
      </c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IF($D217="","",$H217-$J217)</f>
      </c>
      <c r="L217" s="18">
        <f>IF($D217="","",IF($H217=0,0,($H217-$J217)/$H217))</f>
      </c>
      <c r="M217" s="19">
        <f>IF($D217="","",$D217&amp;"|"&amp;$G217)</f>
      </c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IF($D218="","",$H218-$J218)</f>
      </c>
      <c r="L218" s="18">
        <f>IF($D218="","",IF($H218=0,0,($H218-$J218)/$H218))</f>
      </c>
      <c r="M218" s="19">
        <f>IF($D218="","",$D218&amp;"|"&amp;$G218)</f>
      </c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IF($D219="","",$H219-$J219)</f>
      </c>
      <c r="L219" s="18">
        <f>IF($D219="","",IF($H219=0,0,($H219-$J219)/$H219))</f>
      </c>
      <c r="M219" s="19">
        <f>IF($D219="","",$D219&amp;"|"&amp;$G219)</f>
      </c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IF($D220="","",$H220-$J220)</f>
      </c>
      <c r="L220" s="18">
        <f>IF($D220="","",IF($H220=0,0,($H220-$J220)/$H220))</f>
      </c>
      <c r="M220" s="19">
        <f>IF($D220="","",$D220&amp;"|"&amp;$G220)</f>
      </c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IF($D221="","",$H221-$J221)</f>
      </c>
      <c r="L221" s="18">
        <f>IF($D221="","",IF($H221=0,0,($H221-$J221)/$H221))</f>
      </c>
      <c r="M221" s="19">
        <f>IF($D221="","",$D221&amp;"|"&amp;$G221)</f>
      </c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IF($D222="","",$H222-$J222)</f>
      </c>
      <c r="L222" s="18">
        <f>IF($D222="","",IF($H222=0,0,($H222-$J222)/$H222))</f>
      </c>
      <c r="M222" s="19">
        <f>IF($D222="","",$D222&amp;"|"&amp;$G222)</f>
      </c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IF($D223="","",$H223-$J223)</f>
      </c>
      <c r="L223" s="18">
        <f>IF($D223="","",IF($H223=0,0,($H223-$J223)/$H223))</f>
      </c>
      <c r="M223" s="19">
        <f>IF($D223="","",$D223&amp;"|"&amp;$G223)</f>
      </c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IF($D224="","",$H224-$J224)</f>
      </c>
      <c r="L224" s="18">
        <f>IF($D224="","",IF($H224=0,0,($H224-$J224)/$H224))</f>
      </c>
      <c r="M224" s="19">
        <f>IF($D224="","",$D224&amp;"|"&amp;$G224)</f>
      </c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IF($D225="","",$H225-$J225)</f>
      </c>
      <c r="L225" s="18">
        <f>IF($D225="","",IF($H225=0,0,($H225-$J225)/$H225))</f>
      </c>
      <c r="M225" s="19">
        <f>IF($D225="","",$D225&amp;"|"&amp;$G225)</f>
      </c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IF($D226="","",$H226-$J226)</f>
      </c>
      <c r="L226" s="18">
        <f>IF($D226="","",IF($H226=0,0,($H226-$J226)/$H226))</f>
      </c>
      <c r="M226" s="19">
        <f>IF($D226="","",$D226&amp;"|"&amp;$G226)</f>
      </c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IF($D227="","",$H227-$J227)</f>
      </c>
      <c r="L227" s="18">
        <f>IF($D227="","",IF($H227=0,0,($H227-$J227)/$H227))</f>
      </c>
      <c r="M227" s="19">
        <f>IF($D227="","",$D227&amp;"|"&amp;$G227)</f>
      </c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IF($D228="","",$H228-$J228)</f>
      </c>
      <c r="L228" s="18">
        <f>IF($D228="","",IF($H228=0,0,($H228-$J228)/$H228))</f>
      </c>
      <c r="M228" s="19">
        <f>IF($D228="","",$D228&amp;"|"&amp;$G228)</f>
      </c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IF($D229="","",$H229-$J229)</f>
      </c>
      <c r="L229" s="18">
        <f>IF($D229="","",IF($H229=0,0,($H229-$J229)/$H229))</f>
      </c>
      <c r="M229" s="19">
        <f>IF($D229="","",$D229&amp;"|"&amp;$G229)</f>
      </c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IF($D230="","",$H230-$J230)</f>
      </c>
      <c r="L230" s="18">
        <f>IF($D230="","",IF($H230=0,0,($H230-$J230)/$H230))</f>
      </c>
      <c r="M230" s="19">
        <f>IF($D230="","",$D230&amp;"|"&amp;$G230)</f>
      </c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IF($D231="","",$H231-$J231)</f>
      </c>
      <c r="L231" s="18">
        <f>IF($D231="","",IF($H231=0,0,($H231-$J231)/$H231))</f>
      </c>
      <c r="M231" s="19">
        <f>IF($D231="","",$D231&amp;"|"&amp;$G231)</f>
      </c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IF($D232="","",$H232-$J232)</f>
      </c>
      <c r="L232" s="18">
        <f>IF($D232="","",IF($H232=0,0,($H232-$J232)/$H232))</f>
      </c>
      <c r="M232" s="19">
        <f>IF($D232="","",$D232&amp;"|"&amp;$G232)</f>
      </c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IF($D233="","",$H233-$J233)</f>
      </c>
      <c r="L233" s="18">
        <f>IF($D233="","",IF($H233=0,0,($H233-$J233)/$H233))</f>
      </c>
      <c r="M233" s="19">
        <f>IF($D233="","",$D233&amp;"|"&amp;$G233)</f>
      </c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IF($D234="","",$H234-$J234)</f>
      </c>
      <c r="L234" s="18">
        <f>IF($D234="","",IF($H234=0,0,($H234-$J234)/$H234))</f>
      </c>
      <c r="M234" s="19">
        <f>IF($D234="","",$D234&amp;"|"&amp;$G234)</f>
      </c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IF($D235="","",$H235-$J235)</f>
      </c>
      <c r="L235" s="18">
        <f>IF($D235="","",IF($H235=0,0,($H235-$J235)/$H235))</f>
      </c>
      <c r="M235" s="19">
        <f>IF($D235="","",$D235&amp;"|"&amp;$G235)</f>
      </c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IF($D236="","",$H236-$J236)</f>
      </c>
      <c r="L236" s="18">
        <f>IF($D236="","",IF($H236=0,0,($H236-$J236)/$H236))</f>
      </c>
      <c r="M236" s="19">
        <f>IF($D236="","",$D236&amp;"|"&amp;$G236)</f>
      </c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IF($D237="","",$H237-$J237)</f>
      </c>
      <c r="L237" s="18">
        <f>IF($D237="","",IF($H237=0,0,($H237-$J237)/$H237))</f>
      </c>
      <c r="M237" s="19">
        <f>IF($D237="","",$D237&amp;"|"&amp;$G237)</f>
      </c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IF($D238="","",$H238-$J238)</f>
      </c>
      <c r="L238" s="18">
        <f>IF($D238="","",IF($H238=0,0,($H238-$J238)/$H238))</f>
      </c>
      <c r="M238" s="19">
        <f>IF($D238="","",$D238&amp;"|"&amp;$G238)</f>
      </c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IF($D239="","",$H239-$J239)</f>
      </c>
      <c r="L239" s="18">
        <f>IF($D239="","",IF($H239=0,0,($H239-$J239)/$H239))</f>
      </c>
      <c r="M239" s="19">
        <f>IF($D239="","",$D239&amp;"|"&amp;$G239)</f>
      </c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IF($D240="","",$H240-$J240)</f>
      </c>
      <c r="L240" s="18">
        <f>IF($D240="","",IF($H240=0,0,($H240-$J240)/$H240))</f>
      </c>
      <c r="M240" s="19">
        <f>IF($D240="","",$D240&amp;"|"&amp;$G240)</f>
      </c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IF($D241="","",$H241-$J241)</f>
      </c>
      <c r="L241" s="18">
        <f>IF($D241="","",IF($H241=0,0,($H241-$J241)/$H241))</f>
      </c>
      <c r="M241" s="19">
        <f>IF($D241="","",$D241&amp;"|"&amp;$G241)</f>
      </c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IF($D242="","",$H242-$J242)</f>
      </c>
      <c r="L242" s="18">
        <f>IF($D242="","",IF($H242=0,0,($H242-$J242)/$H242))</f>
      </c>
      <c r="M242" s="19">
        <f>IF($D242="","",$D242&amp;"|"&amp;$G242)</f>
      </c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IF($D243="","",$H243-$J243)</f>
      </c>
      <c r="L243" s="18">
        <f>IF($D243="","",IF($H243=0,0,($H243-$J243)/$H243))</f>
      </c>
      <c r="M243" s="19">
        <f>IF($D243="","",$D243&amp;"|"&amp;$G243)</f>
      </c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IF($D244="","",$H244-$J244)</f>
      </c>
      <c r="L244" s="18">
        <f>IF($D244="","",IF($H244=0,0,($H244-$J244)/$H244))</f>
      </c>
      <c r="M244" s="19">
        <f>IF($D244="","",$D244&amp;"|"&amp;$G244)</f>
      </c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IF($D245="","",$H245-$J245)</f>
      </c>
      <c r="L245" s="18">
        <f>IF($D245="","",IF($H245=0,0,($H245-$J245)/$H245))</f>
      </c>
      <c r="M245" s="19">
        <f>IF($D245="","",$D245&amp;"|"&amp;$G245)</f>
      </c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IF($D246="","",$H246-$J246)</f>
      </c>
      <c r="L246" s="18">
        <f>IF($D246="","",IF($H246=0,0,($H246-$J246)/$H246))</f>
      </c>
      <c r="M246" s="19">
        <f>IF($D246="","",$D246&amp;"|"&amp;$G246)</f>
      </c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IF($D247="","",$H247-$J247)</f>
      </c>
      <c r="L247" s="18">
        <f>IF($D247="","",IF($H247=0,0,($H247-$J247)/$H247))</f>
      </c>
      <c r="M247" s="19">
        <f>IF($D247="","",$D247&amp;"|"&amp;$G247)</f>
      </c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IF($D248="","",$H248-$J248)</f>
      </c>
      <c r="L248" s="18">
        <f>IF($D248="","",IF($H248=0,0,($H248-$J248)/$H248))</f>
      </c>
      <c r="M248" s="19">
        <f>IF($D248="","",$D248&amp;"|"&amp;$G248)</f>
      </c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IF($D249="","",$H249-$J249)</f>
      </c>
      <c r="L249" s="18">
        <f>IF($D249="","",IF($H249=0,0,($H249-$J249)/$H249))</f>
      </c>
      <c r="M249" s="19">
        <f>IF($D249="","",$D249&amp;"|"&amp;$G249)</f>
      </c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IF($D250="","",$H250-$J250)</f>
      </c>
      <c r="L250" s="18">
        <f>IF($D250="","",IF($H250=0,0,($H250-$J250)/$H250))</f>
      </c>
      <c r="M250" s="19">
        <f>IF($D250="","",$D250&amp;"|"&amp;$G250)</f>
      </c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IF($D251="","",$H251-$J251)</f>
      </c>
      <c r="L251" s="18">
        <f>IF($D251="","",IF($H251=0,0,($H251-$J251)/$H251))</f>
      </c>
      <c r="M251" s="19">
        <f>IF($D251="","",$D251&amp;"|"&amp;$G251)</f>
      </c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IF($D252="","",$H252-$J252)</f>
      </c>
      <c r="L252" s="18">
        <f>IF($D252="","",IF($H252=0,0,($H252-$J252)/$H252))</f>
      </c>
      <c r="M252" s="19">
        <f>IF($D252="","",$D252&amp;"|"&amp;$G252)</f>
      </c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IF($D253="","",$H253-$J253)</f>
      </c>
      <c r="L253" s="18">
        <f>IF($D253="","",IF($H253=0,0,($H253-$J253)/$H253))</f>
      </c>
      <c r="M253" s="19">
        <f>IF($D253="","",$D253&amp;"|"&amp;$G253)</f>
      </c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IF($D254="","",$H254-$J254)</f>
      </c>
      <c r="L254" s="18">
        <f>IF($D254="","",IF($H254=0,0,($H254-$J254)/$H254))</f>
      </c>
      <c r="M254" s="19">
        <f>IF($D254="","",$D254&amp;"|"&amp;$G254)</f>
      </c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IF($D255="","",$H255-$J255)</f>
      </c>
      <c r="L255" s="18">
        <f>IF($D255="","",IF($H255=0,0,($H255-$J255)/$H255))</f>
      </c>
      <c r="M255" s="19">
        <f>IF($D255="","",$D255&amp;"|"&amp;$G255)</f>
      </c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IF($D256="","",$H256-$J256)</f>
      </c>
      <c r="L256" s="18">
        <f>IF($D256="","",IF($H256=0,0,($H256-$J256)/$H256))</f>
      </c>
      <c r="M256" s="19">
        <f>IF($D256="","",$D256&amp;"|"&amp;$G256)</f>
      </c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IF($D257="","",$H257-$J257)</f>
      </c>
      <c r="L257" s="18">
        <f>IF($D257="","",IF($H257=0,0,($H257-$J257)/$H257))</f>
      </c>
      <c r="M257" s="19">
        <f>IF($D257="","",$D257&amp;"|"&amp;$G257)</f>
      </c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IF($D258="","",$H258-$J258)</f>
      </c>
      <c r="L258" s="18">
        <f>IF($D258="","",IF($H258=0,0,($H258-$J258)/$H258))</f>
      </c>
      <c r="M258" s="19">
        <f>IF($D258="","",$D258&amp;"|"&amp;$G258)</f>
      </c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IF($D259="","",$H259-$J259)</f>
      </c>
      <c r="L259" s="18">
        <f>IF($D259="","",IF($H259=0,0,($H259-$J259)/$H259))</f>
      </c>
      <c r="M259" s="19">
        <f>IF($D259="","",$D259&amp;"|"&amp;$G259)</f>
      </c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IF($D260="","",$H260-$J260)</f>
      </c>
      <c r="L260" s="18">
        <f>IF($D260="","",IF($H260=0,0,($H260-$J260)/$H260))</f>
      </c>
      <c r="M260" s="19">
        <f>IF($D260="","",$D260&amp;"|"&amp;$G260)</f>
      </c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IF($D261="","",$H261-$J261)</f>
      </c>
      <c r="L261" s="18">
        <f>IF($D261="","",IF($H261=0,0,($H261-$J261)/$H261))</f>
      </c>
      <c r="M261" s="19">
        <f>IF($D261="","",$D261&amp;"|"&amp;$G261)</f>
      </c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IF($D262="","",$H262-$J262)</f>
      </c>
      <c r="L262" s="18">
        <f>IF($D262="","",IF($H262=0,0,($H262-$J262)/$H262))</f>
      </c>
      <c r="M262" s="19">
        <f>IF($D262="","",$D262&amp;"|"&amp;$G262)</f>
      </c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IF($D263="","",$H263-$J263)</f>
      </c>
      <c r="L263" s="18">
        <f>IF($D263="","",IF($H263=0,0,($H263-$J263)/$H263))</f>
      </c>
      <c r="M263" s="19">
        <f>IF($D263="","",$D263&amp;"|"&amp;$G263)</f>
      </c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IF($D264="","",$H264-$J264)</f>
      </c>
      <c r="L264" s="18">
        <f>IF($D264="","",IF($H264=0,0,($H264-$J264)/$H264))</f>
      </c>
      <c r="M264" s="19">
        <f>IF($D264="","",$D264&amp;"|"&amp;$G264)</f>
      </c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IF($D265="","",$H265-$J265)</f>
      </c>
      <c r="L265" s="18">
        <f>IF($D265="","",IF($H265=0,0,($H265-$J265)/$H265))</f>
      </c>
      <c r="M265" s="19">
        <f>IF($D265="","",$D265&amp;"|"&amp;$G265)</f>
      </c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IF($D266="","",$H266-$J266)</f>
      </c>
      <c r="L266" s="18">
        <f>IF($D266="","",IF($H266=0,0,($H266-$J266)/$H266))</f>
      </c>
      <c r="M266" s="19">
        <f>IF($D266="","",$D266&amp;"|"&amp;$G266)</f>
      </c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IF($D267="","",$H267-$J267)</f>
      </c>
      <c r="L267" s="18">
        <f>IF($D267="","",IF($H267=0,0,($H267-$J267)/$H267))</f>
      </c>
      <c r="M267" s="19">
        <f>IF($D267="","",$D267&amp;"|"&amp;$G267)</f>
      </c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IF($D268="","",$H268-$J268)</f>
      </c>
      <c r="L268" s="18">
        <f>IF($D268="","",IF($H268=0,0,($H268-$J268)/$H268))</f>
      </c>
      <c r="M268" s="19">
        <f>IF($D268="","",$D268&amp;"|"&amp;$G268)</f>
      </c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IF($D269="","",$H269-$J269)</f>
      </c>
      <c r="L269" s="18">
        <f>IF($D269="","",IF($H269=0,0,($H269-$J269)/$H269))</f>
      </c>
      <c r="M269" s="19">
        <f>IF($D269="","",$D269&amp;"|"&amp;$G269)</f>
      </c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IF($D270="","",$H270-$J270)</f>
      </c>
      <c r="L270" s="18">
        <f>IF($D270="","",IF($H270=0,0,($H270-$J270)/$H270))</f>
      </c>
      <c r="M270" s="19">
        <f>IF($D270="","",$D270&amp;"|"&amp;$G270)</f>
      </c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IF($D271="","",$H271-$J271)</f>
      </c>
      <c r="L271" s="18">
        <f>IF($D271="","",IF($H271=0,0,($H271-$J271)/$H271))</f>
      </c>
      <c r="M271" s="19">
        <f>IF($D271="","",$D271&amp;"|"&amp;$G271)</f>
      </c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IF($D272="","",$H272-$J272)</f>
      </c>
      <c r="L272" s="18">
        <f>IF($D272="","",IF($H272=0,0,($H272-$J272)/$H272))</f>
      </c>
      <c r="M272" s="19">
        <f>IF($D272="","",$D272&amp;"|"&amp;$G272)</f>
      </c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IF($D273="","",$H273-$J273)</f>
      </c>
      <c r="L273" s="18">
        <f>IF($D273="","",IF($H273=0,0,($H273-$J273)/$H273))</f>
      </c>
      <c r="M273" s="19">
        <f>IF($D273="","",$D273&amp;"|"&amp;$G273)</f>
      </c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IF($D274="","",$H274-$J274)</f>
      </c>
      <c r="L274" s="18">
        <f>IF($D274="","",IF($H274=0,0,($H274-$J274)/$H274))</f>
      </c>
      <c r="M274" s="19">
        <f>IF($D274="","",$D274&amp;"|"&amp;$G274)</f>
      </c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IF($D275="","",$H275-$J275)</f>
      </c>
      <c r="L275" s="18">
        <f>IF($D275="","",IF($H275=0,0,($H275-$J275)/$H275))</f>
      </c>
      <c r="M275" s="19">
        <f>IF($D275="","",$D275&amp;"|"&amp;$G275)</f>
      </c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IF($D276="","",$H276-$J276)</f>
      </c>
      <c r="L276" s="18">
        <f>IF($D276="","",IF($H276=0,0,($H276-$J276)/$H276))</f>
      </c>
      <c r="M276" s="19">
        <f>IF($D276="","",$D276&amp;"|"&amp;$G276)</f>
      </c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IF($D277="","",$H277-$J277)</f>
      </c>
      <c r="L277" s="18">
        <f>IF($D277="","",IF($H277=0,0,($H277-$J277)/$H277))</f>
      </c>
      <c r="M277" s="19">
        <f>IF($D277="","",$D277&amp;"|"&amp;$G277)</f>
      </c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IF($D278="","",$H278-$J278)</f>
      </c>
      <c r="L278" s="18">
        <f>IF($D278="","",IF($H278=0,0,($H278-$J278)/$H278))</f>
      </c>
      <c r="M278" s="19">
        <f>IF($D278="","",$D278&amp;"|"&amp;$G278)</f>
      </c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IF($D279="","",$H279-$J279)</f>
      </c>
      <c r="L279" s="18">
        <f>IF($D279="","",IF($H279=0,0,($H279-$J279)/$H279))</f>
      </c>
      <c r="M279" s="19">
        <f>IF($D279="","",$D279&amp;"|"&amp;$G279)</f>
      </c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IF($D280="","",$H280-$J280)</f>
      </c>
      <c r="L280" s="18">
        <f>IF($D280="","",IF($H280=0,0,($H280-$J280)/$H280))</f>
      </c>
      <c r="M280" s="19">
        <f>IF($D280="","",$D280&amp;"|"&amp;$G280)</f>
      </c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IF($D281="","",$H281-$J281)</f>
      </c>
      <c r="L281" s="18">
        <f>IF($D281="","",IF($H281=0,0,($H281-$J281)/$H281))</f>
      </c>
      <c r="M281" s="19">
        <f>IF($D281="","",$D281&amp;"|"&amp;$G281)</f>
      </c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IF($D282="","",$H282-$J282)</f>
      </c>
      <c r="L282" s="18">
        <f>IF($D282="","",IF($H282=0,0,($H282-$J282)/$H282))</f>
      </c>
      <c r="M282" s="19">
        <f>IF($D282="","",$D282&amp;"|"&amp;$G282)</f>
      </c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IF($D283="","",$H283-$J283)</f>
      </c>
      <c r="L283" s="18">
        <f>IF($D283="","",IF($H283=0,0,($H283-$J283)/$H283))</f>
      </c>
      <c r="M283" s="19">
        <f>IF($D283="","",$D283&amp;"|"&amp;$G283)</f>
      </c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IF($D284="","",$H284-$J284)</f>
      </c>
      <c r="L284" s="18">
        <f>IF($D284="","",IF($H284=0,0,($H284-$J284)/$H284))</f>
      </c>
      <c r="M284" s="19">
        <f>IF($D284="","",$D284&amp;"|"&amp;$G284)</f>
      </c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IF($D285="","",$H285-$J285)</f>
      </c>
      <c r="L285" s="18">
        <f>IF($D285="","",IF($H285=0,0,($H285-$J285)/$H285))</f>
      </c>
      <c r="M285" s="19">
        <f>IF($D285="","",$D285&amp;"|"&amp;$G285)</f>
      </c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IF($D286="","",$H286-$J286)</f>
      </c>
      <c r="L286" s="18">
        <f>IF($D286="","",IF($H286=0,0,($H286-$J286)/$H286))</f>
      </c>
      <c r="M286" s="19">
        <f>IF($D286="","",$D286&amp;"|"&amp;$G286)</f>
      </c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IF($D287="","",$H287-$J287)</f>
      </c>
      <c r="L287" s="18">
        <f>IF($D287="","",IF($H287=0,0,($H287-$J287)/$H287))</f>
      </c>
      <c r="M287" s="19">
        <f>IF($D287="","",$D287&amp;"|"&amp;$G287)</f>
      </c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IF($D288="","",$H288-$J288)</f>
      </c>
      <c r="L288" s="18">
        <f>IF($D288="","",IF($H288=0,0,($H288-$J288)/$H288))</f>
      </c>
      <c r="M288" s="19">
        <f>IF($D288="","",$D288&amp;"|"&amp;$G288)</f>
      </c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IF($D289="","",$H289-$J289)</f>
      </c>
      <c r="L289" s="18">
        <f>IF($D289="","",IF($H289=0,0,($H289-$J289)/$H289))</f>
      </c>
      <c r="M289" s="19">
        <f>IF($D289="","",$D289&amp;"|"&amp;$G289)</f>
      </c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IF($D290="","",$H290-$J290)</f>
      </c>
      <c r="L290" s="18">
        <f>IF($D290="","",IF($H290=0,0,($H290-$J290)/$H290))</f>
      </c>
      <c r="M290" s="19">
        <f>IF($D290="","",$D290&amp;"|"&amp;$G290)</f>
      </c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IF($D291="","",$H291-$J291)</f>
      </c>
      <c r="L291" s="18">
        <f>IF($D291="","",IF($H291=0,0,($H291-$J291)/$H291))</f>
      </c>
      <c r="M291" s="19">
        <f>IF($D291="","",$D291&amp;"|"&amp;$G291)</f>
      </c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IF($D292="","",$H292-$J292)</f>
      </c>
      <c r="L292" s="18">
        <f>IF($D292="","",IF($H292=0,0,($H292-$J292)/$H292))</f>
      </c>
      <c r="M292" s="19">
        <f>IF($D292="","",$D292&amp;"|"&amp;$G292)</f>
      </c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IF($D293="","",$H293-$J293)</f>
      </c>
      <c r="L293" s="18">
        <f>IF($D293="","",IF($H293=0,0,($H293-$J293)/$H293))</f>
      </c>
      <c r="M293" s="19">
        <f>IF($D293="","",$D293&amp;"|"&amp;$G293)</f>
      </c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IF($D294="","",$H294-$J294)</f>
      </c>
      <c r="L294" s="18">
        <f>IF($D294="","",IF($H294=0,0,($H294-$J294)/$H294))</f>
      </c>
      <c r="M294" s="19">
        <f>IF($D294="","",$D294&amp;"|"&amp;$G294)</f>
      </c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IF($D295="","",$H295-$J295)</f>
      </c>
      <c r="L295" s="18">
        <f>IF($D295="","",IF($H295=0,0,($H295-$J295)/$H295))</f>
      </c>
      <c r="M295" s="19">
        <f>IF($D295="","",$D295&amp;"|"&amp;$G295)</f>
      </c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IF($D296="","",$H296-$J296)</f>
      </c>
      <c r="L296" s="18">
        <f>IF($D296="","",IF($H296=0,0,($H296-$J296)/$H296))</f>
      </c>
      <c r="M296" s="19">
        <f>IF($D296="","",$D296&amp;"|"&amp;$G296)</f>
      </c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IF($D297="","",$H297-$J297)</f>
      </c>
      <c r="L297" s="18">
        <f>IF($D297="","",IF($H297=0,0,($H297-$J297)/$H297))</f>
      </c>
      <c r="M297" s="19">
        <f>IF($D297="","",$D297&amp;"|"&amp;$G297)</f>
      </c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IF($D298="","",$H298-$J298)</f>
      </c>
      <c r="L298" s="18">
        <f>IF($D298="","",IF($H298=0,0,($H298-$J298)/$H298))</f>
      </c>
      <c r="M298" s="19">
        <f>IF($D298="","",$D298&amp;"|"&amp;$G298)</f>
      </c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IF($D299="","",$H299-$J299)</f>
      </c>
      <c r="L299" s="18">
        <f>IF($D299="","",IF($H299=0,0,($H299-$J299)/$H299))</f>
      </c>
      <c r="M299" s="19">
        <f>IF($D299="","",$D299&amp;"|"&amp;$G299)</f>
      </c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IF($D300="","",$H300-$J300)</f>
      </c>
      <c r="L300" s="18">
        <f>IF($D300="","",IF($H300=0,0,($H300-$J300)/$H300))</f>
      </c>
      <c r="M300" s="19">
        <f>IF($D300="","",$D300&amp;"|"&amp;$G300)</f>
      </c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IF($D301="","",$H301-$J301)</f>
      </c>
      <c r="L301" s="18">
        <f>IF($D301="","",IF($H301=0,0,($H301-$J301)/$H301))</f>
      </c>
      <c r="M301" s="19">
        <f>IF($D301="","",$D301&amp;"|"&amp;$G301)</f>
      </c>
    </row>
  </sheetData>
  <dataValidations count="3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6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Electrónica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Descripción / Código</t>
        </is>
      </c>
      <c r="D5" s="1" t="inlineStr">
        <is>
          <t xml:space="preserve">Precio</t>
        </is>
      </c>
    </row>
    <row r="6" ht="90.00" customHeight="1">
      <c r="A6" s="39">
        <f>IFERROR(IF(INDEX('Catálogo'!$M:$M,MATCH($B$3&amp;"|"&amp;1,'Catálogo'!$Q:$Q,0))="","",IMAGE(INDEX('Catálogo'!$M:$M,MATCH($B$3&amp;"|"&amp;1,'Catálogo'!$Q:$Q,0)),1)),"")</f>
      </c>
      <c r="B6" s="40">
        <f>IFERROR(INDEX('Catálogo'!$B:$B,MATCH($B$3&amp;"|"&amp;1,'Catálogo'!$Q:$Q,0)),"")</f>
      </c>
      <c r="C6" s="41">
        <f>IFERROR("Cód: "&amp;INDEX('Catálogo'!$A:$A,MATCH($B$3&amp;"|"&amp;1,'Catálogo'!$Q:$Q,0)),"")</f>
      </c>
      <c r="D6" s="42">
        <f>IFERROR(IF($D$3="Mayor",INDEX('Catálogo'!$O:$O,MATCH($B$3&amp;"|"&amp;1,'Catálogo'!$Q:$Q,0)),INDEX('Catálogo'!$N:$N,MATCH($B$3&amp;"|"&amp;1,'Catálogo'!$Q:$Q,0))),"")</f>
      </c>
    </row>
    <row r="7" ht="90.00" customHeight="1">
      <c r="A7" s="39">
        <f>IFERROR(IF(INDEX('Catálogo'!$M:$M,MATCH($B$3&amp;"|"&amp;2,'Catálogo'!$Q:$Q,0))="","",IMAGE(INDEX('Catálogo'!$M:$M,MATCH($B$3&amp;"|"&amp;2,'Catálogo'!$Q:$Q,0)),1)),"")</f>
      </c>
      <c r="B7" s="40">
        <f>IFERROR(INDEX('Catálogo'!$B:$B,MATCH($B$3&amp;"|"&amp;2,'Catálogo'!$Q:$Q,0)),"")</f>
      </c>
      <c r="C7" s="41">
        <f>IFERROR("Cód: "&amp;INDEX('Catálogo'!$A:$A,MATCH($B$3&amp;"|"&amp;2,'Catálogo'!$Q:$Q,0)),"")</f>
      </c>
      <c r="D7" s="42">
        <f>IFERROR(IF($D$3="Mayor",INDEX('Catálogo'!$O:$O,MATCH($B$3&amp;"|"&amp;2,'Catálogo'!$Q:$Q,0)),INDEX('Catálogo'!$N:$N,MATCH($B$3&amp;"|"&amp;2,'Catálogo'!$Q:$Q,0))),"")</f>
      </c>
    </row>
    <row r="8" ht="90.00" customHeight="1">
      <c r="A8" s="39">
        <f>IFERROR(IF(INDEX('Catálogo'!$M:$M,MATCH($B$3&amp;"|"&amp;3,'Catálogo'!$Q:$Q,0))="","",IMAGE(INDEX('Catálogo'!$M:$M,MATCH($B$3&amp;"|"&amp;3,'Catálogo'!$Q:$Q,0)),1)),"")</f>
      </c>
      <c r="B8" s="40">
        <f>IFERROR(INDEX('Catálogo'!$B:$B,MATCH($B$3&amp;"|"&amp;3,'Catálogo'!$Q:$Q,0)),"")</f>
      </c>
      <c r="C8" s="41">
        <f>IFERROR("Cód: "&amp;INDEX('Catálogo'!$A:$A,MATCH($B$3&amp;"|"&amp;3,'Catálogo'!$Q:$Q,0)),"")</f>
      </c>
      <c r="D8" s="42">
        <f>IFERROR(IF($D$3="Mayor",INDEX('Catálogo'!$O:$O,MATCH($B$3&amp;"|"&amp;3,'Catálogo'!$Q:$Q,0)),INDEX('Catálogo'!$N:$N,MATCH($B$3&amp;"|"&amp;3,'Catálogo'!$Q:$Q,0))),"")</f>
      </c>
    </row>
    <row r="9" ht="90.00" customHeight="1">
      <c r="A9" s="39">
        <f>IFERROR(IF(INDEX('Catálogo'!$M:$M,MATCH($B$3&amp;"|"&amp;4,'Catálogo'!$Q:$Q,0))="","",IMAGE(INDEX('Catálogo'!$M:$M,MATCH($B$3&amp;"|"&amp;4,'Catálogo'!$Q:$Q,0)),1)),"")</f>
      </c>
      <c r="B9" s="40">
        <f>IFERROR(INDEX('Catálogo'!$B:$B,MATCH($B$3&amp;"|"&amp;4,'Catálogo'!$Q:$Q,0)),"")</f>
      </c>
      <c r="C9" s="41">
        <f>IFERROR("Cód: "&amp;INDEX('Catálogo'!$A:$A,MATCH($B$3&amp;"|"&amp;4,'Catálogo'!$Q:$Q,0)),"")</f>
      </c>
      <c r="D9" s="42">
        <f>IFERROR(IF($D$3="Mayor",INDEX('Catálogo'!$O:$O,MATCH($B$3&amp;"|"&amp;4,'Catálogo'!$Q:$Q,0)),INDEX('Catálogo'!$N:$N,MATCH($B$3&amp;"|"&amp;4,'Catálogo'!$Q:$Q,0))),"")</f>
      </c>
    </row>
    <row r="10" ht="90.00" customHeight="1">
      <c r="A10" s="39">
        <f>IFERROR(IF(INDEX('Catálogo'!$M:$M,MATCH($B$3&amp;"|"&amp;5,'Catálogo'!$Q:$Q,0))="","",IMAGE(INDEX('Catálogo'!$M:$M,MATCH($B$3&amp;"|"&amp;5,'Catálogo'!$Q:$Q,0)),1)),"")</f>
      </c>
      <c r="B10" s="40">
        <f>IFERROR(INDEX('Catálogo'!$B:$B,MATCH($B$3&amp;"|"&amp;5,'Catálogo'!$Q:$Q,0)),"")</f>
      </c>
      <c r="C10" s="41">
        <f>IFERROR("Cód: "&amp;INDEX('Catálogo'!$A:$A,MATCH($B$3&amp;"|"&amp;5,'Catálogo'!$Q:$Q,0)),"")</f>
      </c>
      <c r="D10" s="42">
        <f>IFERROR(IF($D$3="Mayor",INDEX('Catálogo'!$O:$O,MATCH($B$3&amp;"|"&amp;5,'Catálogo'!$Q:$Q,0)),INDEX('Catálogo'!$N:$N,MATCH($B$3&amp;"|"&amp;5,'Catálogo'!$Q:$Q,0))),"")</f>
      </c>
    </row>
    <row r="11" ht="90.00" customHeight="1">
      <c r="A11" s="39">
        <f>IFERROR(IF(INDEX('Catálogo'!$M:$M,MATCH($B$3&amp;"|"&amp;6,'Catálogo'!$Q:$Q,0))="","",IMAGE(INDEX('Catálogo'!$M:$M,MATCH($B$3&amp;"|"&amp;6,'Catálogo'!$Q:$Q,0)),1)),"")</f>
      </c>
      <c r="B11" s="40">
        <f>IFERROR(INDEX('Catálogo'!$B:$B,MATCH($B$3&amp;"|"&amp;6,'Catálogo'!$Q:$Q,0)),"")</f>
      </c>
      <c r="C11" s="41">
        <f>IFERROR("Cód: "&amp;INDEX('Catálogo'!$A:$A,MATCH($B$3&amp;"|"&amp;6,'Catálogo'!$Q:$Q,0)),"")</f>
      </c>
      <c r="D11" s="42">
        <f>IFERROR(IF($D$3="Mayor",INDEX('Catálogo'!$O:$O,MATCH($B$3&amp;"|"&amp;6,'Catálogo'!$Q:$Q,0)),INDEX('Catálogo'!$N:$N,MATCH($B$3&amp;"|"&amp;6,'Catálogo'!$Q:$Q,0))),"")</f>
      </c>
    </row>
    <row r="12" ht="90.00" customHeight="1">
      <c r="A12" s="39">
        <f>IFERROR(IF(INDEX('Catálogo'!$M:$M,MATCH($B$3&amp;"|"&amp;7,'Catálogo'!$Q:$Q,0))="","",IMAGE(INDEX('Catálogo'!$M:$M,MATCH($B$3&amp;"|"&amp;7,'Catálogo'!$Q:$Q,0)),1)),"")</f>
      </c>
      <c r="B12" s="40">
        <f>IFERROR(INDEX('Catálogo'!$B:$B,MATCH($B$3&amp;"|"&amp;7,'Catálogo'!$Q:$Q,0)),"")</f>
      </c>
      <c r="C12" s="41">
        <f>IFERROR("Cód: "&amp;INDEX('Catálogo'!$A:$A,MATCH($B$3&amp;"|"&amp;7,'Catálogo'!$Q:$Q,0)),"")</f>
      </c>
      <c r="D12" s="42">
        <f>IFERROR(IF($D$3="Mayor",INDEX('Catálogo'!$O:$O,MATCH($B$3&amp;"|"&amp;7,'Catálogo'!$Q:$Q,0)),INDEX('Catálogo'!$N:$N,MATCH($B$3&amp;"|"&amp;7,'Catálogo'!$Q:$Q,0))),"")</f>
      </c>
    </row>
    <row r="13" ht="90.00" customHeight="1">
      <c r="A13" s="39">
        <f>IFERROR(IF(INDEX('Catálogo'!$M:$M,MATCH($B$3&amp;"|"&amp;8,'Catálogo'!$Q:$Q,0))="","",IMAGE(INDEX('Catálogo'!$M:$M,MATCH($B$3&amp;"|"&amp;8,'Catálogo'!$Q:$Q,0)),1)),"")</f>
      </c>
      <c r="B13" s="40">
        <f>IFERROR(INDEX('Catálogo'!$B:$B,MATCH($B$3&amp;"|"&amp;8,'Catálogo'!$Q:$Q,0)),"")</f>
      </c>
      <c r="C13" s="41">
        <f>IFERROR("Cód: "&amp;INDEX('Catálogo'!$A:$A,MATCH($B$3&amp;"|"&amp;8,'Catálogo'!$Q:$Q,0)),"")</f>
      </c>
      <c r="D13" s="42">
        <f>IFERROR(IF($D$3="Mayor",INDEX('Catálogo'!$O:$O,MATCH($B$3&amp;"|"&amp;8,'Catálogo'!$Q:$Q,0)),INDEX('Catálogo'!$N:$N,MATCH($B$3&amp;"|"&amp;8,'Catálogo'!$Q:$Q,0))),"")</f>
      </c>
    </row>
    <row r="14" ht="90.00" customHeight="1">
      <c r="A14" s="39">
        <f>IFERROR(IF(INDEX('Catálogo'!$M:$M,MATCH($B$3&amp;"|"&amp;9,'Catálogo'!$Q:$Q,0))="","",IMAGE(INDEX('Catálogo'!$M:$M,MATCH($B$3&amp;"|"&amp;9,'Catálogo'!$Q:$Q,0)),1)),"")</f>
      </c>
      <c r="B14" s="40">
        <f>IFERROR(INDEX('Catálogo'!$B:$B,MATCH($B$3&amp;"|"&amp;9,'Catálogo'!$Q:$Q,0)),"")</f>
      </c>
      <c r="C14" s="41">
        <f>IFERROR("Cód: "&amp;INDEX('Catálogo'!$A:$A,MATCH($B$3&amp;"|"&amp;9,'Catálogo'!$Q:$Q,0)),"")</f>
      </c>
      <c r="D14" s="42">
        <f>IFERROR(IF($D$3="Mayor",INDEX('Catálogo'!$O:$O,MATCH($B$3&amp;"|"&amp;9,'Catálogo'!$Q:$Q,0)),INDEX('Catálogo'!$N:$N,MATCH($B$3&amp;"|"&amp;9,'Catálogo'!$Q:$Q,0))),"")</f>
      </c>
    </row>
    <row r="15" ht="90.00" customHeight="1">
      <c r="A15" s="39">
        <f>IFERROR(IF(INDEX('Catálogo'!$M:$M,MATCH($B$3&amp;"|"&amp;10,'Catálogo'!$Q:$Q,0))="","",IMAGE(INDEX('Catálogo'!$M:$M,MATCH($B$3&amp;"|"&amp;10,'Catálogo'!$Q:$Q,0)),1)),"")</f>
      </c>
      <c r="B15" s="40">
        <f>IFERROR(INDEX('Catálogo'!$B:$B,MATCH($B$3&amp;"|"&amp;10,'Catálogo'!$Q:$Q,0)),"")</f>
      </c>
      <c r="C15" s="41">
        <f>IFERROR("Cód: "&amp;INDEX('Catálogo'!$A:$A,MATCH($B$3&amp;"|"&amp;10,'Catálogo'!$Q:$Q,0)),"")</f>
      </c>
      <c r="D15" s="42">
        <f>IFERROR(IF($D$3="Mayor",INDEX('Catálogo'!$O:$O,MATCH($B$3&amp;"|"&amp;10,'Catálogo'!$Q:$Q,0)),INDEX('Catálogo'!$N:$N,MATCH($B$3&amp;"|"&amp;10,'Catálogo'!$Q:$Q,0))),"")</f>
      </c>
    </row>
    <row r="16" ht="90.00" customHeight="1">
      <c r="A16" s="39">
        <f>IFERROR(IF(INDEX('Catálogo'!$M:$M,MATCH($B$3&amp;"|"&amp;11,'Catálogo'!$Q:$Q,0))="","",IMAGE(INDEX('Catálogo'!$M:$M,MATCH($B$3&amp;"|"&amp;11,'Catálogo'!$Q:$Q,0)),1)),"")</f>
      </c>
      <c r="B16" s="40">
        <f>IFERROR(INDEX('Catálogo'!$B:$B,MATCH($B$3&amp;"|"&amp;11,'Catálogo'!$Q:$Q,0)),"")</f>
      </c>
      <c r="C16" s="41">
        <f>IFERROR("Cód: "&amp;INDEX('Catálogo'!$A:$A,MATCH($B$3&amp;"|"&amp;11,'Catálogo'!$Q:$Q,0)),"")</f>
      </c>
      <c r="D16" s="42">
        <f>IFERROR(IF($D$3="Mayor",INDEX('Catálogo'!$O:$O,MATCH($B$3&amp;"|"&amp;11,'Catálogo'!$Q:$Q,0)),INDEX('Catálogo'!$N:$N,MATCH($B$3&amp;"|"&amp;11,'Catálogo'!$Q:$Q,0))),"")</f>
      </c>
    </row>
    <row r="17" ht="90.00" customHeight="1">
      <c r="A17" s="39">
        <f>IFERROR(IF(INDEX('Catálogo'!$M:$M,MATCH($B$3&amp;"|"&amp;12,'Catálogo'!$Q:$Q,0))="","",IMAGE(INDEX('Catálogo'!$M:$M,MATCH($B$3&amp;"|"&amp;12,'Catálogo'!$Q:$Q,0)),1)),"")</f>
      </c>
      <c r="B17" s="40">
        <f>IFERROR(INDEX('Catálogo'!$B:$B,MATCH($B$3&amp;"|"&amp;12,'Catálogo'!$Q:$Q,0)),"")</f>
      </c>
      <c r="C17" s="41">
        <f>IFERROR("Cód: "&amp;INDEX('Catálogo'!$A:$A,MATCH($B$3&amp;"|"&amp;12,'Catálogo'!$Q:$Q,0)),"")</f>
      </c>
      <c r="D17" s="42">
        <f>IFERROR(IF($D$3="Mayor",INDEX('Catálogo'!$O:$O,MATCH($B$3&amp;"|"&amp;12,'Catálogo'!$Q:$Q,0)),INDEX('Catálogo'!$N:$N,MATCH($B$3&amp;"|"&amp;12,'Catálogo'!$Q:$Q,0))),"")</f>
      </c>
    </row>
    <row r="18" ht="90.00" customHeight="1">
      <c r="A18" s="39">
        <f>IFERROR(IF(INDEX('Catálogo'!$M:$M,MATCH($B$3&amp;"|"&amp;13,'Catálogo'!$Q:$Q,0))="","",IMAGE(INDEX('Catálogo'!$M:$M,MATCH($B$3&amp;"|"&amp;13,'Catálogo'!$Q:$Q,0)),1)),"")</f>
      </c>
      <c r="B18" s="40">
        <f>IFERROR(INDEX('Catálogo'!$B:$B,MATCH($B$3&amp;"|"&amp;13,'Catálogo'!$Q:$Q,0)),"")</f>
      </c>
      <c r="C18" s="41">
        <f>IFERROR("Cód: "&amp;INDEX('Catálogo'!$A:$A,MATCH($B$3&amp;"|"&amp;13,'Catálogo'!$Q:$Q,0)),"")</f>
      </c>
      <c r="D18" s="42">
        <f>IFERROR(IF($D$3="Mayor",INDEX('Catálogo'!$O:$O,MATCH($B$3&amp;"|"&amp;13,'Catálogo'!$Q:$Q,0)),INDEX('Catálogo'!$N:$N,MATCH($B$3&amp;"|"&amp;13,'Catálogo'!$Q:$Q,0))),"")</f>
      </c>
    </row>
    <row r="19" ht="90.00" customHeight="1">
      <c r="A19" s="39">
        <f>IFERROR(IF(INDEX('Catálogo'!$M:$M,MATCH($B$3&amp;"|"&amp;14,'Catálogo'!$Q:$Q,0))="","",IMAGE(INDEX('Catálogo'!$M:$M,MATCH($B$3&amp;"|"&amp;14,'Catálogo'!$Q:$Q,0)),1)),"")</f>
      </c>
      <c r="B19" s="40">
        <f>IFERROR(INDEX('Catálogo'!$B:$B,MATCH($B$3&amp;"|"&amp;14,'Catálogo'!$Q:$Q,0)),"")</f>
      </c>
      <c r="C19" s="41">
        <f>IFERROR("Cód: "&amp;INDEX('Catálogo'!$A:$A,MATCH($B$3&amp;"|"&amp;14,'Catálogo'!$Q:$Q,0)),"")</f>
      </c>
      <c r="D19" s="42">
        <f>IFERROR(IF($D$3="Mayor",INDEX('Catálogo'!$O:$O,MATCH($B$3&amp;"|"&amp;14,'Catálogo'!$Q:$Q,0)),INDEX('Catálogo'!$N:$N,MATCH($B$3&amp;"|"&amp;14,'Catálogo'!$Q:$Q,0))),"")</f>
      </c>
    </row>
    <row r="20" ht="90.00" customHeight="1">
      <c r="A20" s="39">
        <f>IFERROR(IF(INDEX('Catálogo'!$M:$M,MATCH($B$3&amp;"|"&amp;15,'Catálogo'!$Q:$Q,0))="","",IMAGE(INDEX('Catálogo'!$M:$M,MATCH($B$3&amp;"|"&amp;15,'Catálogo'!$Q:$Q,0)),1)),"")</f>
      </c>
      <c r="B20" s="40">
        <f>IFERROR(INDEX('Catálogo'!$B:$B,MATCH($B$3&amp;"|"&amp;15,'Catálogo'!$Q:$Q,0)),"")</f>
      </c>
      <c r="C20" s="41">
        <f>IFERROR("Cód: "&amp;INDEX('Catálogo'!$A:$A,MATCH($B$3&amp;"|"&amp;15,'Catálogo'!$Q:$Q,0)),"")</f>
      </c>
      <c r="D20" s="42">
        <f>IFERROR(IF($D$3="Mayor",INDEX('Catálogo'!$O:$O,MATCH($B$3&amp;"|"&amp;15,'Catálogo'!$Q:$Q,0)),INDEX('Catálogo'!$N:$N,MATCH($B$3&amp;"|"&amp;15,'Catálogo'!$Q:$Q,0))),"")</f>
      </c>
    </row>
    <row r="21" ht="90.00" customHeight="1">
      <c r="A21" s="39">
        <f>IFERROR(IF(INDEX('Catálogo'!$M:$M,MATCH($B$3&amp;"|"&amp;16,'Catálogo'!$Q:$Q,0))="","",IMAGE(INDEX('Catálogo'!$M:$M,MATCH($B$3&amp;"|"&amp;16,'Catálogo'!$Q:$Q,0)),1)),"")</f>
      </c>
      <c r="B21" s="40">
        <f>IFERROR(INDEX('Catálogo'!$B:$B,MATCH($B$3&amp;"|"&amp;16,'Catálogo'!$Q:$Q,0)),"")</f>
      </c>
      <c r="C21" s="41">
        <f>IFERROR("Cód: "&amp;INDEX('Catálogo'!$A:$A,MATCH($B$3&amp;"|"&amp;16,'Catálogo'!$Q:$Q,0)),"")</f>
      </c>
      <c r="D21" s="42">
        <f>IFERROR(IF($D$3="Mayor",INDEX('Catálogo'!$O:$O,MATCH($B$3&amp;"|"&amp;16,'Catálogo'!$Q:$Q,0)),INDEX('Catálogo'!$N:$N,MATCH($B$3&amp;"|"&amp;16,'Catálogo'!$Q:$Q,0))),"")</f>
      </c>
    </row>
    <row r="22" ht="90.00" customHeight="1">
      <c r="A22" s="39">
        <f>IFERROR(IF(INDEX('Catálogo'!$M:$M,MATCH($B$3&amp;"|"&amp;17,'Catálogo'!$Q:$Q,0))="","",IMAGE(INDEX('Catálogo'!$M:$M,MATCH($B$3&amp;"|"&amp;17,'Catálogo'!$Q:$Q,0)),1)),"")</f>
      </c>
      <c r="B22" s="40">
        <f>IFERROR(INDEX('Catálogo'!$B:$B,MATCH($B$3&amp;"|"&amp;17,'Catálogo'!$Q:$Q,0)),"")</f>
      </c>
      <c r="C22" s="41">
        <f>IFERROR("Cód: "&amp;INDEX('Catálogo'!$A:$A,MATCH($B$3&amp;"|"&amp;17,'Catálogo'!$Q:$Q,0)),"")</f>
      </c>
      <c r="D22" s="42">
        <f>IFERROR(IF($D$3="Mayor",INDEX('Catálogo'!$O:$O,MATCH($B$3&amp;"|"&amp;17,'Catálogo'!$Q:$Q,0)),INDEX('Catálogo'!$N:$N,MATCH($B$3&amp;"|"&amp;17,'Catálogo'!$Q:$Q,0))),"")</f>
      </c>
    </row>
    <row r="23" ht="90.00" customHeight="1">
      <c r="A23" s="39">
        <f>IFERROR(IF(INDEX('Catálogo'!$M:$M,MATCH($B$3&amp;"|"&amp;18,'Catálogo'!$Q:$Q,0))="","",IMAGE(INDEX('Catálogo'!$M:$M,MATCH($B$3&amp;"|"&amp;18,'Catálogo'!$Q:$Q,0)),1)),"")</f>
      </c>
      <c r="B23" s="40">
        <f>IFERROR(INDEX('Catálogo'!$B:$B,MATCH($B$3&amp;"|"&amp;18,'Catálogo'!$Q:$Q,0)),"")</f>
      </c>
      <c r="C23" s="41">
        <f>IFERROR("Cód: "&amp;INDEX('Catálogo'!$A:$A,MATCH($B$3&amp;"|"&amp;18,'Catálogo'!$Q:$Q,0)),"")</f>
      </c>
      <c r="D23" s="42">
        <f>IFERROR(IF($D$3="Mayor",INDEX('Catálogo'!$O:$O,MATCH($B$3&amp;"|"&amp;18,'Catálogo'!$Q:$Q,0)),INDEX('Catálogo'!$N:$N,MATCH($B$3&amp;"|"&amp;18,'Catálogo'!$Q:$Q,0))),"")</f>
      </c>
    </row>
    <row r="24" ht="90.00" customHeight="1">
      <c r="A24" s="39">
        <f>IFERROR(IF(INDEX('Catálogo'!$M:$M,MATCH($B$3&amp;"|"&amp;19,'Catálogo'!$Q:$Q,0))="","",IMAGE(INDEX('Catálogo'!$M:$M,MATCH($B$3&amp;"|"&amp;19,'Catálogo'!$Q:$Q,0)),1)),"")</f>
      </c>
      <c r="B24" s="40">
        <f>IFERROR(INDEX('Catálogo'!$B:$B,MATCH($B$3&amp;"|"&amp;19,'Catálogo'!$Q:$Q,0)),"")</f>
      </c>
      <c r="C24" s="41">
        <f>IFERROR("Cód: "&amp;INDEX('Catálogo'!$A:$A,MATCH($B$3&amp;"|"&amp;19,'Catálogo'!$Q:$Q,0)),"")</f>
      </c>
      <c r="D24" s="42">
        <f>IFERROR(IF($D$3="Mayor",INDEX('Catálogo'!$O:$O,MATCH($B$3&amp;"|"&amp;19,'Catálogo'!$Q:$Q,0)),INDEX('Catálogo'!$N:$N,MATCH($B$3&amp;"|"&amp;19,'Catálogo'!$Q:$Q,0))),"")</f>
      </c>
    </row>
    <row r="25" ht="90.00" customHeight="1">
      <c r="A25" s="39">
        <f>IFERROR(IF(INDEX('Catálogo'!$M:$M,MATCH($B$3&amp;"|"&amp;20,'Catálogo'!$Q:$Q,0))="","",IMAGE(INDEX('Catálogo'!$M:$M,MATCH($B$3&amp;"|"&amp;20,'Catálogo'!$Q:$Q,0)),1)),"")</f>
      </c>
      <c r="B25" s="40">
        <f>IFERROR(INDEX('Catálogo'!$B:$B,MATCH($B$3&amp;"|"&amp;20,'Catálogo'!$Q:$Q,0)),"")</f>
      </c>
      <c r="C25" s="41">
        <f>IFERROR("Cód: "&amp;INDEX('Catálogo'!$A:$A,MATCH($B$3&amp;"|"&amp;20,'Catálogo'!$Q:$Q,0)),"")</f>
      </c>
      <c r="D25" s="42">
        <f>IFERROR(IF($D$3="Mayor",INDEX('Catálogo'!$O:$O,MATCH($B$3&amp;"|"&amp;20,'Catálogo'!$Q:$Q,0)),INDEX('Catálogo'!$N:$N,MATCH($B$3&amp;"|"&amp;20,'Catálogo'!$Q:$Q,0))),"")</f>
      </c>
    </row>
    <row r="26" ht="90.00" customHeight="1">
      <c r="A26" s="39">
        <f>IFERROR(IF(INDEX('Catálogo'!$M:$M,MATCH($B$3&amp;"|"&amp;21,'Catálogo'!$Q:$Q,0))="","",IMAGE(INDEX('Catálogo'!$M:$M,MATCH($B$3&amp;"|"&amp;21,'Catálogo'!$Q:$Q,0)),1)),"")</f>
      </c>
      <c r="B26" s="40">
        <f>IFERROR(INDEX('Catálogo'!$B:$B,MATCH($B$3&amp;"|"&amp;21,'Catálogo'!$Q:$Q,0)),"")</f>
      </c>
      <c r="C26" s="41">
        <f>IFERROR("Cód: "&amp;INDEX('Catálogo'!$A:$A,MATCH($B$3&amp;"|"&amp;21,'Catálogo'!$Q:$Q,0)),"")</f>
      </c>
      <c r="D26" s="42">
        <f>IFERROR(IF($D$3="Mayor",INDEX('Catálogo'!$O:$O,MATCH($B$3&amp;"|"&amp;21,'Catálogo'!$Q:$Q,0)),INDEX('Catálogo'!$N:$N,MATCH($B$3&amp;"|"&amp;21,'Catálogo'!$Q:$Q,0))),"")</f>
      </c>
    </row>
    <row r="27" ht="90.00" customHeight="1">
      <c r="A27" s="39">
        <f>IFERROR(IF(INDEX('Catálogo'!$M:$M,MATCH($B$3&amp;"|"&amp;22,'Catálogo'!$Q:$Q,0))="","",IMAGE(INDEX('Catálogo'!$M:$M,MATCH($B$3&amp;"|"&amp;22,'Catálogo'!$Q:$Q,0)),1)),"")</f>
      </c>
      <c r="B27" s="40">
        <f>IFERROR(INDEX('Catálogo'!$B:$B,MATCH($B$3&amp;"|"&amp;22,'Catálogo'!$Q:$Q,0)),"")</f>
      </c>
      <c r="C27" s="41">
        <f>IFERROR("Cód: "&amp;INDEX('Catálogo'!$A:$A,MATCH($B$3&amp;"|"&amp;22,'Catálogo'!$Q:$Q,0)),"")</f>
      </c>
      <c r="D27" s="42">
        <f>IFERROR(IF($D$3="Mayor",INDEX('Catálogo'!$O:$O,MATCH($B$3&amp;"|"&amp;22,'Catálogo'!$Q:$Q,0)),INDEX('Catálogo'!$N:$N,MATCH($B$3&amp;"|"&amp;22,'Catálogo'!$Q:$Q,0))),"")</f>
      </c>
    </row>
    <row r="28" ht="90.00" customHeight="1">
      <c r="A28" s="39">
        <f>IFERROR(IF(INDEX('Catálogo'!$M:$M,MATCH($B$3&amp;"|"&amp;23,'Catálogo'!$Q:$Q,0))="","",IMAGE(INDEX('Catálogo'!$M:$M,MATCH($B$3&amp;"|"&amp;23,'Catálogo'!$Q:$Q,0)),1)),"")</f>
      </c>
      <c r="B28" s="40">
        <f>IFERROR(INDEX('Catálogo'!$B:$B,MATCH($B$3&amp;"|"&amp;23,'Catálogo'!$Q:$Q,0)),"")</f>
      </c>
      <c r="C28" s="41">
        <f>IFERROR("Cód: "&amp;INDEX('Catálogo'!$A:$A,MATCH($B$3&amp;"|"&amp;23,'Catálogo'!$Q:$Q,0)),"")</f>
      </c>
      <c r="D28" s="42">
        <f>IFERROR(IF($D$3="Mayor",INDEX('Catálogo'!$O:$O,MATCH($B$3&amp;"|"&amp;23,'Catálogo'!$Q:$Q,0)),INDEX('Catálogo'!$N:$N,MATCH($B$3&amp;"|"&amp;23,'Catálogo'!$Q:$Q,0))),"")</f>
      </c>
    </row>
    <row r="29" ht="90.00" customHeight="1">
      <c r="A29" s="39">
        <f>IFERROR(IF(INDEX('Catálogo'!$M:$M,MATCH($B$3&amp;"|"&amp;24,'Catálogo'!$Q:$Q,0))="","",IMAGE(INDEX('Catálogo'!$M:$M,MATCH($B$3&amp;"|"&amp;24,'Catálogo'!$Q:$Q,0)),1)),"")</f>
      </c>
      <c r="B29" s="40">
        <f>IFERROR(INDEX('Catálogo'!$B:$B,MATCH($B$3&amp;"|"&amp;24,'Catálogo'!$Q:$Q,0)),"")</f>
      </c>
      <c r="C29" s="41">
        <f>IFERROR("Cód: "&amp;INDEX('Catálogo'!$A:$A,MATCH($B$3&amp;"|"&amp;24,'Catálogo'!$Q:$Q,0)),"")</f>
      </c>
      <c r="D29" s="42">
        <f>IFERROR(IF($D$3="Mayor",INDEX('Catálogo'!$O:$O,MATCH($B$3&amp;"|"&amp;24,'Catálogo'!$Q:$Q,0)),INDEX('Catálogo'!$N:$N,MATCH($B$3&amp;"|"&amp;24,'Catálogo'!$Q:$Q,0))),"")</f>
      </c>
    </row>
    <row r="30" ht="90.00" customHeight="1">
      <c r="A30" s="39">
        <f>IFERROR(IF(INDEX('Catálogo'!$M:$M,MATCH($B$3&amp;"|"&amp;25,'Catálogo'!$Q:$Q,0))="","",IMAGE(INDEX('Catálogo'!$M:$M,MATCH($B$3&amp;"|"&amp;25,'Catálogo'!$Q:$Q,0)),1)),"")</f>
      </c>
      <c r="B30" s="40">
        <f>IFERROR(INDEX('Catálogo'!$B:$B,MATCH($B$3&amp;"|"&amp;25,'Catálogo'!$Q:$Q,0)),"")</f>
      </c>
      <c r="C30" s="41">
        <f>IFERROR("Cód: "&amp;INDEX('Catálogo'!$A:$A,MATCH($B$3&amp;"|"&amp;25,'Catálogo'!$Q:$Q,0)),"")</f>
      </c>
      <c r="D30" s="42">
        <f>IFERROR(IF($D$3="Mayor",INDEX('Catálogo'!$O:$O,MATCH($B$3&amp;"|"&amp;25,'Catálogo'!$Q:$Q,0)),INDEX('Catálogo'!$N:$N,MATCH($B$3&amp;"|"&amp;25,'Catálogo'!$Q:$Q,0))),"")</f>
      </c>
    </row>
    <row r="31" ht="90.00" customHeight="1">
      <c r="A31" s="39">
        <f>IFERROR(IF(INDEX('Catálogo'!$M:$M,MATCH($B$3&amp;"|"&amp;26,'Catálogo'!$Q:$Q,0))="","",IMAGE(INDEX('Catálogo'!$M:$M,MATCH($B$3&amp;"|"&amp;26,'Catálogo'!$Q:$Q,0)),1)),"")</f>
      </c>
      <c r="B31" s="40">
        <f>IFERROR(INDEX('Catálogo'!$B:$B,MATCH($B$3&amp;"|"&amp;26,'Catálogo'!$Q:$Q,0)),"")</f>
      </c>
      <c r="C31" s="41">
        <f>IFERROR("Cód: "&amp;INDEX('Catálogo'!$A:$A,MATCH($B$3&amp;"|"&amp;26,'Catálogo'!$Q:$Q,0)),"")</f>
      </c>
      <c r="D31" s="42">
        <f>IFERROR(IF($D$3="Mayor",INDEX('Catálogo'!$O:$O,MATCH($B$3&amp;"|"&amp;26,'Catálogo'!$Q:$Q,0)),INDEX('Catálogo'!$N:$N,MATCH($B$3&amp;"|"&amp;26,'Catálogo'!$Q:$Q,0))),"")</f>
      </c>
    </row>
    <row r="32" ht="90.00" customHeight="1">
      <c r="A32" s="39">
        <f>IFERROR(IF(INDEX('Catálogo'!$M:$M,MATCH($B$3&amp;"|"&amp;27,'Catálogo'!$Q:$Q,0))="","",IMAGE(INDEX('Catálogo'!$M:$M,MATCH($B$3&amp;"|"&amp;27,'Catálogo'!$Q:$Q,0)),1)),"")</f>
      </c>
      <c r="B32" s="40">
        <f>IFERROR(INDEX('Catálogo'!$B:$B,MATCH($B$3&amp;"|"&amp;27,'Catálogo'!$Q:$Q,0)),"")</f>
      </c>
      <c r="C32" s="41">
        <f>IFERROR("Cód: "&amp;INDEX('Catálogo'!$A:$A,MATCH($B$3&amp;"|"&amp;27,'Catálogo'!$Q:$Q,0)),"")</f>
      </c>
      <c r="D32" s="42">
        <f>IFERROR(IF($D$3="Mayor",INDEX('Catálogo'!$O:$O,MATCH($B$3&amp;"|"&amp;27,'Catálogo'!$Q:$Q,0)),INDEX('Catálogo'!$N:$N,MATCH($B$3&amp;"|"&amp;27,'Catálogo'!$Q:$Q,0))),"")</f>
      </c>
    </row>
    <row r="33" ht="90.00" customHeight="1">
      <c r="A33" s="39">
        <f>IFERROR(IF(INDEX('Catálogo'!$M:$M,MATCH($B$3&amp;"|"&amp;28,'Catálogo'!$Q:$Q,0))="","",IMAGE(INDEX('Catálogo'!$M:$M,MATCH($B$3&amp;"|"&amp;28,'Catálogo'!$Q:$Q,0)),1)),"")</f>
      </c>
      <c r="B33" s="40">
        <f>IFERROR(INDEX('Catálogo'!$B:$B,MATCH($B$3&amp;"|"&amp;28,'Catálogo'!$Q:$Q,0)),"")</f>
      </c>
      <c r="C33" s="41">
        <f>IFERROR("Cód: "&amp;INDEX('Catálogo'!$A:$A,MATCH($B$3&amp;"|"&amp;28,'Catálogo'!$Q:$Q,0)),"")</f>
      </c>
      <c r="D33" s="42">
        <f>IFERROR(IF($D$3="Mayor",INDEX('Catálogo'!$O:$O,MATCH($B$3&amp;"|"&amp;28,'Catálogo'!$Q:$Q,0)),INDEX('Catálogo'!$N:$N,MATCH($B$3&amp;"|"&amp;28,'Catálogo'!$Q:$Q,0))),"")</f>
      </c>
    </row>
    <row r="34" ht="90.00" customHeight="1">
      <c r="A34" s="39">
        <f>IFERROR(IF(INDEX('Catálogo'!$M:$M,MATCH($B$3&amp;"|"&amp;29,'Catálogo'!$Q:$Q,0))="","",IMAGE(INDEX('Catálogo'!$M:$M,MATCH($B$3&amp;"|"&amp;29,'Catálogo'!$Q:$Q,0)),1)),"")</f>
      </c>
      <c r="B34" s="40">
        <f>IFERROR(INDEX('Catálogo'!$B:$B,MATCH($B$3&amp;"|"&amp;29,'Catálogo'!$Q:$Q,0)),"")</f>
      </c>
      <c r="C34" s="41">
        <f>IFERROR("Cód: "&amp;INDEX('Catálogo'!$A:$A,MATCH($B$3&amp;"|"&amp;29,'Catálogo'!$Q:$Q,0)),"")</f>
      </c>
      <c r="D34" s="42">
        <f>IFERROR(IF($D$3="Mayor",INDEX('Catálogo'!$O:$O,MATCH($B$3&amp;"|"&amp;29,'Catálogo'!$Q:$Q,0)),INDEX('Catálogo'!$N:$N,MATCH($B$3&amp;"|"&amp;29,'Catálogo'!$Q:$Q,0))),"")</f>
      </c>
    </row>
    <row r="35" ht="90.00" customHeight="1">
      <c r="A35" s="39">
        <f>IFERROR(IF(INDEX('Catálogo'!$M:$M,MATCH($B$3&amp;"|"&amp;30,'Catálogo'!$Q:$Q,0))="","",IMAGE(INDEX('Catálogo'!$M:$M,MATCH($B$3&amp;"|"&amp;30,'Catálogo'!$Q:$Q,0)),1)),"")</f>
      </c>
      <c r="B35" s="40">
        <f>IFERROR(INDEX('Catálogo'!$B:$B,MATCH($B$3&amp;"|"&amp;30,'Catálogo'!$Q:$Q,0)),"")</f>
      </c>
      <c r="C35" s="41">
        <f>IFERROR("Cód: "&amp;INDEX('Catálogo'!$A:$A,MATCH($B$3&amp;"|"&amp;30,'Catálogo'!$Q:$Q,0)),"")</f>
      </c>
      <c r="D35" s="42">
        <f>IFERROR(IF($D$3="Mayor",INDEX('Catálogo'!$O:$O,MATCH($B$3&amp;"|"&amp;30,'Catálogo'!$Q:$Q,0)),INDEX('Catálogo'!$N:$N,MATCH($B$3&amp;"|"&amp;30,'Catálogo'!$Q:$Q,0))),"")</f>
      </c>
    </row>
    <row r="36" ht="90.00" customHeight="1">
      <c r="A36" s="39">
        <f>IFERROR(IF(INDEX('Catálogo'!$M:$M,MATCH($B$3&amp;"|"&amp;31,'Catálogo'!$Q:$Q,0))="","",IMAGE(INDEX('Catálogo'!$M:$M,MATCH($B$3&amp;"|"&amp;31,'Catálogo'!$Q:$Q,0)),1)),"")</f>
      </c>
      <c r="B36" s="40">
        <f>IFERROR(INDEX('Catálogo'!$B:$B,MATCH($B$3&amp;"|"&amp;31,'Catálogo'!$Q:$Q,0)),"")</f>
      </c>
      <c r="C36" s="41">
        <f>IFERROR("Cód: "&amp;INDEX('Catálogo'!$A:$A,MATCH($B$3&amp;"|"&amp;31,'Catálogo'!$Q:$Q,0)),"")</f>
      </c>
      <c r="D36" s="42">
        <f>IFERROR(IF($D$3="Mayor",INDEX('Catálogo'!$O:$O,MATCH($B$3&amp;"|"&amp;31,'Catálogo'!$Q:$Q,0)),INDEX('Catálogo'!$N:$N,MATCH($B$3&amp;"|"&amp;31,'Catálogo'!$Q:$Q,0))),"")</f>
      </c>
    </row>
    <row r="37" ht="90.00" customHeight="1">
      <c r="A37" s="39">
        <f>IFERROR(IF(INDEX('Catálogo'!$M:$M,MATCH($B$3&amp;"|"&amp;32,'Catálogo'!$Q:$Q,0))="","",IMAGE(INDEX('Catálogo'!$M:$M,MATCH($B$3&amp;"|"&amp;32,'Catálogo'!$Q:$Q,0)),1)),"")</f>
      </c>
      <c r="B37" s="40">
        <f>IFERROR(INDEX('Catálogo'!$B:$B,MATCH($B$3&amp;"|"&amp;32,'Catálogo'!$Q:$Q,0)),"")</f>
      </c>
      <c r="C37" s="41">
        <f>IFERROR("Cód: "&amp;INDEX('Catálogo'!$A:$A,MATCH($B$3&amp;"|"&amp;32,'Catálogo'!$Q:$Q,0)),"")</f>
      </c>
      <c r="D37" s="42">
        <f>IFERROR(IF($D$3="Mayor",INDEX('Catálogo'!$O:$O,MATCH($B$3&amp;"|"&amp;32,'Catálogo'!$Q:$Q,0)),INDEX('Catálogo'!$N:$N,MATCH($B$3&amp;"|"&amp;32,'Catálogo'!$Q:$Q,0))),"")</f>
      </c>
    </row>
    <row r="38" ht="90.00" customHeight="1">
      <c r="A38" s="39">
        <f>IFERROR(IF(INDEX('Catálogo'!$M:$M,MATCH($B$3&amp;"|"&amp;33,'Catálogo'!$Q:$Q,0))="","",IMAGE(INDEX('Catálogo'!$M:$M,MATCH($B$3&amp;"|"&amp;33,'Catálogo'!$Q:$Q,0)),1)),"")</f>
      </c>
      <c r="B38" s="40">
        <f>IFERROR(INDEX('Catálogo'!$B:$B,MATCH($B$3&amp;"|"&amp;33,'Catálogo'!$Q:$Q,0)),"")</f>
      </c>
      <c r="C38" s="41">
        <f>IFERROR("Cód: "&amp;INDEX('Catálogo'!$A:$A,MATCH($B$3&amp;"|"&amp;33,'Catálogo'!$Q:$Q,0)),"")</f>
      </c>
      <c r="D38" s="42">
        <f>IFERROR(IF($D$3="Mayor",INDEX('Catálogo'!$O:$O,MATCH($B$3&amp;"|"&amp;33,'Catálogo'!$Q:$Q,0)),INDEX('Catálogo'!$N:$N,MATCH($B$3&amp;"|"&amp;33,'Catálogo'!$Q:$Q,0))),"")</f>
      </c>
    </row>
    <row r="39" ht="90.00" customHeight="1">
      <c r="A39" s="39">
        <f>IFERROR(IF(INDEX('Catálogo'!$M:$M,MATCH($B$3&amp;"|"&amp;34,'Catálogo'!$Q:$Q,0))="","",IMAGE(INDEX('Catálogo'!$M:$M,MATCH($B$3&amp;"|"&amp;34,'Catálogo'!$Q:$Q,0)),1)),"")</f>
      </c>
      <c r="B39" s="40">
        <f>IFERROR(INDEX('Catálogo'!$B:$B,MATCH($B$3&amp;"|"&amp;34,'Catálogo'!$Q:$Q,0)),"")</f>
      </c>
      <c r="C39" s="41">
        <f>IFERROR("Cód: "&amp;INDEX('Catálogo'!$A:$A,MATCH($B$3&amp;"|"&amp;34,'Catálogo'!$Q:$Q,0)),"")</f>
      </c>
      <c r="D39" s="42">
        <f>IFERROR(IF($D$3="Mayor",INDEX('Catálogo'!$O:$O,MATCH($B$3&amp;"|"&amp;34,'Catálogo'!$Q:$Q,0)),INDEX('Catálogo'!$N:$N,MATCH($B$3&amp;"|"&amp;34,'Catálogo'!$Q:$Q,0))),"")</f>
      </c>
    </row>
    <row r="40" ht="90.00" customHeight="1">
      <c r="A40" s="39">
        <f>IFERROR(IF(INDEX('Catálogo'!$M:$M,MATCH($B$3&amp;"|"&amp;35,'Catálogo'!$Q:$Q,0))="","",IMAGE(INDEX('Catálogo'!$M:$M,MATCH($B$3&amp;"|"&amp;35,'Catálogo'!$Q:$Q,0)),1)),"")</f>
      </c>
      <c r="B40" s="40">
        <f>IFERROR(INDEX('Catálogo'!$B:$B,MATCH($B$3&amp;"|"&amp;35,'Catálogo'!$Q:$Q,0)),"")</f>
      </c>
      <c r="C40" s="41">
        <f>IFERROR("Cód: "&amp;INDEX('Catálogo'!$A:$A,MATCH($B$3&amp;"|"&amp;35,'Catálogo'!$Q:$Q,0)),"")</f>
      </c>
      <c r="D40" s="42">
        <f>IFERROR(IF($D$3="Mayor",INDEX('Catálogo'!$O:$O,MATCH($B$3&amp;"|"&amp;35,'Catálogo'!$Q:$Q,0)),INDEX('Catálogo'!$N:$N,MATCH($B$3&amp;"|"&amp;35,'Catálogo'!$Q:$Q,0))),"")</f>
      </c>
    </row>
    <row r="41" ht="90.00" customHeight="1">
      <c r="A41" s="39">
        <f>IFERROR(IF(INDEX('Catálogo'!$M:$M,MATCH($B$3&amp;"|"&amp;36,'Catálogo'!$Q:$Q,0))="","",IMAGE(INDEX('Catálogo'!$M:$M,MATCH($B$3&amp;"|"&amp;36,'Catálogo'!$Q:$Q,0)),1)),"")</f>
      </c>
      <c r="B41" s="40">
        <f>IFERROR(INDEX('Catálogo'!$B:$B,MATCH($B$3&amp;"|"&amp;36,'Catálogo'!$Q:$Q,0)),"")</f>
      </c>
      <c r="C41" s="41">
        <f>IFERROR("Cód: "&amp;INDEX('Catálogo'!$A:$A,MATCH($B$3&amp;"|"&amp;36,'Catálogo'!$Q:$Q,0)),"")</f>
      </c>
      <c r="D41" s="42">
        <f>IFERROR(IF($D$3="Mayor",INDEX('Catálogo'!$O:$O,MATCH($B$3&amp;"|"&amp;36,'Catálogo'!$Q:$Q,0)),INDEX('Catálogo'!$N:$N,MATCH($B$3&amp;"|"&amp;36,'Catálogo'!$Q:$Q,0))),"")</f>
      </c>
    </row>
    <row r="42" ht="90.00" customHeight="1">
      <c r="A42" s="39">
        <f>IFERROR(IF(INDEX('Catálogo'!$M:$M,MATCH($B$3&amp;"|"&amp;37,'Catálogo'!$Q:$Q,0))="","",IMAGE(INDEX('Catálogo'!$M:$M,MATCH($B$3&amp;"|"&amp;37,'Catálogo'!$Q:$Q,0)),1)),"")</f>
      </c>
      <c r="B42" s="40">
        <f>IFERROR(INDEX('Catálogo'!$B:$B,MATCH($B$3&amp;"|"&amp;37,'Catálogo'!$Q:$Q,0)),"")</f>
      </c>
      <c r="C42" s="41">
        <f>IFERROR("Cód: "&amp;INDEX('Catálogo'!$A:$A,MATCH($B$3&amp;"|"&amp;37,'Catálogo'!$Q:$Q,0)),"")</f>
      </c>
      <c r="D42" s="42">
        <f>IFERROR(IF($D$3="Mayor",INDEX('Catálogo'!$O:$O,MATCH($B$3&amp;"|"&amp;37,'Catálogo'!$Q:$Q,0)),INDEX('Catálogo'!$N:$N,MATCH($B$3&amp;"|"&amp;37,'Catálogo'!$Q:$Q,0))),"")</f>
      </c>
    </row>
    <row r="43" ht="90.00" customHeight="1">
      <c r="A43" s="39">
        <f>IFERROR(IF(INDEX('Catálogo'!$M:$M,MATCH($B$3&amp;"|"&amp;38,'Catálogo'!$Q:$Q,0))="","",IMAGE(INDEX('Catálogo'!$M:$M,MATCH($B$3&amp;"|"&amp;38,'Catálogo'!$Q:$Q,0)),1)),"")</f>
      </c>
      <c r="B43" s="40">
        <f>IFERROR(INDEX('Catálogo'!$B:$B,MATCH($B$3&amp;"|"&amp;38,'Catálogo'!$Q:$Q,0)),"")</f>
      </c>
      <c r="C43" s="41">
        <f>IFERROR("Cód: "&amp;INDEX('Catálogo'!$A:$A,MATCH($B$3&amp;"|"&amp;38,'Catálogo'!$Q:$Q,0)),"")</f>
      </c>
      <c r="D43" s="42">
        <f>IFERROR(IF($D$3="Mayor",INDEX('Catálogo'!$O:$O,MATCH($B$3&amp;"|"&amp;38,'Catálogo'!$Q:$Q,0)),INDEX('Catálogo'!$N:$N,MATCH($B$3&amp;"|"&amp;38,'Catálogo'!$Q:$Q,0))),"")</f>
      </c>
    </row>
    <row r="44" ht="90.00" customHeight="1">
      <c r="A44" s="39">
        <f>IFERROR(IF(INDEX('Catálogo'!$M:$M,MATCH($B$3&amp;"|"&amp;39,'Catálogo'!$Q:$Q,0))="","",IMAGE(INDEX('Catálogo'!$M:$M,MATCH($B$3&amp;"|"&amp;39,'Catálogo'!$Q:$Q,0)),1)),"")</f>
      </c>
      <c r="B44" s="40">
        <f>IFERROR(INDEX('Catálogo'!$B:$B,MATCH($B$3&amp;"|"&amp;39,'Catálogo'!$Q:$Q,0)),"")</f>
      </c>
      <c r="C44" s="41">
        <f>IFERROR("Cód: "&amp;INDEX('Catálogo'!$A:$A,MATCH($B$3&amp;"|"&amp;39,'Catálogo'!$Q:$Q,0)),"")</f>
      </c>
      <c r="D44" s="42">
        <f>IFERROR(IF($D$3="Mayor",INDEX('Catálogo'!$O:$O,MATCH($B$3&amp;"|"&amp;39,'Catálogo'!$Q:$Q,0)),INDEX('Catálogo'!$N:$N,MATCH($B$3&amp;"|"&amp;39,'Catálogo'!$Q:$Q,0))),"")</f>
      </c>
    </row>
    <row r="45" ht="90.00" customHeight="1">
      <c r="A45" s="39">
        <f>IFERROR(IF(INDEX('Catálogo'!$M:$M,MATCH($B$3&amp;"|"&amp;40,'Catálogo'!$Q:$Q,0))="","",IMAGE(INDEX('Catálogo'!$M:$M,MATCH($B$3&amp;"|"&amp;40,'Catálogo'!$Q:$Q,0)),1)),"")</f>
      </c>
      <c r="B45" s="40">
        <f>IFERROR(INDEX('Catálogo'!$B:$B,MATCH($B$3&amp;"|"&amp;40,'Catálogo'!$Q:$Q,0)),"")</f>
      </c>
      <c r="C45" s="41">
        <f>IFERROR("Cód: "&amp;INDEX('Catálogo'!$A:$A,MATCH($B$3&amp;"|"&amp;40,'Catálogo'!$Q:$Q,0)),"")</f>
      </c>
      <c r="D45" s="42">
        <f>IFERROR(IF($D$3="Mayor",INDEX('Catálogo'!$O:$O,MATCH($B$3&amp;"|"&amp;40,'Catálogo'!$Q:$Q,0)),INDEX('Catálogo'!$N:$N,MATCH($B$3&amp;"|"&amp;40,'Catálogo'!$Q:$Q,0))),"")</f>
      </c>
    </row>
    <row r="46" ht="90.00" customHeight="1">
      <c r="A46" s="39">
        <f>IFERROR(IF(INDEX('Catálogo'!$M:$M,MATCH($B$3&amp;"|"&amp;41,'Catálogo'!$Q:$Q,0))="","",IMAGE(INDEX('Catálogo'!$M:$M,MATCH($B$3&amp;"|"&amp;41,'Catálogo'!$Q:$Q,0)),1)),"")</f>
      </c>
      <c r="B46" s="40">
        <f>IFERROR(INDEX('Catálogo'!$B:$B,MATCH($B$3&amp;"|"&amp;41,'Catálogo'!$Q:$Q,0)),"")</f>
      </c>
      <c r="C46" s="41">
        <f>IFERROR("Cód: "&amp;INDEX('Catálogo'!$A:$A,MATCH($B$3&amp;"|"&amp;41,'Catálogo'!$Q:$Q,0)),"")</f>
      </c>
      <c r="D46" s="42">
        <f>IFERROR(IF($D$3="Mayor",INDEX('Catálogo'!$O:$O,MATCH($B$3&amp;"|"&amp;41,'Catálogo'!$Q:$Q,0)),INDEX('Catálogo'!$N:$N,MATCH($B$3&amp;"|"&amp;41,'Catálogo'!$Q:$Q,0))),"")</f>
      </c>
    </row>
    <row r="47" ht="90.00" customHeight="1">
      <c r="A47" s="39">
        <f>IFERROR(IF(INDEX('Catálogo'!$M:$M,MATCH($B$3&amp;"|"&amp;42,'Catálogo'!$Q:$Q,0))="","",IMAGE(INDEX('Catálogo'!$M:$M,MATCH($B$3&amp;"|"&amp;42,'Catálogo'!$Q:$Q,0)),1)),"")</f>
      </c>
      <c r="B47" s="40">
        <f>IFERROR(INDEX('Catálogo'!$B:$B,MATCH($B$3&amp;"|"&amp;42,'Catálogo'!$Q:$Q,0)),"")</f>
      </c>
      <c r="C47" s="41">
        <f>IFERROR("Cód: "&amp;INDEX('Catálogo'!$A:$A,MATCH($B$3&amp;"|"&amp;42,'Catálogo'!$Q:$Q,0)),"")</f>
      </c>
      <c r="D47" s="42">
        <f>IFERROR(IF($D$3="Mayor",INDEX('Catálogo'!$O:$O,MATCH($B$3&amp;"|"&amp;42,'Catálogo'!$Q:$Q,0)),INDEX('Catálogo'!$N:$N,MATCH($B$3&amp;"|"&amp;42,'Catálogo'!$Q:$Q,0))),"")</f>
      </c>
    </row>
    <row r="48" ht="90.00" customHeight="1">
      <c r="A48" s="39">
        <f>IFERROR(IF(INDEX('Catálogo'!$M:$M,MATCH($B$3&amp;"|"&amp;43,'Catálogo'!$Q:$Q,0))="","",IMAGE(INDEX('Catálogo'!$M:$M,MATCH($B$3&amp;"|"&amp;43,'Catálogo'!$Q:$Q,0)),1)),"")</f>
      </c>
      <c r="B48" s="40">
        <f>IFERROR(INDEX('Catálogo'!$B:$B,MATCH($B$3&amp;"|"&amp;43,'Catálogo'!$Q:$Q,0)),"")</f>
      </c>
      <c r="C48" s="41">
        <f>IFERROR("Cód: "&amp;INDEX('Catálogo'!$A:$A,MATCH($B$3&amp;"|"&amp;43,'Catálogo'!$Q:$Q,0)),"")</f>
      </c>
      <c r="D48" s="42">
        <f>IFERROR(IF($D$3="Mayor",INDEX('Catálogo'!$O:$O,MATCH($B$3&amp;"|"&amp;43,'Catálogo'!$Q:$Q,0)),INDEX('Catálogo'!$N:$N,MATCH($B$3&amp;"|"&amp;43,'Catálogo'!$Q:$Q,0))),"")</f>
      </c>
    </row>
    <row r="49" ht="90.00" customHeight="1">
      <c r="A49" s="39">
        <f>IFERROR(IF(INDEX('Catálogo'!$M:$M,MATCH($B$3&amp;"|"&amp;44,'Catálogo'!$Q:$Q,0))="","",IMAGE(INDEX('Catálogo'!$M:$M,MATCH($B$3&amp;"|"&amp;44,'Catálogo'!$Q:$Q,0)),1)),"")</f>
      </c>
      <c r="B49" s="40">
        <f>IFERROR(INDEX('Catálogo'!$B:$B,MATCH($B$3&amp;"|"&amp;44,'Catálogo'!$Q:$Q,0)),"")</f>
      </c>
      <c r="C49" s="41">
        <f>IFERROR("Cód: "&amp;INDEX('Catálogo'!$A:$A,MATCH($B$3&amp;"|"&amp;44,'Catálogo'!$Q:$Q,0)),"")</f>
      </c>
      <c r="D49" s="42">
        <f>IFERROR(IF($D$3="Mayor",INDEX('Catálogo'!$O:$O,MATCH($B$3&amp;"|"&amp;44,'Catálogo'!$Q:$Q,0)),INDEX('Catálogo'!$N:$N,MATCH($B$3&amp;"|"&amp;44,'Catálogo'!$Q:$Q,0))),"")</f>
      </c>
    </row>
    <row r="50" ht="90.00" customHeight="1">
      <c r="A50" s="39">
        <f>IFERROR(IF(INDEX('Catálogo'!$M:$M,MATCH($B$3&amp;"|"&amp;45,'Catálogo'!$Q:$Q,0))="","",IMAGE(INDEX('Catálogo'!$M:$M,MATCH($B$3&amp;"|"&amp;45,'Catálogo'!$Q:$Q,0)),1)),"")</f>
      </c>
      <c r="B50" s="40">
        <f>IFERROR(INDEX('Catálogo'!$B:$B,MATCH($B$3&amp;"|"&amp;45,'Catálogo'!$Q:$Q,0)),"")</f>
      </c>
      <c r="C50" s="41">
        <f>IFERROR("Cód: "&amp;INDEX('Catálogo'!$A:$A,MATCH($B$3&amp;"|"&amp;45,'Catálogo'!$Q:$Q,0)),"")</f>
      </c>
      <c r="D50" s="42">
        <f>IFERROR(IF($D$3="Mayor",INDEX('Catálogo'!$O:$O,MATCH($B$3&amp;"|"&amp;45,'Catálogo'!$Q:$Q,0)),INDEX('Catálogo'!$N:$N,MATCH($B$3&amp;"|"&amp;45,'Catálogo'!$Q:$Q,0))),"")</f>
      </c>
    </row>
    <row r="51" ht="90.00" customHeight="1">
      <c r="A51" s="39">
        <f>IFERROR(IF(INDEX('Catálogo'!$M:$M,MATCH($B$3&amp;"|"&amp;46,'Catálogo'!$Q:$Q,0))="","",IMAGE(INDEX('Catálogo'!$M:$M,MATCH($B$3&amp;"|"&amp;46,'Catálogo'!$Q:$Q,0)),1)),"")</f>
      </c>
      <c r="B51" s="40">
        <f>IFERROR(INDEX('Catálogo'!$B:$B,MATCH($B$3&amp;"|"&amp;46,'Catálogo'!$Q:$Q,0)),"")</f>
      </c>
      <c r="C51" s="41">
        <f>IFERROR("Cód: "&amp;INDEX('Catálogo'!$A:$A,MATCH($B$3&amp;"|"&amp;46,'Catálogo'!$Q:$Q,0)),"")</f>
      </c>
      <c r="D51" s="42">
        <f>IFERROR(IF($D$3="Mayor",INDEX('Catálogo'!$O:$O,MATCH($B$3&amp;"|"&amp;46,'Catálogo'!$Q:$Q,0)),INDEX('Catálogo'!$N:$N,MATCH($B$3&amp;"|"&amp;46,'Catálogo'!$Q:$Q,0))),"")</f>
      </c>
    </row>
    <row r="52" ht="90.00" customHeight="1">
      <c r="A52" s="39">
        <f>IFERROR(IF(INDEX('Catálogo'!$M:$M,MATCH($B$3&amp;"|"&amp;47,'Catálogo'!$Q:$Q,0))="","",IMAGE(INDEX('Catálogo'!$M:$M,MATCH($B$3&amp;"|"&amp;47,'Catálogo'!$Q:$Q,0)),1)),"")</f>
      </c>
      <c r="B52" s="40">
        <f>IFERROR(INDEX('Catálogo'!$B:$B,MATCH($B$3&amp;"|"&amp;47,'Catálogo'!$Q:$Q,0)),"")</f>
      </c>
      <c r="C52" s="41">
        <f>IFERROR("Cód: "&amp;INDEX('Catálogo'!$A:$A,MATCH($B$3&amp;"|"&amp;47,'Catálogo'!$Q:$Q,0)),"")</f>
      </c>
      <c r="D52" s="42">
        <f>IFERROR(IF($D$3="Mayor",INDEX('Catálogo'!$O:$O,MATCH($B$3&amp;"|"&amp;47,'Catálogo'!$Q:$Q,0)),INDEX('Catálogo'!$N:$N,MATCH($B$3&amp;"|"&amp;47,'Catálogo'!$Q:$Q,0))),"")</f>
      </c>
    </row>
    <row r="53" ht="90.00" customHeight="1">
      <c r="A53" s="39">
        <f>IFERROR(IF(INDEX('Catálogo'!$M:$M,MATCH($B$3&amp;"|"&amp;48,'Catálogo'!$Q:$Q,0))="","",IMAGE(INDEX('Catálogo'!$M:$M,MATCH($B$3&amp;"|"&amp;48,'Catálogo'!$Q:$Q,0)),1)),"")</f>
      </c>
      <c r="B53" s="40">
        <f>IFERROR(INDEX('Catálogo'!$B:$B,MATCH($B$3&amp;"|"&amp;48,'Catálogo'!$Q:$Q,0)),"")</f>
      </c>
      <c r="C53" s="41">
        <f>IFERROR("Cód: "&amp;INDEX('Catálogo'!$A:$A,MATCH($B$3&amp;"|"&amp;48,'Catálogo'!$Q:$Q,0)),"")</f>
      </c>
      <c r="D53" s="42">
        <f>IFERROR(IF($D$3="Mayor",INDEX('Catálogo'!$O:$O,MATCH($B$3&amp;"|"&amp;48,'Catálogo'!$Q:$Q,0)),INDEX('Catálogo'!$N:$N,MATCH($B$3&amp;"|"&amp;48,'Catálogo'!$Q:$Q,0))),"")</f>
      </c>
    </row>
    <row r="54" ht="90.00" customHeight="1">
      <c r="A54" s="39">
        <f>IFERROR(IF(INDEX('Catálogo'!$M:$M,MATCH($B$3&amp;"|"&amp;49,'Catálogo'!$Q:$Q,0))="","",IMAGE(INDEX('Catálogo'!$M:$M,MATCH($B$3&amp;"|"&amp;49,'Catálogo'!$Q:$Q,0)),1)),"")</f>
      </c>
      <c r="B54" s="40">
        <f>IFERROR(INDEX('Catálogo'!$B:$B,MATCH($B$3&amp;"|"&amp;49,'Catálogo'!$Q:$Q,0)),"")</f>
      </c>
      <c r="C54" s="41">
        <f>IFERROR("Cód: "&amp;INDEX('Catálogo'!$A:$A,MATCH($B$3&amp;"|"&amp;49,'Catálogo'!$Q:$Q,0)),"")</f>
      </c>
      <c r="D54" s="42">
        <f>IFERROR(IF($D$3="Mayor",INDEX('Catálogo'!$O:$O,MATCH($B$3&amp;"|"&amp;49,'Catálogo'!$Q:$Q,0)),INDEX('Catálogo'!$N:$N,MATCH($B$3&amp;"|"&amp;49,'Catálogo'!$Q:$Q,0))),"")</f>
      </c>
    </row>
    <row r="55" ht="90.00" customHeight="1">
      <c r="A55" s="39">
        <f>IFERROR(IF(INDEX('Catálogo'!$M:$M,MATCH($B$3&amp;"|"&amp;50,'Catálogo'!$Q:$Q,0))="","",IMAGE(INDEX('Catálogo'!$M:$M,MATCH($B$3&amp;"|"&amp;50,'Catálogo'!$Q:$Q,0)),1)),"")</f>
      </c>
      <c r="B55" s="40">
        <f>IFERROR(INDEX('Catálogo'!$B:$B,MATCH($B$3&amp;"|"&amp;50,'Catálogo'!$Q:$Q,0)),"")</f>
      </c>
      <c r="C55" s="41">
        <f>IFERROR("Cód: "&amp;INDEX('Catálogo'!$A:$A,MATCH($B$3&amp;"|"&amp;50,'Catálogo'!$Q:$Q,0)),"")</f>
      </c>
      <c r="D55" s="42">
        <f>IFERROR(IF($D$3="Mayor",INDEX('Catálogo'!$O:$O,MATCH($B$3&amp;"|"&amp;50,'Catálogo'!$Q:$Q,0)),INDEX('Catálogo'!$N:$N,MATCH($B$3&amp;"|"&amp;50,'Catálogo'!$Q:$Q,0))),"")</f>
      </c>
    </row>
    <row r="56" ht="90.00" customHeight="1">
      <c r="A56" s="39">
        <f>IFERROR(IF(INDEX('Catálogo'!$M:$M,MATCH($B$3&amp;"|"&amp;51,'Catálogo'!$Q:$Q,0))="","",IMAGE(INDEX('Catálogo'!$M:$M,MATCH($B$3&amp;"|"&amp;51,'Catálogo'!$Q:$Q,0)),1)),"")</f>
      </c>
      <c r="B56" s="40">
        <f>IFERROR(INDEX('Catálogo'!$B:$B,MATCH($B$3&amp;"|"&amp;51,'Catálogo'!$Q:$Q,0)),"")</f>
      </c>
      <c r="C56" s="41">
        <f>IFERROR("Cód: "&amp;INDEX('Catálogo'!$A:$A,MATCH($B$3&amp;"|"&amp;51,'Catálogo'!$Q:$Q,0)),"")</f>
      </c>
      <c r="D56" s="42">
        <f>IFERROR(IF($D$3="Mayor",INDEX('Catálogo'!$O:$O,MATCH($B$3&amp;"|"&amp;51,'Catálogo'!$Q:$Q,0)),INDEX('Catálogo'!$N:$N,MATCH($B$3&amp;"|"&amp;51,'Catálogo'!$Q:$Q,0))),"")</f>
      </c>
    </row>
    <row r="57" ht="90.00" customHeight="1">
      <c r="A57" s="39">
        <f>IFERROR(IF(INDEX('Catálogo'!$M:$M,MATCH($B$3&amp;"|"&amp;52,'Catálogo'!$Q:$Q,0))="","",IMAGE(INDEX('Catálogo'!$M:$M,MATCH($B$3&amp;"|"&amp;52,'Catálogo'!$Q:$Q,0)),1)),"")</f>
      </c>
      <c r="B57" s="40">
        <f>IFERROR(INDEX('Catálogo'!$B:$B,MATCH($B$3&amp;"|"&amp;52,'Catálogo'!$Q:$Q,0)),"")</f>
      </c>
      <c r="C57" s="41">
        <f>IFERROR("Cód: "&amp;INDEX('Catálogo'!$A:$A,MATCH($B$3&amp;"|"&amp;52,'Catálogo'!$Q:$Q,0)),"")</f>
      </c>
      <c r="D57" s="42">
        <f>IFERROR(IF($D$3="Mayor",INDEX('Catálogo'!$O:$O,MATCH($B$3&amp;"|"&amp;52,'Catálogo'!$Q:$Q,0)),INDEX('Catálogo'!$N:$N,MATCH($B$3&amp;"|"&amp;52,'Catálogo'!$Q:$Q,0))),"")</f>
      </c>
    </row>
    <row r="58" ht="90.00" customHeight="1">
      <c r="A58" s="39">
        <f>IFERROR(IF(INDEX('Catálogo'!$M:$M,MATCH($B$3&amp;"|"&amp;53,'Catálogo'!$Q:$Q,0))="","",IMAGE(INDEX('Catálogo'!$M:$M,MATCH($B$3&amp;"|"&amp;53,'Catálogo'!$Q:$Q,0)),1)),"")</f>
      </c>
      <c r="B58" s="40">
        <f>IFERROR(INDEX('Catálogo'!$B:$B,MATCH($B$3&amp;"|"&amp;53,'Catálogo'!$Q:$Q,0)),"")</f>
      </c>
      <c r="C58" s="41">
        <f>IFERROR("Cód: "&amp;INDEX('Catálogo'!$A:$A,MATCH($B$3&amp;"|"&amp;53,'Catálogo'!$Q:$Q,0)),"")</f>
      </c>
      <c r="D58" s="42">
        <f>IFERROR(IF($D$3="Mayor",INDEX('Catálogo'!$O:$O,MATCH($B$3&amp;"|"&amp;53,'Catálogo'!$Q:$Q,0)),INDEX('Catálogo'!$N:$N,MATCH($B$3&amp;"|"&amp;53,'Catálogo'!$Q:$Q,0))),"")</f>
      </c>
    </row>
    <row r="59" ht="90.00" customHeight="1">
      <c r="A59" s="39">
        <f>IFERROR(IF(INDEX('Catálogo'!$M:$M,MATCH($B$3&amp;"|"&amp;54,'Catálogo'!$Q:$Q,0))="","",IMAGE(INDEX('Catálogo'!$M:$M,MATCH($B$3&amp;"|"&amp;54,'Catálogo'!$Q:$Q,0)),1)),"")</f>
      </c>
      <c r="B59" s="40">
        <f>IFERROR(INDEX('Catálogo'!$B:$B,MATCH($B$3&amp;"|"&amp;54,'Catálogo'!$Q:$Q,0)),"")</f>
      </c>
      <c r="C59" s="41">
        <f>IFERROR("Cód: "&amp;INDEX('Catálogo'!$A:$A,MATCH($B$3&amp;"|"&amp;54,'Catálogo'!$Q:$Q,0)),"")</f>
      </c>
      <c r="D59" s="42">
        <f>IFERROR(IF($D$3="Mayor",INDEX('Catálogo'!$O:$O,MATCH($B$3&amp;"|"&amp;54,'Catálogo'!$Q:$Q,0)),INDEX('Catálogo'!$N:$N,MATCH($B$3&amp;"|"&amp;54,'Catálogo'!$Q:$Q,0))),"")</f>
      </c>
    </row>
    <row r="60" ht="90.00" customHeight="1">
      <c r="A60" s="39">
        <f>IFERROR(IF(INDEX('Catálogo'!$M:$M,MATCH($B$3&amp;"|"&amp;55,'Catálogo'!$Q:$Q,0))="","",IMAGE(INDEX('Catálogo'!$M:$M,MATCH($B$3&amp;"|"&amp;55,'Catálogo'!$Q:$Q,0)),1)),"")</f>
      </c>
      <c r="B60" s="40">
        <f>IFERROR(INDEX('Catálogo'!$B:$B,MATCH($B$3&amp;"|"&amp;55,'Catálogo'!$Q:$Q,0)),"")</f>
      </c>
      <c r="C60" s="41">
        <f>IFERROR("Cód: "&amp;INDEX('Catálogo'!$A:$A,MATCH($B$3&amp;"|"&amp;55,'Catálogo'!$Q:$Q,0)),"")</f>
      </c>
      <c r="D60" s="42">
        <f>IFERROR(IF($D$3="Mayor",INDEX('Catálogo'!$O:$O,MATCH($B$3&amp;"|"&amp;55,'Catálogo'!$Q:$Q,0)),INDEX('Catálogo'!$N:$N,MATCH($B$3&amp;"|"&amp;55,'Catálogo'!$Q:$Q,0))),"")</f>
      </c>
    </row>
    <row r="61" ht="90.00" customHeight="1">
      <c r="A61" s="39">
        <f>IFERROR(IF(INDEX('Catálogo'!$M:$M,MATCH($B$3&amp;"|"&amp;56,'Catálogo'!$Q:$Q,0))="","",IMAGE(INDEX('Catálogo'!$M:$M,MATCH($B$3&amp;"|"&amp;56,'Catálogo'!$Q:$Q,0)),1)),"")</f>
      </c>
      <c r="B61" s="40">
        <f>IFERROR(INDEX('Catálogo'!$B:$B,MATCH($B$3&amp;"|"&amp;56,'Catálogo'!$Q:$Q,0)),"")</f>
      </c>
      <c r="C61" s="41">
        <f>IFERROR("Cód: "&amp;INDEX('Catálogo'!$A:$A,MATCH($B$3&amp;"|"&amp;56,'Catálogo'!$Q:$Q,0)),"")</f>
      </c>
      <c r="D61" s="42">
        <f>IFERROR(IF($D$3="Mayor",INDEX('Catálogo'!$O:$O,MATCH($B$3&amp;"|"&amp;56,'Catálogo'!$Q:$Q,0)),INDEX('Catálogo'!$N:$N,MATCH($B$3&amp;"|"&amp;56,'Catálogo'!$Q:$Q,0))),"")</f>
      </c>
    </row>
    <row r="62" ht="90.00" customHeight="1">
      <c r="A62" s="39">
        <f>IFERROR(IF(INDEX('Catálogo'!$M:$M,MATCH($B$3&amp;"|"&amp;57,'Catálogo'!$Q:$Q,0))="","",IMAGE(INDEX('Catálogo'!$M:$M,MATCH($B$3&amp;"|"&amp;57,'Catálogo'!$Q:$Q,0)),1)),"")</f>
      </c>
      <c r="B62" s="40">
        <f>IFERROR(INDEX('Catálogo'!$B:$B,MATCH($B$3&amp;"|"&amp;57,'Catálogo'!$Q:$Q,0)),"")</f>
      </c>
      <c r="C62" s="41">
        <f>IFERROR("Cód: "&amp;INDEX('Catálogo'!$A:$A,MATCH($B$3&amp;"|"&amp;57,'Catálogo'!$Q:$Q,0)),"")</f>
      </c>
      <c r="D62" s="42">
        <f>IFERROR(IF($D$3="Mayor",INDEX('Catálogo'!$O:$O,MATCH($B$3&amp;"|"&amp;57,'Catálogo'!$Q:$Q,0)),INDEX('Catálogo'!$N:$N,MATCH($B$3&amp;"|"&amp;57,'Catálogo'!$Q:$Q,0))),"")</f>
      </c>
    </row>
    <row r="63" ht="90.00" customHeight="1">
      <c r="A63" s="39">
        <f>IFERROR(IF(INDEX('Catálogo'!$M:$M,MATCH($B$3&amp;"|"&amp;58,'Catálogo'!$Q:$Q,0))="","",IMAGE(INDEX('Catálogo'!$M:$M,MATCH($B$3&amp;"|"&amp;58,'Catálogo'!$Q:$Q,0)),1)),"")</f>
      </c>
      <c r="B63" s="40">
        <f>IFERROR(INDEX('Catálogo'!$B:$B,MATCH($B$3&amp;"|"&amp;58,'Catálogo'!$Q:$Q,0)),"")</f>
      </c>
      <c r="C63" s="41">
        <f>IFERROR("Cód: "&amp;INDEX('Catálogo'!$A:$A,MATCH($B$3&amp;"|"&amp;58,'Catálogo'!$Q:$Q,0)),"")</f>
      </c>
      <c r="D63" s="42">
        <f>IFERROR(IF($D$3="Mayor",INDEX('Catálogo'!$O:$O,MATCH($B$3&amp;"|"&amp;58,'Catálogo'!$Q:$Q,0)),INDEX('Catálogo'!$N:$N,MATCH($B$3&amp;"|"&amp;58,'Catálogo'!$Q:$Q,0))),"")</f>
      </c>
    </row>
    <row r="64" ht="90.00" customHeight="1">
      <c r="A64" s="39">
        <f>IFERROR(IF(INDEX('Catálogo'!$M:$M,MATCH($B$3&amp;"|"&amp;59,'Catálogo'!$Q:$Q,0))="","",IMAGE(INDEX('Catálogo'!$M:$M,MATCH($B$3&amp;"|"&amp;59,'Catálogo'!$Q:$Q,0)),1)),"")</f>
      </c>
      <c r="B64" s="40">
        <f>IFERROR(INDEX('Catálogo'!$B:$B,MATCH($B$3&amp;"|"&amp;59,'Catálogo'!$Q:$Q,0)),"")</f>
      </c>
      <c r="C64" s="41">
        <f>IFERROR("Cód: "&amp;INDEX('Catálogo'!$A:$A,MATCH($B$3&amp;"|"&amp;59,'Catálogo'!$Q:$Q,0)),"")</f>
      </c>
      <c r="D64" s="42">
        <f>IFERROR(IF($D$3="Mayor",INDEX('Catálogo'!$O:$O,MATCH($B$3&amp;"|"&amp;59,'Catálogo'!$Q:$Q,0)),INDEX('Catálogo'!$N:$N,MATCH($B$3&amp;"|"&amp;59,'Catálogo'!$Q:$Q,0))),"")</f>
      </c>
    </row>
    <row r="65" ht="90.00" customHeight="1">
      <c r="A65" s="39">
        <f>IFERROR(IF(INDEX('Catálogo'!$M:$M,MATCH($B$3&amp;"|"&amp;60,'Catálogo'!$Q:$Q,0))="","",IMAGE(INDEX('Catálogo'!$M:$M,MATCH($B$3&amp;"|"&amp;60,'Catálogo'!$Q:$Q,0)),1)),"")</f>
      </c>
      <c r="B65" s="40">
        <f>IFERROR(INDEX('Catálogo'!$B:$B,MATCH($B$3&amp;"|"&amp;60,'Catálogo'!$Q:$Q,0)),"")</f>
      </c>
      <c r="C65" s="41">
        <f>IFERROR("Cód: "&amp;INDEX('Catálogo'!$A:$A,MATCH($B$3&amp;"|"&amp;60,'Catálogo'!$Q:$Q,0)),"")</f>
      </c>
      <c r="D65" s="42">
        <f>IFERROR(IF($D$3="Mayor",INDEX('Catálogo'!$O:$O,MATCH($B$3&amp;"|"&amp;60,'Catálogo'!$Q:$Q,0)),INDEX('Catálogo'!$N:$N,MATCH($B$3&amp;"|"&amp;60,'Catálogo'!$Q:$Q,0))),"")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'Config'!$D$2:$D$8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10.00" customWidth="1"/>
    <col min="6" max="6" width="22.00" customWidth="1"/>
    <col min="8" max="8" width="16.00" customWidth="1"/>
    <col min="10" max="10" width="26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Otros</t>
        </is>
      </c>
      <c r="E8" s="21"/>
    </row>
    <row r="9">
      <c r="A9" s="7" t="inlineStr">
        <is>
          <t xml:space="preserve">Próximo número de factura</t>
        </is>
      </c>
      <c r="B9" s="9">
        <v>1</v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</row>
  </sheetData>
  <pageMargins left="0.5" right="0.5" top="0.5" bottom="0.5" header="0.3" footer="0.3"/>
</worksheet>
</file>