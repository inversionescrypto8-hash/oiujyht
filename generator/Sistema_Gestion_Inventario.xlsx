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Traslados" sheetId="5" r:id="rId5"/>
    <sheet name="Ajustes" sheetId="6" r:id="rId6"/>
    <sheet name="Inventario" sheetId="7" r:id="rId7"/>
    <sheet name="Clientes" sheetId="8" r:id="rId8"/>
    <sheet name="Factura" sheetId="9" r:id="rId9"/>
    <sheet name="Catálogo Venta" sheetId="10" r:id="rId10"/>
    <sheet name="Config" sheetId="11" r:id="rId11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TOTAL QUE DEBO (saldos)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SUMIF('Compras'!$M:$M,"Pendiente",'Compras'!$L:$L)+SUMIF('Compras'!$M:$M,"Abono parcial",'Compras'!$L:$L)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98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'Config'!$N$2:$N$20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</row>
  </sheetData>
  <dataValidations count="3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N°:</t>
        </is>
      </c>
      <c r="E2" s="44">
        <f>'Config'!$B$8&amp;TEXT('Config'!$B$9,"0000")</f>
      </c>
    </row>
    <row r="3">
      <c r="B3" s="9">
        <f>'Config'!$B$4</f>
      </c>
      <c r="D3" s="8" t="inlineStr">
        <is>
          <t xml:space="preserve">Fecha:</t>
        </is>
      </c>
      <c r="E3" s="14">
        <f>TODAY()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20" t="inlineStr">
        <is>
          <t xml:space="preserve">Efectivo</t>
        </is>
      </c>
    </row>
    <row r="5">
      <c r="B5" s="38">
        <f>'Config'!$B$7</f>
      </c>
      <c r="D5" s="8" t="inlineStr">
        <is>
          <t xml:space="preserve">Origen inv.:</t>
        </is>
      </c>
      <c r="E5" s="20" t="inlineStr">
        <is>
          <t xml:space="preserve">Casa</t>
        </is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20" t="inlineStr">
        <is>
          <t xml:space="preserve">Juan Pérez</t>
        </is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20" t="inlineStr">
        <is>
          <t xml:space="preserve">P001</t>
        </is>
      </c>
      <c r="B13" s="19">
        <f>IF($A13="","",IFERROR(VLOOKUP($A13,'Catálogo'!$A:$B,2,FALSE),"⚠ Código no existe"))</f>
      </c>
      <c r="D13" s="21">
        <v>2</v>
      </c>
      <c r="E13" s="22">
        <v>55000</v>
      </c>
      <c r="F13" s="16">
        <f>IF(OR($A13="",$D13="",$E13=""),"",$D13*$E13)</f>
      </c>
      <c r="G13" s="17">
        <f>IF($A13="","",IFERROR(VLOOKUP($A13,'Catálogo'!$A:$L,12,FALSE),0))</f>
      </c>
      <c r="H13" s="16">
        <f>IF($F13="","",ROUND($F13*$G13/100,0))</f>
      </c>
    </row>
    <row r="14">
      <c r="A14" s="20" t="inlineStr">
        <is>
          <t xml:space="preserve">P002</t>
        </is>
      </c>
      <c r="B14" s="19">
        <f>IF($A14="","",IFERROR(VLOOKUP($A14,'Catálogo'!$A:$B,2,FALSE),"⚠ Código no existe"))</f>
      </c>
      <c r="D14" s="21">
        <v>1</v>
      </c>
      <c r="E14" s="22">
        <v>22000</v>
      </c>
      <c r="F14" s="16">
        <f>IF(OR($A14="",$D14="",$E14=""),"",$D14*$E14)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20"/>
      <c r="B15" s="19">
        <f>IF($A15="","",IFERROR(VLOOKUP($A15,'Catálogo'!$A:$B,2,FALSE),"⚠ Código no existe"))</f>
      </c>
      <c r="D15" s="21"/>
      <c r="E15" s="22"/>
      <c r="F15" s="16">
        <f>IF(OR($A15="",$D15="",$E15=""),"",$D15*$E15)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20"/>
      <c r="B16" s="19">
        <f>IF($A16="","",IFERROR(VLOOKUP($A16,'Catálogo'!$A:$B,2,FALSE),"⚠ Código no existe"))</f>
      </c>
      <c r="D16" s="21"/>
      <c r="E16" s="22"/>
      <c r="F16" s="16">
        <f>IF(OR($A16="",$D16="",$E16=""),"",$D16*$E16)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20"/>
      <c r="B17" s="19">
        <f>IF($A17="","",IFERROR(VLOOKUP($A17,'Catálogo'!$A:$B,2,FALSE),"⚠ Código no existe"))</f>
      </c>
      <c r="D17" s="21"/>
      <c r="E17" s="22"/>
      <c r="F17" s="16">
        <f>IF(OR($A17="",$D17="",$E17=""),"",$D17*$E17)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20"/>
      <c r="B18" s="19">
        <f>IF($A18="","",IFERROR(VLOOKUP($A18,'Catálogo'!$A:$B,2,FALSE),"⚠ Código no existe"))</f>
      </c>
      <c r="D18" s="21"/>
      <c r="E18" s="22"/>
      <c r="F18" s="16">
        <f>IF(OR($A18="",$D18="",$E18=""),"",$D18*$E18)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20"/>
      <c r="B19" s="19">
        <f>IF($A19="","",IFERROR(VLOOKUP($A19,'Catálogo'!$A:$B,2,FALSE),"⚠ Código no existe"))</f>
      </c>
      <c r="D19" s="21"/>
      <c r="E19" s="22"/>
      <c r="F19" s="16">
        <f>IF(OR($A19="",$D19="",$E19=""),"",$D19*$E19)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20"/>
      <c r="B20" s="19">
        <f>IF($A20="","",IFERROR(VLOOKUP($A20,'Catálogo'!$A:$B,2,FALSE),"⚠ Código no existe"))</f>
      </c>
      <c r="D20" s="21"/>
      <c r="E20" s="22"/>
      <c r="F20" s="16">
        <f>IF(OR($A20="",$D20="",$E20=""),"",$D20*$E20)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20"/>
      <c r="B21" s="19">
        <f>IF($A21="","",IFERROR(VLOOKUP($A21,'Catálogo'!$A:$B,2,FALSE),"⚠ Código no existe"))</f>
      </c>
      <c r="D21" s="21"/>
      <c r="E21" s="22"/>
      <c r="F21" s="16">
        <f>IF(OR($A21="",$D21="",$E21=""),"",$D21*$E21)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20"/>
      <c r="B22" s="19">
        <f>IF($A22="","",IFERROR(VLOOKUP($A22,'Catálogo'!$A:$B,2,FALSE),"⚠ Código no existe"))</f>
      </c>
      <c r="D22" s="21"/>
      <c r="E22" s="22"/>
      <c r="F22" s="16">
        <f>IF(OR($A22="",$D22="",$E22=""),"",$D22*$E22)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20"/>
      <c r="B23" s="19">
        <f>IF($A23="","",IFERROR(VLOOKUP($A23,'Catálogo'!$A:$B,2,FALSE),"⚠ Código no existe"))</f>
      </c>
      <c r="D23" s="21"/>
      <c r="E23" s="22"/>
      <c r="F23" s="16">
        <f>IF(OR($A23="",$D23="",$E23=""),"",$D23*$E23)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20"/>
      <c r="B24" s="19">
        <f>IF($A24="","",IFERROR(VLOOKUP($A24,'Catálogo'!$A:$B,2,FALSE),"⚠ Código no existe"))</f>
      </c>
      <c r="D24" s="21"/>
      <c r="E24" s="22"/>
      <c r="F24" s="16">
        <f>IF(OR($A24="",$D24="",$E24=""),"",$D24*$E24)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4">
    <dataValidation type="list" allowBlank="1" showInputMessage="1" showErrorMessage="0" sqref="B8:B8">
      <formula1>'Clientes'!$B$2:$B$101</formula1>
    </dataValidation>
    <dataValidation type="list" allowBlank="1" showInputMessage="1" showErrorMessage="0" sqref="A13:A24">
      <formula1>'Catálogo'!$A$2:$A$201</formula1>
    </dataValidation>
    <dataValidation type="list" allowBlank="1" showInputMessage="1" showErrorMessage="0" sqref="E5:E5">
      <formula1>'Config'!$F$2:$F$3</formula1>
    </dataValidation>
    <dataValidation type="list" allowBlank="1" showInputMessage="1" showErrorMessage="0" sqref="E4:E4">
      <formula1>"Efectivo,Transferencia,Tarjeta,Nequi / Daviplata,Crédito"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20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</row>
    <row r="6" ht="90.00" customHeight="1">
      <c r="A6" s="39">
        <f>IFERROR(IF(INDEX('Catálogo'!$M:$M,MATCH($B$3&amp;"|"&amp;1,IF($B$3="TODAS",'Catálogo'!$U:$U,'Catálogo'!$Q:$Q),0))="","",IMAGE(INDEX('Catálogo'!$M:$M,MATCH($B$3&amp;"|"&amp;1,IF($B$3="TODAS",'Catálogo'!$U:$U,'Catálogo'!$Q:$Q),0)),1)),"")</f>
      </c>
      <c r="B6" s="40">
        <f>IFERROR(INDEX('Catálogo'!$B:$B,MATCH($B$3&amp;"|"&amp;1,IF($B$3="TODAS",'Catálogo'!$U:$U,'Catálogo'!$Q:$Q),0)),"")</f>
      </c>
      <c r="C6" s="41">
        <f>IFERROR(IF(INDEX('Catálogo'!$R:$R,MATCH($B$3&amp;"|"&amp;1,IF($B$3="TODAS",'Catálogo'!$U:$U,'Catálogo'!$Q:$Q),0))="","Cód: "&amp;INDEX('Catálogo'!$A:$A,MATCH($B$3&amp;"|"&amp;1,IF($B$3="TODAS",'Catálogo'!$U:$U,'Catálogo'!$Q:$Q),0)),"Medidas: "&amp;INDEX('Catálogo'!$R:$R,MATCH($B$3&amp;"|"&amp;1,IF($B$3="TODAS",'Catálogo'!$U:$U,'Catálogo'!$Q:$Q),0))&amp;"  ·  Cód: "&amp;INDEX('Catálogo'!$A:$A,MATCH($B$3&amp;"|"&amp;1,IF($B$3="TODAS",'Catálogo'!$U:$U,'Catálogo'!$Q:$Q),0))),"")</f>
      </c>
      <c r="D6" s="42">
        <f>IFERROR(IF($D$3="Mayor",INDEX('Catálogo'!$O:$O,MATCH($B$3&amp;"|"&amp;1,IF($B$3="TODAS",'Catálogo'!$U:$U,'Catálogo'!$Q:$Q),0)),INDEX('Catálogo'!$N:$N,MATCH($B$3&amp;"|"&amp;1,IF($B$3="TODAS",'Catálogo'!$U:$U,'Catálogo'!$Q:$Q),0))),"")</f>
      </c>
    </row>
    <row r="7" ht="90.00" customHeight="1">
      <c r="A7" s="39">
        <f>IFERROR(IF(INDEX('Catálogo'!$M:$M,MATCH($B$3&amp;"|"&amp;2,IF($B$3="TODAS",'Catálogo'!$U:$U,'Catálogo'!$Q:$Q),0))="","",IMAGE(INDEX('Catálogo'!$M:$M,MATCH($B$3&amp;"|"&amp;2,IF($B$3="TODAS",'Catálogo'!$U:$U,'Catálogo'!$Q:$Q),0)),1)),"")</f>
      </c>
      <c r="B7" s="40">
        <f>IFERROR(INDEX('Catálogo'!$B:$B,MATCH($B$3&amp;"|"&amp;2,IF($B$3="TODAS",'Catálogo'!$U:$U,'Catálogo'!$Q:$Q),0)),"")</f>
      </c>
      <c r="C7" s="41">
        <f>IFERROR(IF(INDEX('Catálogo'!$R:$R,MATCH($B$3&amp;"|"&amp;2,IF($B$3="TODAS",'Catálogo'!$U:$U,'Catálogo'!$Q:$Q),0))="","Cód: "&amp;INDEX('Catálogo'!$A:$A,MATCH($B$3&amp;"|"&amp;2,IF($B$3="TODAS",'Catálogo'!$U:$U,'Catálogo'!$Q:$Q),0)),"Medidas: "&amp;INDEX('Catálogo'!$R:$R,MATCH($B$3&amp;"|"&amp;2,IF($B$3="TODAS",'Catálogo'!$U:$U,'Catálogo'!$Q:$Q),0))&amp;"  ·  Cód: "&amp;INDEX('Catálogo'!$A:$A,MATCH($B$3&amp;"|"&amp;2,IF($B$3="TODAS",'Catálogo'!$U:$U,'Catálogo'!$Q:$Q),0))),"")</f>
      </c>
      <c r="D7" s="42">
        <f>IFERROR(IF($D$3="Mayor",INDEX('Catálogo'!$O:$O,MATCH($B$3&amp;"|"&amp;2,IF($B$3="TODAS",'Catálogo'!$U:$U,'Catálogo'!$Q:$Q),0)),INDEX('Catálogo'!$N:$N,MATCH($B$3&amp;"|"&amp;2,IF($B$3="TODAS",'Catálogo'!$U:$U,'Catálogo'!$Q:$Q),0))),"")</f>
      </c>
    </row>
    <row r="8" ht="90.00" customHeight="1">
      <c r="A8" s="39">
        <f>IFERROR(IF(INDEX('Catálogo'!$M:$M,MATCH($B$3&amp;"|"&amp;3,IF($B$3="TODAS",'Catálogo'!$U:$U,'Catálogo'!$Q:$Q),0))="","",IMAGE(INDEX('Catálogo'!$M:$M,MATCH($B$3&amp;"|"&amp;3,IF($B$3="TODAS",'Catálogo'!$U:$U,'Catálogo'!$Q:$Q),0)),1)),"")</f>
      </c>
      <c r="B8" s="40">
        <f>IFERROR(INDEX('Catálogo'!$B:$B,MATCH($B$3&amp;"|"&amp;3,IF($B$3="TODAS",'Catálogo'!$U:$U,'Catálogo'!$Q:$Q),0)),"")</f>
      </c>
      <c r="C8" s="41">
        <f>IFERROR(IF(INDEX('Catálogo'!$R:$R,MATCH($B$3&amp;"|"&amp;3,IF($B$3="TODAS",'Catálogo'!$U:$U,'Catálogo'!$Q:$Q),0))="","Cód: "&amp;INDEX('Catálogo'!$A:$A,MATCH($B$3&amp;"|"&amp;3,IF($B$3="TODAS",'Catálogo'!$U:$U,'Catálogo'!$Q:$Q),0)),"Medidas: "&amp;INDEX('Catálogo'!$R:$R,MATCH($B$3&amp;"|"&amp;3,IF($B$3="TODAS",'Catálogo'!$U:$U,'Catálogo'!$Q:$Q),0))&amp;"  ·  Cód: "&amp;INDEX('Catálogo'!$A:$A,MATCH($B$3&amp;"|"&amp;3,IF($B$3="TODAS",'Catálogo'!$U:$U,'Catálogo'!$Q:$Q),0))),"")</f>
      </c>
      <c r="D8" s="42">
        <f>IFERROR(IF($D$3="Mayor",INDEX('Catálogo'!$O:$O,MATCH($B$3&amp;"|"&amp;3,IF($B$3="TODAS",'Catálogo'!$U:$U,'Catálogo'!$Q:$Q),0)),INDEX('Catálogo'!$N:$N,MATCH($B$3&amp;"|"&amp;3,IF($B$3="TODAS",'Catálogo'!$U:$U,'Catálogo'!$Q:$Q),0))),"")</f>
      </c>
    </row>
    <row r="9" ht="90.00" customHeight="1">
      <c r="A9" s="39">
        <f>IFERROR(IF(INDEX('Catálogo'!$M:$M,MATCH($B$3&amp;"|"&amp;4,IF($B$3="TODAS",'Catálogo'!$U:$U,'Catálogo'!$Q:$Q),0))="","",IMAGE(INDEX('Catálogo'!$M:$M,MATCH($B$3&amp;"|"&amp;4,IF($B$3="TODAS",'Catálogo'!$U:$U,'Catálogo'!$Q:$Q),0)),1)),"")</f>
      </c>
      <c r="B9" s="40">
        <f>IFERROR(INDEX('Catálogo'!$B:$B,MATCH($B$3&amp;"|"&amp;4,IF($B$3="TODAS",'Catálogo'!$U:$U,'Catálogo'!$Q:$Q),0)),"")</f>
      </c>
      <c r="C9" s="41">
        <f>IFERROR(IF(INDEX('Catálogo'!$R:$R,MATCH($B$3&amp;"|"&amp;4,IF($B$3="TODAS",'Catálogo'!$U:$U,'Catálogo'!$Q:$Q),0))="","Cód: "&amp;INDEX('Catálogo'!$A:$A,MATCH($B$3&amp;"|"&amp;4,IF($B$3="TODAS",'Catálogo'!$U:$U,'Catálogo'!$Q:$Q),0)),"Medidas: "&amp;INDEX('Catálogo'!$R:$R,MATCH($B$3&amp;"|"&amp;4,IF($B$3="TODAS",'Catálogo'!$U:$U,'Catálogo'!$Q:$Q),0))&amp;"  ·  Cód: "&amp;INDEX('Catálogo'!$A:$A,MATCH($B$3&amp;"|"&amp;4,IF($B$3="TODAS",'Catálogo'!$U:$U,'Catálogo'!$Q:$Q),0))),"")</f>
      </c>
      <c r="D9" s="42">
        <f>IFERROR(IF($D$3="Mayor",INDEX('Catálogo'!$O:$O,MATCH($B$3&amp;"|"&amp;4,IF($B$3="TODAS",'Catálogo'!$U:$U,'Catálogo'!$Q:$Q),0)),INDEX('Catálogo'!$N:$N,MATCH($B$3&amp;"|"&amp;4,IF($B$3="TODAS",'Catálogo'!$U:$U,'Catálogo'!$Q:$Q),0))),"")</f>
      </c>
    </row>
    <row r="10" ht="90.00" customHeight="1">
      <c r="A10" s="39">
        <f>IFERROR(IF(INDEX('Catálogo'!$M:$M,MATCH($B$3&amp;"|"&amp;5,IF($B$3="TODAS",'Catálogo'!$U:$U,'Catálogo'!$Q:$Q),0))="","",IMAGE(INDEX('Catálogo'!$M:$M,MATCH($B$3&amp;"|"&amp;5,IF($B$3="TODAS",'Catálogo'!$U:$U,'Catálogo'!$Q:$Q),0)),1)),"")</f>
      </c>
      <c r="B10" s="40">
        <f>IFERROR(INDEX('Catálogo'!$B:$B,MATCH($B$3&amp;"|"&amp;5,IF($B$3="TODAS",'Catálogo'!$U:$U,'Catálogo'!$Q:$Q),0)),"")</f>
      </c>
      <c r="C10" s="41">
        <f>IFERROR(IF(INDEX('Catálogo'!$R:$R,MATCH($B$3&amp;"|"&amp;5,IF($B$3="TODAS",'Catálogo'!$U:$U,'Catálogo'!$Q:$Q),0))="","Cód: "&amp;INDEX('Catálogo'!$A:$A,MATCH($B$3&amp;"|"&amp;5,IF($B$3="TODAS",'Catálogo'!$U:$U,'Catálogo'!$Q:$Q),0)),"Medidas: "&amp;INDEX('Catálogo'!$R:$R,MATCH($B$3&amp;"|"&amp;5,IF($B$3="TODAS",'Catálogo'!$U:$U,'Catálogo'!$Q:$Q),0))&amp;"  ·  Cód: "&amp;INDEX('Catálogo'!$A:$A,MATCH($B$3&amp;"|"&amp;5,IF($B$3="TODAS",'Catálogo'!$U:$U,'Catálogo'!$Q:$Q),0))),"")</f>
      </c>
      <c r="D10" s="42">
        <f>IFERROR(IF($D$3="Mayor",INDEX('Catálogo'!$O:$O,MATCH($B$3&amp;"|"&amp;5,IF($B$3="TODAS",'Catálogo'!$U:$U,'Catálogo'!$Q:$Q),0)),INDEX('Catálogo'!$N:$N,MATCH($B$3&amp;"|"&amp;5,IF($B$3="TODAS",'Catálogo'!$U:$U,'Catálogo'!$Q:$Q),0))),"")</f>
      </c>
    </row>
    <row r="11" ht="90.00" customHeight="1">
      <c r="A11" s="39">
        <f>IFERROR(IF(INDEX('Catálogo'!$M:$M,MATCH($B$3&amp;"|"&amp;6,IF($B$3="TODAS",'Catálogo'!$U:$U,'Catálogo'!$Q:$Q),0))="","",IMAGE(INDEX('Catálogo'!$M:$M,MATCH($B$3&amp;"|"&amp;6,IF($B$3="TODAS",'Catálogo'!$U:$U,'Catálogo'!$Q:$Q),0)),1)),"")</f>
      </c>
      <c r="B11" s="40">
        <f>IFERROR(INDEX('Catálogo'!$B:$B,MATCH($B$3&amp;"|"&amp;6,IF($B$3="TODAS",'Catálogo'!$U:$U,'Catálogo'!$Q:$Q),0)),"")</f>
      </c>
      <c r="C11" s="41">
        <f>IFERROR(IF(INDEX('Catálogo'!$R:$R,MATCH($B$3&amp;"|"&amp;6,IF($B$3="TODAS",'Catálogo'!$U:$U,'Catálogo'!$Q:$Q),0))="","Cód: "&amp;INDEX('Catálogo'!$A:$A,MATCH($B$3&amp;"|"&amp;6,IF($B$3="TODAS",'Catálogo'!$U:$U,'Catálogo'!$Q:$Q),0)),"Medidas: "&amp;INDEX('Catálogo'!$R:$R,MATCH($B$3&amp;"|"&amp;6,IF($B$3="TODAS",'Catálogo'!$U:$U,'Catálogo'!$Q:$Q),0))&amp;"  ·  Cód: "&amp;INDEX('Catálogo'!$A:$A,MATCH($B$3&amp;"|"&amp;6,IF($B$3="TODAS",'Catálogo'!$U:$U,'Catálogo'!$Q:$Q),0))),"")</f>
      </c>
      <c r="D11" s="42">
        <f>IFERROR(IF($D$3="Mayor",INDEX('Catálogo'!$O:$O,MATCH($B$3&amp;"|"&amp;6,IF($B$3="TODAS",'Catálogo'!$U:$U,'Catálogo'!$Q:$Q),0)),INDEX('Catálogo'!$N:$N,MATCH($B$3&amp;"|"&amp;6,IF($B$3="TODAS",'Catálogo'!$U:$U,'Catálogo'!$Q:$Q),0))),"")</f>
      </c>
    </row>
    <row r="12" ht="90.00" customHeight="1">
      <c r="A12" s="39">
        <f>IFERROR(IF(INDEX('Catálogo'!$M:$M,MATCH($B$3&amp;"|"&amp;7,IF($B$3="TODAS",'Catálogo'!$U:$U,'Catálogo'!$Q:$Q),0))="","",IMAGE(INDEX('Catálogo'!$M:$M,MATCH($B$3&amp;"|"&amp;7,IF($B$3="TODAS",'Catálogo'!$U:$U,'Catálogo'!$Q:$Q),0)),1)),"")</f>
      </c>
      <c r="B12" s="40">
        <f>IFERROR(INDEX('Catálogo'!$B:$B,MATCH($B$3&amp;"|"&amp;7,IF($B$3="TODAS",'Catálogo'!$U:$U,'Catálogo'!$Q:$Q),0)),"")</f>
      </c>
      <c r="C12" s="41">
        <f>IFERROR(IF(INDEX('Catálogo'!$R:$R,MATCH($B$3&amp;"|"&amp;7,IF($B$3="TODAS",'Catálogo'!$U:$U,'Catálogo'!$Q:$Q),0))="","Cód: "&amp;INDEX('Catálogo'!$A:$A,MATCH($B$3&amp;"|"&amp;7,IF($B$3="TODAS",'Catálogo'!$U:$U,'Catálogo'!$Q:$Q),0)),"Medidas: "&amp;INDEX('Catálogo'!$R:$R,MATCH($B$3&amp;"|"&amp;7,IF($B$3="TODAS",'Catálogo'!$U:$U,'Catálogo'!$Q:$Q),0))&amp;"  ·  Cód: "&amp;INDEX('Catálogo'!$A:$A,MATCH($B$3&amp;"|"&amp;7,IF($B$3="TODAS",'Catálogo'!$U:$U,'Catálogo'!$Q:$Q),0))),"")</f>
      </c>
      <c r="D12" s="42">
        <f>IFERROR(IF($D$3="Mayor",INDEX('Catálogo'!$O:$O,MATCH($B$3&amp;"|"&amp;7,IF($B$3="TODAS",'Catálogo'!$U:$U,'Catálogo'!$Q:$Q),0)),INDEX('Catálogo'!$N:$N,MATCH($B$3&amp;"|"&amp;7,IF($B$3="TODAS",'Catálogo'!$U:$U,'Catálogo'!$Q:$Q),0))),"")</f>
      </c>
    </row>
    <row r="13" ht="90.00" customHeight="1">
      <c r="A13" s="39">
        <f>IFERROR(IF(INDEX('Catálogo'!$M:$M,MATCH($B$3&amp;"|"&amp;8,IF($B$3="TODAS",'Catálogo'!$U:$U,'Catálogo'!$Q:$Q),0))="","",IMAGE(INDEX('Catálogo'!$M:$M,MATCH($B$3&amp;"|"&amp;8,IF($B$3="TODAS",'Catálogo'!$U:$U,'Catálogo'!$Q:$Q),0)),1)),"")</f>
      </c>
      <c r="B13" s="40">
        <f>IFERROR(INDEX('Catálogo'!$B:$B,MATCH($B$3&amp;"|"&amp;8,IF($B$3="TODAS",'Catálogo'!$U:$U,'Catálogo'!$Q:$Q),0)),"")</f>
      </c>
      <c r="C13" s="41">
        <f>IFERROR(IF(INDEX('Catálogo'!$R:$R,MATCH($B$3&amp;"|"&amp;8,IF($B$3="TODAS",'Catálogo'!$U:$U,'Catálogo'!$Q:$Q),0))="","Cód: "&amp;INDEX('Catálogo'!$A:$A,MATCH($B$3&amp;"|"&amp;8,IF($B$3="TODAS",'Catálogo'!$U:$U,'Catálogo'!$Q:$Q),0)),"Medidas: "&amp;INDEX('Catálogo'!$R:$R,MATCH($B$3&amp;"|"&amp;8,IF($B$3="TODAS",'Catálogo'!$U:$U,'Catálogo'!$Q:$Q),0))&amp;"  ·  Cód: "&amp;INDEX('Catálogo'!$A:$A,MATCH($B$3&amp;"|"&amp;8,IF($B$3="TODAS",'Catálogo'!$U:$U,'Catálogo'!$Q:$Q),0))),"")</f>
      </c>
      <c r="D13" s="42">
        <f>IFERROR(IF($D$3="Mayor",INDEX('Catálogo'!$O:$O,MATCH($B$3&amp;"|"&amp;8,IF($B$3="TODAS",'Catálogo'!$U:$U,'Catálogo'!$Q:$Q),0)),INDEX('Catálogo'!$N:$N,MATCH($B$3&amp;"|"&amp;8,IF($B$3="TODAS",'Catálogo'!$U:$U,'Catálogo'!$Q:$Q),0))),"")</f>
      </c>
    </row>
    <row r="14" ht="90.00" customHeight="1">
      <c r="A14" s="39">
        <f>IFERROR(IF(INDEX('Catálogo'!$M:$M,MATCH($B$3&amp;"|"&amp;9,IF($B$3="TODAS",'Catálogo'!$U:$U,'Catálogo'!$Q:$Q),0))="","",IMAGE(INDEX('Catálogo'!$M:$M,MATCH($B$3&amp;"|"&amp;9,IF($B$3="TODAS",'Catálogo'!$U:$U,'Catálogo'!$Q:$Q),0)),1)),"")</f>
      </c>
      <c r="B14" s="40">
        <f>IFERROR(INDEX('Catálogo'!$B:$B,MATCH($B$3&amp;"|"&amp;9,IF($B$3="TODAS",'Catálogo'!$U:$U,'Catálogo'!$Q:$Q),0)),"")</f>
      </c>
      <c r="C14" s="41">
        <f>IFERROR(IF(INDEX('Catálogo'!$R:$R,MATCH($B$3&amp;"|"&amp;9,IF($B$3="TODAS",'Catálogo'!$U:$U,'Catálogo'!$Q:$Q),0))="","Cód: "&amp;INDEX('Catálogo'!$A:$A,MATCH($B$3&amp;"|"&amp;9,IF($B$3="TODAS",'Catálogo'!$U:$U,'Catálogo'!$Q:$Q),0)),"Medidas: "&amp;INDEX('Catálogo'!$R:$R,MATCH($B$3&amp;"|"&amp;9,IF($B$3="TODAS",'Catálogo'!$U:$U,'Catálogo'!$Q:$Q),0))&amp;"  ·  Cód: "&amp;INDEX('Catálogo'!$A:$A,MATCH($B$3&amp;"|"&amp;9,IF($B$3="TODAS",'Catálogo'!$U:$U,'Catálogo'!$Q:$Q),0))),"")</f>
      </c>
      <c r="D14" s="42">
        <f>IFERROR(IF($D$3="Mayor",INDEX('Catálogo'!$O:$O,MATCH($B$3&amp;"|"&amp;9,IF($B$3="TODAS",'Catálogo'!$U:$U,'Catálogo'!$Q:$Q),0)),INDEX('Catálogo'!$N:$N,MATCH($B$3&amp;"|"&amp;9,IF($B$3="TODAS",'Catálogo'!$U:$U,'Catálogo'!$Q:$Q),0))),"")</f>
      </c>
    </row>
    <row r="15" ht="90.00" customHeight="1">
      <c r="A15" s="39">
        <f>IFERROR(IF(INDEX('Catálogo'!$M:$M,MATCH($B$3&amp;"|"&amp;10,IF($B$3="TODAS",'Catálogo'!$U:$U,'Catálogo'!$Q:$Q),0))="","",IMAGE(INDEX('Catálogo'!$M:$M,MATCH($B$3&amp;"|"&amp;10,IF($B$3="TODAS",'Catálogo'!$U:$U,'Catálogo'!$Q:$Q),0)),1)),"")</f>
      </c>
      <c r="B15" s="40">
        <f>IFERROR(INDEX('Catálogo'!$B:$B,MATCH($B$3&amp;"|"&amp;10,IF($B$3="TODAS",'Catálogo'!$U:$U,'Catálogo'!$Q:$Q),0)),"")</f>
      </c>
      <c r="C15" s="41">
        <f>IFERROR(IF(INDEX('Catálogo'!$R:$R,MATCH($B$3&amp;"|"&amp;10,IF($B$3="TODAS",'Catálogo'!$U:$U,'Catálogo'!$Q:$Q),0))="","Cód: "&amp;INDEX('Catálogo'!$A:$A,MATCH($B$3&amp;"|"&amp;10,IF($B$3="TODAS",'Catálogo'!$U:$U,'Catálogo'!$Q:$Q),0)),"Medidas: "&amp;INDEX('Catálogo'!$R:$R,MATCH($B$3&amp;"|"&amp;10,IF($B$3="TODAS",'Catálogo'!$U:$U,'Catálogo'!$Q:$Q),0))&amp;"  ·  Cód: "&amp;INDEX('Catálogo'!$A:$A,MATCH($B$3&amp;"|"&amp;10,IF($B$3="TODAS",'Catálogo'!$U:$U,'Catálogo'!$Q:$Q),0))),"")</f>
      </c>
      <c r="D15" s="42">
        <f>IFERROR(IF($D$3="Mayor",INDEX('Catálogo'!$O:$O,MATCH($B$3&amp;"|"&amp;10,IF($B$3="TODAS",'Catálogo'!$U:$U,'Catálogo'!$Q:$Q),0)),INDEX('Catálogo'!$N:$N,MATCH($B$3&amp;"|"&amp;10,IF($B$3="TODAS",'Catálogo'!$U:$U,'Catálogo'!$Q:$Q),0))),"")</f>
      </c>
    </row>
    <row r="16" ht="90.00" customHeight="1">
      <c r="A16" s="39">
        <f>IFERROR(IF(INDEX('Catálogo'!$M:$M,MATCH($B$3&amp;"|"&amp;11,IF($B$3="TODAS",'Catálogo'!$U:$U,'Catálogo'!$Q:$Q),0))="","",IMAGE(INDEX('Catálogo'!$M:$M,MATCH($B$3&amp;"|"&amp;11,IF($B$3="TODAS",'Catálogo'!$U:$U,'Catálogo'!$Q:$Q),0)),1)),"")</f>
      </c>
      <c r="B16" s="40">
        <f>IFERROR(INDEX('Catálogo'!$B:$B,MATCH($B$3&amp;"|"&amp;11,IF($B$3="TODAS",'Catálogo'!$U:$U,'Catálogo'!$Q:$Q),0)),"")</f>
      </c>
      <c r="C16" s="41">
        <f>IFERROR(IF(INDEX('Catálogo'!$R:$R,MATCH($B$3&amp;"|"&amp;11,IF($B$3="TODAS",'Catálogo'!$U:$U,'Catálogo'!$Q:$Q),0))="","Cód: "&amp;INDEX('Catálogo'!$A:$A,MATCH($B$3&amp;"|"&amp;11,IF($B$3="TODAS",'Catálogo'!$U:$U,'Catálogo'!$Q:$Q),0)),"Medidas: "&amp;INDEX('Catálogo'!$R:$R,MATCH($B$3&amp;"|"&amp;11,IF($B$3="TODAS",'Catálogo'!$U:$U,'Catálogo'!$Q:$Q),0))&amp;"  ·  Cód: "&amp;INDEX('Catálogo'!$A:$A,MATCH($B$3&amp;"|"&amp;11,IF($B$3="TODAS",'Catálogo'!$U:$U,'Catálogo'!$Q:$Q),0))),"")</f>
      </c>
      <c r="D16" s="42">
        <f>IFERROR(IF($D$3="Mayor",INDEX('Catálogo'!$O:$O,MATCH($B$3&amp;"|"&amp;11,IF($B$3="TODAS",'Catálogo'!$U:$U,'Catálogo'!$Q:$Q),0)),INDEX('Catálogo'!$N:$N,MATCH($B$3&amp;"|"&amp;11,IF($B$3="TODAS",'Catálogo'!$U:$U,'Catálogo'!$Q:$Q),0))),"")</f>
      </c>
    </row>
    <row r="17" ht="90.00" customHeight="1">
      <c r="A17" s="39">
        <f>IFERROR(IF(INDEX('Catálogo'!$M:$M,MATCH($B$3&amp;"|"&amp;12,IF($B$3="TODAS",'Catálogo'!$U:$U,'Catálogo'!$Q:$Q),0))="","",IMAGE(INDEX('Catálogo'!$M:$M,MATCH($B$3&amp;"|"&amp;12,IF($B$3="TODAS",'Catálogo'!$U:$U,'Catálogo'!$Q:$Q),0)),1)),"")</f>
      </c>
      <c r="B17" s="40">
        <f>IFERROR(INDEX('Catálogo'!$B:$B,MATCH($B$3&amp;"|"&amp;12,IF($B$3="TODAS",'Catálogo'!$U:$U,'Catálogo'!$Q:$Q),0)),"")</f>
      </c>
      <c r="C17" s="41">
        <f>IFERROR(IF(INDEX('Catálogo'!$R:$R,MATCH($B$3&amp;"|"&amp;12,IF($B$3="TODAS",'Catálogo'!$U:$U,'Catálogo'!$Q:$Q),0))="","Cód: "&amp;INDEX('Catálogo'!$A:$A,MATCH($B$3&amp;"|"&amp;12,IF($B$3="TODAS",'Catálogo'!$U:$U,'Catálogo'!$Q:$Q),0)),"Medidas: "&amp;INDEX('Catálogo'!$R:$R,MATCH($B$3&amp;"|"&amp;12,IF($B$3="TODAS",'Catálogo'!$U:$U,'Catálogo'!$Q:$Q),0))&amp;"  ·  Cód: "&amp;INDEX('Catálogo'!$A:$A,MATCH($B$3&amp;"|"&amp;12,IF($B$3="TODAS",'Catálogo'!$U:$U,'Catálogo'!$Q:$Q),0))),"")</f>
      </c>
      <c r="D17" s="42">
        <f>IFERROR(IF($D$3="Mayor",INDEX('Catálogo'!$O:$O,MATCH($B$3&amp;"|"&amp;12,IF($B$3="TODAS",'Catálogo'!$U:$U,'Catálogo'!$Q:$Q),0)),INDEX('Catálogo'!$N:$N,MATCH($B$3&amp;"|"&amp;12,IF($B$3="TODAS",'Catálogo'!$U:$U,'Catálogo'!$Q:$Q),0))),"")</f>
      </c>
    </row>
    <row r="18" ht="90.00" customHeight="1">
      <c r="A18" s="39">
        <f>IFERROR(IF(INDEX('Catálogo'!$M:$M,MATCH($B$3&amp;"|"&amp;13,IF($B$3="TODAS",'Catálogo'!$U:$U,'Catálogo'!$Q:$Q),0))="","",IMAGE(INDEX('Catálogo'!$M:$M,MATCH($B$3&amp;"|"&amp;13,IF($B$3="TODAS",'Catálogo'!$U:$U,'Catálogo'!$Q:$Q),0)),1)),"")</f>
      </c>
      <c r="B18" s="40">
        <f>IFERROR(INDEX('Catálogo'!$B:$B,MATCH($B$3&amp;"|"&amp;13,IF($B$3="TODAS",'Catálogo'!$U:$U,'Catálogo'!$Q:$Q),0)),"")</f>
      </c>
      <c r="C18" s="41">
        <f>IFERROR(IF(INDEX('Catálogo'!$R:$R,MATCH($B$3&amp;"|"&amp;13,IF($B$3="TODAS",'Catálogo'!$U:$U,'Catálogo'!$Q:$Q),0))="","Cód: "&amp;INDEX('Catálogo'!$A:$A,MATCH($B$3&amp;"|"&amp;13,IF($B$3="TODAS",'Catálogo'!$U:$U,'Catálogo'!$Q:$Q),0)),"Medidas: "&amp;INDEX('Catálogo'!$R:$R,MATCH($B$3&amp;"|"&amp;13,IF($B$3="TODAS",'Catálogo'!$U:$U,'Catálogo'!$Q:$Q),0))&amp;"  ·  Cód: "&amp;INDEX('Catálogo'!$A:$A,MATCH($B$3&amp;"|"&amp;13,IF($B$3="TODAS",'Catálogo'!$U:$U,'Catálogo'!$Q:$Q),0))),"")</f>
      </c>
      <c r="D18" s="42">
        <f>IFERROR(IF($D$3="Mayor",INDEX('Catálogo'!$O:$O,MATCH($B$3&amp;"|"&amp;13,IF($B$3="TODAS",'Catálogo'!$U:$U,'Catálogo'!$Q:$Q),0)),INDEX('Catálogo'!$N:$N,MATCH($B$3&amp;"|"&amp;13,IF($B$3="TODAS",'Catálogo'!$U:$U,'Catálogo'!$Q:$Q),0))),"")</f>
      </c>
    </row>
    <row r="19" ht="90.00" customHeight="1">
      <c r="A19" s="39">
        <f>IFERROR(IF(INDEX('Catálogo'!$M:$M,MATCH($B$3&amp;"|"&amp;14,IF($B$3="TODAS",'Catálogo'!$U:$U,'Catálogo'!$Q:$Q),0))="","",IMAGE(INDEX('Catálogo'!$M:$M,MATCH($B$3&amp;"|"&amp;14,IF($B$3="TODAS",'Catálogo'!$U:$U,'Catálogo'!$Q:$Q),0)),1)),"")</f>
      </c>
      <c r="B19" s="40">
        <f>IFERROR(INDEX('Catálogo'!$B:$B,MATCH($B$3&amp;"|"&amp;14,IF($B$3="TODAS",'Catálogo'!$U:$U,'Catálogo'!$Q:$Q),0)),"")</f>
      </c>
      <c r="C19" s="41">
        <f>IFERROR(IF(INDEX('Catálogo'!$R:$R,MATCH($B$3&amp;"|"&amp;14,IF($B$3="TODAS",'Catálogo'!$U:$U,'Catálogo'!$Q:$Q),0))="","Cód: "&amp;INDEX('Catálogo'!$A:$A,MATCH($B$3&amp;"|"&amp;14,IF($B$3="TODAS",'Catálogo'!$U:$U,'Catálogo'!$Q:$Q),0)),"Medidas: "&amp;INDEX('Catálogo'!$R:$R,MATCH($B$3&amp;"|"&amp;14,IF($B$3="TODAS",'Catálogo'!$U:$U,'Catálogo'!$Q:$Q),0))&amp;"  ·  Cód: "&amp;INDEX('Catálogo'!$A:$A,MATCH($B$3&amp;"|"&amp;14,IF($B$3="TODAS",'Catálogo'!$U:$U,'Catálogo'!$Q:$Q),0))),"")</f>
      </c>
      <c r="D19" s="42">
        <f>IFERROR(IF($D$3="Mayor",INDEX('Catálogo'!$O:$O,MATCH($B$3&amp;"|"&amp;14,IF($B$3="TODAS",'Catálogo'!$U:$U,'Catálogo'!$Q:$Q),0)),INDEX('Catálogo'!$N:$N,MATCH($B$3&amp;"|"&amp;14,IF($B$3="TODAS",'Catálogo'!$U:$U,'Catálogo'!$Q:$Q),0))),"")</f>
      </c>
    </row>
    <row r="20" ht="90.00" customHeight="1">
      <c r="A20" s="39">
        <f>IFERROR(IF(INDEX('Catálogo'!$M:$M,MATCH($B$3&amp;"|"&amp;15,IF($B$3="TODAS",'Catálogo'!$U:$U,'Catálogo'!$Q:$Q),0))="","",IMAGE(INDEX('Catálogo'!$M:$M,MATCH($B$3&amp;"|"&amp;15,IF($B$3="TODAS",'Catálogo'!$U:$U,'Catálogo'!$Q:$Q),0)),1)),"")</f>
      </c>
      <c r="B20" s="40">
        <f>IFERROR(INDEX('Catálogo'!$B:$B,MATCH($B$3&amp;"|"&amp;15,IF($B$3="TODAS",'Catálogo'!$U:$U,'Catálogo'!$Q:$Q),0)),"")</f>
      </c>
      <c r="C20" s="41">
        <f>IFERROR(IF(INDEX('Catálogo'!$R:$R,MATCH($B$3&amp;"|"&amp;15,IF($B$3="TODAS",'Catálogo'!$U:$U,'Catálogo'!$Q:$Q),0))="","Cód: "&amp;INDEX('Catálogo'!$A:$A,MATCH($B$3&amp;"|"&amp;15,IF($B$3="TODAS",'Catálogo'!$U:$U,'Catálogo'!$Q:$Q),0)),"Medidas: "&amp;INDEX('Catálogo'!$R:$R,MATCH($B$3&amp;"|"&amp;15,IF($B$3="TODAS",'Catálogo'!$U:$U,'Catálogo'!$Q:$Q),0))&amp;"  ·  Cód: "&amp;INDEX('Catálogo'!$A:$A,MATCH($B$3&amp;"|"&amp;15,IF($B$3="TODAS",'Catálogo'!$U:$U,'Catálogo'!$Q:$Q),0))),"")</f>
      </c>
      <c r="D20" s="42">
        <f>IFERROR(IF($D$3="Mayor",INDEX('Catálogo'!$O:$O,MATCH($B$3&amp;"|"&amp;15,IF($B$3="TODAS",'Catálogo'!$U:$U,'Catálogo'!$Q:$Q),0)),INDEX('Catálogo'!$N:$N,MATCH($B$3&amp;"|"&amp;15,IF($B$3="TODAS",'Catálogo'!$U:$U,'Catálogo'!$Q:$Q),0))),"")</f>
      </c>
    </row>
    <row r="21" ht="90.00" customHeight="1">
      <c r="A21" s="39">
        <f>IFERROR(IF(INDEX('Catálogo'!$M:$M,MATCH($B$3&amp;"|"&amp;16,IF($B$3="TODAS",'Catálogo'!$U:$U,'Catálogo'!$Q:$Q),0))="","",IMAGE(INDEX('Catálogo'!$M:$M,MATCH($B$3&amp;"|"&amp;16,IF($B$3="TODAS",'Catálogo'!$U:$U,'Catálogo'!$Q:$Q),0)),1)),"")</f>
      </c>
      <c r="B21" s="40">
        <f>IFERROR(INDEX('Catálogo'!$B:$B,MATCH($B$3&amp;"|"&amp;16,IF($B$3="TODAS",'Catálogo'!$U:$U,'Catálogo'!$Q:$Q),0)),"")</f>
      </c>
      <c r="C21" s="41">
        <f>IFERROR(IF(INDEX('Catálogo'!$R:$R,MATCH($B$3&amp;"|"&amp;16,IF($B$3="TODAS",'Catálogo'!$U:$U,'Catálogo'!$Q:$Q),0))="","Cód: "&amp;INDEX('Catálogo'!$A:$A,MATCH($B$3&amp;"|"&amp;16,IF($B$3="TODAS",'Catálogo'!$U:$U,'Catálogo'!$Q:$Q),0)),"Medidas: "&amp;INDEX('Catálogo'!$R:$R,MATCH($B$3&amp;"|"&amp;16,IF($B$3="TODAS",'Catálogo'!$U:$U,'Catálogo'!$Q:$Q),0))&amp;"  ·  Cód: "&amp;INDEX('Catálogo'!$A:$A,MATCH($B$3&amp;"|"&amp;16,IF($B$3="TODAS",'Catálogo'!$U:$U,'Catálogo'!$Q:$Q),0))),"")</f>
      </c>
      <c r="D21" s="42">
        <f>IFERROR(IF($D$3="Mayor",INDEX('Catálogo'!$O:$O,MATCH($B$3&amp;"|"&amp;16,IF($B$3="TODAS",'Catálogo'!$U:$U,'Catálogo'!$Q:$Q),0)),INDEX('Catálogo'!$N:$N,MATCH($B$3&amp;"|"&amp;16,IF($B$3="TODAS",'Catálogo'!$U:$U,'Catálogo'!$Q:$Q),0))),"")</f>
      </c>
    </row>
    <row r="22" ht="90.00" customHeight="1">
      <c r="A22" s="39">
        <f>IFERROR(IF(INDEX('Catálogo'!$M:$M,MATCH($B$3&amp;"|"&amp;17,IF($B$3="TODAS",'Catálogo'!$U:$U,'Catálogo'!$Q:$Q),0))="","",IMAGE(INDEX('Catálogo'!$M:$M,MATCH($B$3&amp;"|"&amp;17,IF($B$3="TODAS",'Catálogo'!$U:$U,'Catálogo'!$Q:$Q),0)),1)),"")</f>
      </c>
      <c r="B22" s="40">
        <f>IFERROR(INDEX('Catálogo'!$B:$B,MATCH($B$3&amp;"|"&amp;17,IF($B$3="TODAS",'Catálogo'!$U:$U,'Catálogo'!$Q:$Q),0)),"")</f>
      </c>
      <c r="C22" s="41">
        <f>IFERROR(IF(INDEX('Catálogo'!$R:$R,MATCH($B$3&amp;"|"&amp;17,IF($B$3="TODAS",'Catálogo'!$U:$U,'Catálogo'!$Q:$Q),0))="","Cód: "&amp;INDEX('Catálogo'!$A:$A,MATCH($B$3&amp;"|"&amp;17,IF($B$3="TODAS",'Catálogo'!$U:$U,'Catálogo'!$Q:$Q),0)),"Medidas: "&amp;INDEX('Catálogo'!$R:$R,MATCH($B$3&amp;"|"&amp;17,IF($B$3="TODAS",'Catálogo'!$U:$U,'Catálogo'!$Q:$Q),0))&amp;"  ·  Cód: "&amp;INDEX('Catálogo'!$A:$A,MATCH($B$3&amp;"|"&amp;17,IF($B$3="TODAS",'Catálogo'!$U:$U,'Catálogo'!$Q:$Q),0))),"")</f>
      </c>
      <c r="D22" s="42">
        <f>IFERROR(IF($D$3="Mayor",INDEX('Catálogo'!$O:$O,MATCH($B$3&amp;"|"&amp;17,IF($B$3="TODAS",'Catálogo'!$U:$U,'Catálogo'!$Q:$Q),0)),INDEX('Catálogo'!$N:$N,MATCH($B$3&amp;"|"&amp;17,IF($B$3="TODAS",'Catálogo'!$U:$U,'Catálogo'!$Q:$Q),0))),"")</f>
      </c>
    </row>
    <row r="23" ht="90.00" customHeight="1">
      <c r="A23" s="39">
        <f>IFERROR(IF(INDEX('Catálogo'!$M:$M,MATCH($B$3&amp;"|"&amp;18,IF($B$3="TODAS",'Catálogo'!$U:$U,'Catálogo'!$Q:$Q),0))="","",IMAGE(INDEX('Catálogo'!$M:$M,MATCH($B$3&amp;"|"&amp;18,IF($B$3="TODAS",'Catálogo'!$U:$U,'Catálogo'!$Q:$Q),0)),1)),"")</f>
      </c>
      <c r="B23" s="40">
        <f>IFERROR(INDEX('Catálogo'!$B:$B,MATCH($B$3&amp;"|"&amp;18,IF($B$3="TODAS",'Catálogo'!$U:$U,'Catálogo'!$Q:$Q),0)),"")</f>
      </c>
      <c r="C23" s="41">
        <f>IFERROR(IF(INDEX('Catálogo'!$R:$R,MATCH($B$3&amp;"|"&amp;18,IF($B$3="TODAS",'Catálogo'!$U:$U,'Catálogo'!$Q:$Q),0))="","Cód: "&amp;INDEX('Catálogo'!$A:$A,MATCH($B$3&amp;"|"&amp;18,IF($B$3="TODAS",'Catálogo'!$U:$U,'Catálogo'!$Q:$Q),0)),"Medidas: "&amp;INDEX('Catálogo'!$R:$R,MATCH($B$3&amp;"|"&amp;18,IF($B$3="TODAS",'Catálogo'!$U:$U,'Catálogo'!$Q:$Q),0))&amp;"  ·  Cód: "&amp;INDEX('Catálogo'!$A:$A,MATCH($B$3&amp;"|"&amp;18,IF($B$3="TODAS",'Catálogo'!$U:$U,'Catálogo'!$Q:$Q),0))),"")</f>
      </c>
      <c r="D23" s="42">
        <f>IFERROR(IF($D$3="Mayor",INDEX('Catálogo'!$O:$O,MATCH($B$3&amp;"|"&amp;18,IF($B$3="TODAS",'Catálogo'!$U:$U,'Catálogo'!$Q:$Q),0)),INDEX('Catálogo'!$N:$N,MATCH($B$3&amp;"|"&amp;18,IF($B$3="TODAS",'Catálogo'!$U:$U,'Catálogo'!$Q:$Q),0))),"")</f>
      </c>
    </row>
    <row r="24" ht="90.00" customHeight="1">
      <c r="A24" s="39">
        <f>IFERROR(IF(INDEX('Catálogo'!$M:$M,MATCH($B$3&amp;"|"&amp;19,IF($B$3="TODAS",'Catálogo'!$U:$U,'Catálogo'!$Q:$Q),0))="","",IMAGE(INDEX('Catálogo'!$M:$M,MATCH($B$3&amp;"|"&amp;19,IF($B$3="TODAS",'Catálogo'!$U:$U,'Catálogo'!$Q:$Q),0)),1)),"")</f>
      </c>
      <c r="B24" s="40">
        <f>IFERROR(INDEX('Catálogo'!$B:$B,MATCH($B$3&amp;"|"&amp;19,IF($B$3="TODAS",'Catálogo'!$U:$U,'Catálogo'!$Q:$Q),0)),"")</f>
      </c>
      <c r="C24" s="41">
        <f>IFERROR(IF(INDEX('Catálogo'!$R:$R,MATCH($B$3&amp;"|"&amp;19,IF($B$3="TODAS",'Catálogo'!$U:$U,'Catálogo'!$Q:$Q),0))="","Cód: "&amp;INDEX('Catálogo'!$A:$A,MATCH($B$3&amp;"|"&amp;19,IF($B$3="TODAS",'Catálogo'!$U:$U,'Catálogo'!$Q:$Q),0)),"Medidas: "&amp;INDEX('Catálogo'!$R:$R,MATCH($B$3&amp;"|"&amp;19,IF($B$3="TODAS",'Catálogo'!$U:$U,'Catálogo'!$Q:$Q),0))&amp;"  ·  Cód: "&amp;INDEX('Catálogo'!$A:$A,MATCH($B$3&amp;"|"&amp;19,IF($B$3="TODAS",'Catálogo'!$U:$U,'Catálogo'!$Q:$Q),0))),"")</f>
      </c>
      <c r="D24" s="42">
        <f>IFERROR(IF($D$3="Mayor",INDEX('Catálogo'!$O:$O,MATCH($B$3&amp;"|"&amp;19,IF($B$3="TODAS",'Catálogo'!$U:$U,'Catálogo'!$Q:$Q),0)),INDEX('Catálogo'!$N:$N,MATCH($B$3&amp;"|"&amp;19,IF($B$3="TODAS",'Catálogo'!$U:$U,'Catálogo'!$Q:$Q),0))),"")</f>
      </c>
    </row>
    <row r="25" ht="90.00" customHeight="1">
      <c r="A25" s="39">
        <f>IFERROR(IF(INDEX('Catálogo'!$M:$M,MATCH($B$3&amp;"|"&amp;20,IF($B$3="TODAS",'Catálogo'!$U:$U,'Catálogo'!$Q:$Q),0))="","",IMAGE(INDEX('Catálogo'!$M:$M,MATCH($B$3&amp;"|"&amp;20,IF($B$3="TODAS",'Catálogo'!$U:$U,'Catálogo'!$Q:$Q),0)),1)),"")</f>
      </c>
      <c r="B25" s="40">
        <f>IFERROR(INDEX('Catálogo'!$B:$B,MATCH($B$3&amp;"|"&amp;20,IF($B$3="TODAS",'Catálogo'!$U:$U,'Catálogo'!$Q:$Q),0)),"")</f>
      </c>
      <c r="C25" s="41">
        <f>IFERROR(IF(INDEX('Catálogo'!$R:$R,MATCH($B$3&amp;"|"&amp;20,IF($B$3="TODAS",'Catálogo'!$U:$U,'Catálogo'!$Q:$Q),0))="","Cód: "&amp;INDEX('Catálogo'!$A:$A,MATCH($B$3&amp;"|"&amp;20,IF($B$3="TODAS",'Catálogo'!$U:$U,'Catálogo'!$Q:$Q),0)),"Medidas: "&amp;INDEX('Catálogo'!$R:$R,MATCH($B$3&amp;"|"&amp;20,IF($B$3="TODAS",'Catálogo'!$U:$U,'Catálogo'!$Q:$Q),0))&amp;"  ·  Cód: "&amp;INDEX('Catálogo'!$A:$A,MATCH($B$3&amp;"|"&amp;20,IF($B$3="TODAS",'Catálogo'!$U:$U,'Catálogo'!$Q:$Q),0))),"")</f>
      </c>
      <c r="D25" s="42">
        <f>IFERROR(IF($D$3="Mayor",INDEX('Catálogo'!$O:$O,MATCH($B$3&amp;"|"&amp;20,IF($B$3="TODAS",'Catálogo'!$U:$U,'Catálogo'!$Q:$Q),0)),INDEX('Catálogo'!$N:$N,MATCH($B$3&amp;"|"&amp;20,IF($B$3="TODAS",'Catálogo'!$U:$U,'Catálogo'!$Q:$Q),0))),"")</f>
      </c>
    </row>
    <row r="26" ht="90.00" customHeight="1">
      <c r="A26" s="39">
        <f>IFERROR(IF(INDEX('Catálogo'!$M:$M,MATCH($B$3&amp;"|"&amp;21,IF($B$3="TODAS",'Catálogo'!$U:$U,'Catálogo'!$Q:$Q),0))="","",IMAGE(INDEX('Catálogo'!$M:$M,MATCH($B$3&amp;"|"&amp;21,IF($B$3="TODAS",'Catálogo'!$U:$U,'Catálogo'!$Q:$Q),0)),1)),"")</f>
      </c>
      <c r="B26" s="40">
        <f>IFERROR(INDEX('Catálogo'!$B:$B,MATCH($B$3&amp;"|"&amp;21,IF($B$3="TODAS",'Catálogo'!$U:$U,'Catálogo'!$Q:$Q),0)),"")</f>
      </c>
      <c r="C26" s="41">
        <f>IFERROR(IF(INDEX('Catálogo'!$R:$R,MATCH($B$3&amp;"|"&amp;21,IF($B$3="TODAS",'Catálogo'!$U:$U,'Catálogo'!$Q:$Q),0))="","Cód: "&amp;INDEX('Catálogo'!$A:$A,MATCH($B$3&amp;"|"&amp;21,IF($B$3="TODAS",'Catálogo'!$U:$U,'Catálogo'!$Q:$Q),0)),"Medidas: "&amp;INDEX('Catálogo'!$R:$R,MATCH($B$3&amp;"|"&amp;21,IF($B$3="TODAS",'Catálogo'!$U:$U,'Catálogo'!$Q:$Q),0))&amp;"  ·  Cód: "&amp;INDEX('Catálogo'!$A:$A,MATCH($B$3&amp;"|"&amp;21,IF($B$3="TODAS",'Catálogo'!$U:$U,'Catálogo'!$Q:$Q),0))),"")</f>
      </c>
      <c r="D26" s="42">
        <f>IFERROR(IF($D$3="Mayor",INDEX('Catálogo'!$O:$O,MATCH($B$3&amp;"|"&amp;21,IF($B$3="TODAS",'Catálogo'!$U:$U,'Catálogo'!$Q:$Q),0)),INDEX('Catálogo'!$N:$N,MATCH($B$3&amp;"|"&amp;21,IF($B$3="TODAS",'Catálogo'!$U:$U,'Catálogo'!$Q:$Q),0))),"")</f>
      </c>
    </row>
    <row r="27" ht="90.00" customHeight="1">
      <c r="A27" s="39">
        <f>IFERROR(IF(INDEX('Catálogo'!$M:$M,MATCH($B$3&amp;"|"&amp;22,IF($B$3="TODAS",'Catálogo'!$U:$U,'Catálogo'!$Q:$Q),0))="","",IMAGE(INDEX('Catálogo'!$M:$M,MATCH($B$3&amp;"|"&amp;22,IF($B$3="TODAS",'Catálogo'!$U:$U,'Catálogo'!$Q:$Q),0)),1)),"")</f>
      </c>
      <c r="B27" s="40">
        <f>IFERROR(INDEX('Catálogo'!$B:$B,MATCH($B$3&amp;"|"&amp;22,IF($B$3="TODAS",'Catálogo'!$U:$U,'Catálogo'!$Q:$Q),0)),"")</f>
      </c>
      <c r="C27" s="41">
        <f>IFERROR(IF(INDEX('Catálogo'!$R:$R,MATCH($B$3&amp;"|"&amp;22,IF($B$3="TODAS",'Catálogo'!$U:$U,'Catálogo'!$Q:$Q),0))="","Cód: "&amp;INDEX('Catálogo'!$A:$A,MATCH($B$3&amp;"|"&amp;22,IF($B$3="TODAS",'Catálogo'!$U:$U,'Catálogo'!$Q:$Q),0)),"Medidas: "&amp;INDEX('Catálogo'!$R:$R,MATCH($B$3&amp;"|"&amp;22,IF($B$3="TODAS",'Catálogo'!$U:$U,'Catálogo'!$Q:$Q),0))&amp;"  ·  Cód: "&amp;INDEX('Catálogo'!$A:$A,MATCH($B$3&amp;"|"&amp;22,IF($B$3="TODAS",'Catálogo'!$U:$U,'Catálogo'!$Q:$Q),0))),"")</f>
      </c>
      <c r="D27" s="42">
        <f>IFERROR(IF($D$3="Mayor",INDEX('Catálogo'!$O:$O,MATCH($B$3&amp;"|"&amp;22,IF($B$3="TODAS",'Catálogo'!$U:$U,'Catálogo'!$Q:$Q),0)),INDEX('Catálogo'!$N:$N,MATCH($B$3&amp;"|"&amp;22,IF($B$3="TODAS",'Catálogo'!$U:$U,'Catálogo'!$Q:$Q),0))),"")</f>
      </c>
    </row>
    <row r="28" ht="90.00" customHeight="1">
      <c r="A28" s="39">
        <f>IFERROR(IF(INDEX('Catálogo'!$M:$M,MATCH($B$3&amp;"|"&amp;23,IF($B$3="TODAS",'Catálogo'!$U:$U,'Catálogo'!$Q:$Q),0))="","",IMAGE(INDEX('Catálogo'!$M:$M,MATCH($B$3&amp;"|"&amp;23,IF($B$3="TODAS",'Catálogo'!$U:$U,'Catálogo'!$Q:$Q),0)),1)),"")</f>
      </c>
      <c r="B28" s="40">
        <f>IFERROR(INDEX('Catálogo'!$B:$B,MATCH($B$3&amp;"|"&amp;23,IF($B$3="TODAS",'Catálogo'!$U:$U,'Catálogo'!$Q:$Q),0)),"")</f>
      </c>
      <c r="C28" s="41">
        <f>IFERROR(IF(INDEX('Catálogo'!$R:$R,MATCH($B$3&amp;"|"&amp;23,IF($B$3="TODAS",'Catálogo'!$U:$U,'Catálogo'!$Q:$Q),0))="","Cód: "&amp;INDEX('Catálogo'!$A:$A,MATCH($B$3&amp;"|"&amp;23,IF($B$3="TODAS",'Catálogo'!$U:$U,'Catálogo'!$Q:$Q),0)),"Medidas: "&amp;INDEX('Catálogo'!$R:$R,MATCH($B$3&amp;"|"&amp;23,IF($B$3="TODAS",'Catálogo'!$U:$U,'Catálogo'!$Q:$Q),0))&amp;"  ·  Cód: "&amp;INDEX('Catálogo'!$A:$A,MATCH($B$3&amp;"|"&amp;23,IF($B$3="TODAS",'Catálogo'!$U:$U,'Catálogo'!$Q:$Q),0))),"")</f>
      </c>
      <c r="D28" s="42">
        <f>IFERROR(IF($D$3="Mayor",INDEX('Catálogo'!$O:$O,MATCH($B$3&amp;"|"&amp;23,IF($B$3="TODAS",'Catálogo'!$U:$U,'Catálogo'!$Q:$Q),0)),INDEX('Catálogo'!$N:$N,MATCH($B$3&amp;"|"&amp;23,IF($B$3="TODAS",'Catálogo'!$U:$U,'Catálogo'!$Q:$Q),0))),"")</f>
      </c>
    </row>
    <row r="29" ht="90.00" customHeight="1">
      <c r="A29" s="39">
        <f>IFERROR(IF(INDEX('Catálogo'!$M:$M,MATCH($B$3&amp;"|"&amp;24,IF($B$3="TODAS",'Catálogo'!$U:$U,'Catálogo'!$Q:$Q),0))="","",IMAGE(INDEX('Catálogo'!$M:$M,MATCH($B$3&amp;"|"&amp;24,IF($B$3="TODAS",'Catálogo'!$U:$U,'Catálogo'!$Q:$Q),0)),1)),"")</f>
      </c>
      <c r="B29" s="40">
        <f>IFERROR(INDEX('Catálogo'!$B:$B,MATCH($B$3&amp;"|"&amp;24,IF($B$3="TODAS",'Catálogo'!$U:$U,'Catálogo'!$Q:$Q),0)),"")</f>
      </c>
      <c r="C29" s="41">
        <f>IFERROR(IF(INDEX('Catálogo'!$R:$R,MATCH($B$3&amp;"|"&amp;24,IF($B$3="TODAS",'Catálogo'!$U:$U,'Catálogo'!$Q:$Q),0))="","Cód: "&amp;INDEX('Catálogo'!$A:$A,MATCH($B$3&amp;"|"&amp;24,IF($B$3="TODAS",'Catálogo'!$U:$U,'Catálogo'!$Q:$Q),0)),"Medidas: "&amp;INDEX('Catálogo'!$R:$R,MATCH($B$3&amp;"|"&amp;24,IF($B$3="TODAS",'Catálogo'!$U:$U,'Catálogo'!$Q:$Q),0))&amp;"  ·  Cód: "&amp;INDEX('Catálogo'!$A:$A,MATCH($B$3&amp;"|"&amp;24,IF($B$3="TODAS",'Catálogo'!$U:$U,'Catálogo'!$Q:$Q),0))),"")</f>
      </c>
      <c r="D29" s="42">
        <f>IFERROR(IF($D$3="Mayor",INDEX('Catálogo'!$O:$O,MATCH($B$3&amp;"|"&amp;24,IF($B$3="TODAS",'Catálogo'!$U:$U,'Catálogo'!$Q:$Q),0)),INDEX('Catálogo'!$N:$N,MATCH($B$3&amp;"|"&amp;24,IF($B$3="TODAS",'Catálogo'!$U:$U,'Catálogo'!$Q:$Q),0))),"")</f>
      </c>
    </row>
    <row r="30" ht="90.00" customHeight="1">
      <c r="A30" s="39">
        <f>IFERROR(IF(INDEX('Catálogo'!$M:$M,MATCH($B$3&amp;"|"&amp;25,IF($B$3="TODAS",'Catálogo'!$U:$U,'Catálogo'!$Q:$Q),0))="","",IMAGE(INDEX('Catálogo'!$M:$M,MATCH($B$3&amp;"|"&amp;25,IF($B$3="TODAS",'Catálogo'!$U:$U,'Catálogo'!$Q:$Q),0)),1)),"")</f>
      </c>
      <c r="B30" s="40">
        <f>IFERROR(INDEX('Catálogo'!$B:$B,MATCH($B$3&amp;"|"&amp;25,IF($B$3="TODAS",'Catálogo'!$U:$U,'Catálogo'!$Q:$Q),0)),"")</f>
      </c>
      <c r="C30" s="41">
        <f>IFERROR(IF(INDEX('Catálogo'!$R:$R,MATCH($B$3&amp;"|"&amp;25,IF($B$3="TODAS",'Catálogo'!$U:$U,'Catálogo'!$Q:$Q),0))="","Cód: "&amp;INDEX('Catálogo'!$A:$A,MATCH($B$3&amp;"|"&amp;25,IF($B$3="TODAS",'Catálogo'!$U:$U,'Catálogo'!$Q:$Q),0)),"Medidas: "&amp;INDEX('Catálogo'!$R:$R,MATCH($B$3&amp;"|"&amp;25,IF($B$3="TODAS",'Catálogo'!$U:$U,'Catálogo'!$Q:$Q),0))&amp;"  ·  Cód: "&amp;INDEX('Catálogo'!$A:$A,MATCH($B$3&amp;"|"&amp;25,IF($B$3="TODAS",'Catálogo'!$U:$U,'Catálogo'!$Q:$Q),0))),"")</f>
      </c>
      <c r="D30" s="42">
        <f>IFERROR(IF($D$3="Mayor",INDEX('Catálogo'!$O:$O,MATCH($B$3&amp;"|"&amp;25,IF($B$3="TODAS",'Catálogo'!$U:$U,'Catálogo'!$Q:$Q),0)),INDEX('Catálogo'!$N:$N,MATCH($B$3&amp;"|"&amp;25,IF($B$3="TODAS",'Catálogo'!$U:$U,'Catálogo'!$Q:$Q),0))),"")</f>
      </c>
    </row>
    <row r="31" ht="90.00" customHeight="1">
      <c r="A31" s="39">
        <f>IFERROR(IF(INDEX('Catálogo'!$M:$M,MATCH($B$3&amp;"|"&amp;26,IF($B$3="TODAS",'Catálogo'!$U:$U,'Catálogo'!$Q:$Q),0))="","",IMAGE(INDEX('Catálogo'!$M:$M,MATCH($B$3&amp;"|"&amp;26,IF($B$3="TODAS",'Catálogo'!$U:$U,'Catálogo'!$Q:$Q),0)),1)),"")</f>
      </c>
      <c r="B31" s="40">
        <f>IFERROR(INDEX('Catálogo'!$B:$B,MATCH($B$3&amp;"|"&amp;26,IF($B$3="TODAS",'Catálogo'!$U:$U,'Catálogo'!$Q:$Q),0)),"")</f>
      </c>
      <c r="C31" s="41">
        <f>IFERROR(IF(INDEX('Catálogo'!$R:$R,MATCH($B$3&amp;"|"&amp;26,IF($B$3="TODAS",'Catálogo'!$U:$U,'Catálogo'!$Q:$Q),0))="","Cód: "&amp;INDEX('Catálogo'!$A:$A,MATCH($B$3&amp;"|"&amp;26,IF($B$3="TODAS",'Catálogo'!$U:$U,'Catálogo'!$Q:$Q),0)),"Medidas: "&amp;INDEX('Catálogo'!$R:$R,MATCH($B$3&amp;"|"&amp;26,IF($B$3="TODAS",'Catálogo'!$U:$U,'Catálogo'!$Q:$Q),0))&amp;"  ·  Cód: "&amp;INDEX('Catálogo'!$A:$A,MATCH($B$3&amp;"|"&amp;26,IF($B$3="TODAS",'Catálogo'!$U:$U,'Catálogo'!$Q:$Q),0))),"")</f>
      </c>
      <c r="D31" s="42">
        <f>IFERROR(IF($D$3="Mayor",INDEX('Catálogo'!$O:$O,MATCH($B$3&amp;"|"&amp;26,IF($B$3="TODAS",'Catálogo'!$U:$U,'Catálogo'!$Q:$Q),0)),INDEX('Catálogo'!$N:$N,MATCH($B$3&amp;"|"&amp;26,IF($B$3="TODAS",'Catálogo'!$U:$U,'Catálogo'!$Q:$Q),0))),"")</f>
      </c>
    </row>
    <row r="32" ht="90.00" customHeight="1">
      <c r="A32" s="39">
        <f>IFERROR(IF(INDEX('Catálogo'!$M:$M,MATCH($B$3&amp;"|"&amp;27,IF($B$3="TODAS",'Catálogo'!$U:$U,'Catálogo'!$Q:$Q),0))="","",IMAGE(INDEX('Catálogo'!$M:$M,MATCH($B$3&amp;"|"&amp;27,IF($B$3="TODAS",'Catálogo'!$U:$U,'Catálogo'!$Q:$Q),0)),1)),"")</f>
      </c>
      <c r="B32" s="40">
        <f>IFERROR(INDEX('Catálogo'!$B:$B,MATCH($B$3&amp;"|"&amp;27,IF($B$3="TODAS",'Catálogo'!$U:$U,'Catálogo'!$Q:$Q),0)),"")</f>
      </c>
      <c r="C32" s="41">
        <f>IFERROR(IF(INDEX('Catálogo'!$R:$R,MATCH($B$3&amp;"|"&amp;27,IF($B$3="TODAS",'Catálogo'!$U:$U,'Catálogo'!$Q:$Q),0))="","Cód: "&amp;INDEX('Catálogo'!$A:$A,MATCH($B$3&amp;"|"&amp;27,IF($B$3="TODAS",'Catálogo'!$U:$U,'Catálogo'!$Q:$Q),0)),"Medidas: "&amp;INDEX('Catálogo'!$R:$R,MATCH($B$3&amp;"|"&amp;27,IF($B$3="TODAS",'Catálogo'!$U:$U,'Catálogo'!$Q:$Q),0))&amp;"  ·  Cód: "&amp;INDEX('Catálogo'!$A:$A,MATCH($B$3&amp;"|"&amp;27,IF($B$3="TODAS",'Catálogo'!$U:$U,'Catálogo'!$Q:$Q),0))),"")</f>
      </c>
      <c r="D32" s="42">
        <f>IFERROR(IF($D$3="Mayor",INDEX('Catálogo'!$O:$O,MATCH($B$3&amp;"|"&amp;27,IF($B$3="TODAS",'Catálogo'!$U:$U,'Catálogo'!$Q:$Q),0)),INDEX('Catálogo'!$N:$N,MATCH($B$3&amp;"|"&amp;27,IF($B$3="TODAS",'Catálogo'!$U:$U,'Catálogo'!$Q:$Q),0))),"")</f>
      </c>
    </row>
    <row r="33" ht="90.00" customHeight="1">
      <c r="A33" s="39">
        <f>IFERROR(IF(INDEX('Catálogo'!$M:$M,MATCH($B$3&amp;"|"&amp;28,IF($B$3="TODAS",'Catálogo'!$U:$U,'Catálogo'!$Q:$Q),0))="","",IMAGE(INDEX('Catálogo'!$M:$M,MATCH($B$3&amp;"|"&amp;28,IF($B$3="TODAS",'Catálogo'!$U:$U,'Catálogo'!$Q:$Q),0)),1)),"")</f>
      </c>
      <c r="B33" s="40">
        <f>IFERROR(INDEX('Catálogo'!$B:$B,MATCH($B$3&amp;"|"&amp;28,IF($B$3="TODAS",'Catálogo'!$U:$U,'Catálogo'!$Q:$Q),0)),"")</f>
      </c>
      <c r="C33" s="41">
        <f>IFERROR(IF(INDEX('Catálogo'!$R:$R,MATCH($B$3&amp;"|"&amp;28,IF($B$3="TODAS",'Catálogo'!$U:$U,'Catálogo'!$Q:$Q),0))="","Cód: "&amp;INDEX('Catálogo'!$A:$A,MATCH($B$3&amp;"|"&amp;28,IF($B$3="TODAS",'Catálogo'!$U:$U,'Catálogo'!$Q:$Q),0)),"Medidas: "&amp;INDEX('Catálogo'!$R:$R,MATCH($B$3&amp;"|"&amp;28,IF($B$3="TODAS",'Catálogo'!$U:$U,'Catálogo'!$Q:$Q),0))&amp;"  ·  Cód: "&amp;INDEX('Catálogo'!$A:$A,MATCH($B$3&amp;"|"&amp;28,IF($B$3="TODAS",'Catálogo'!$U:$U,'Catálogo'!$Q:$Q),0))),"")</f>
      </c>
      <c r="D33" s="42">
        <f>IFERROR(IF($D$3="Mayor",INDEX('Catálogo'!$O:$O,MATCH($B$3&amp;"|"&amp;28,IF($B$3="TODAS",'Catálogo'!$U:$U,'Catálogo'!$Q:$Q),0)),INDEX('Catálogo'!$N:$N,MATCH($B$3&amp;"|"&amp;28,IF($B$3="TODAS",'Catálogo'!$U:$U,'Catálogo'!$Q:$Q),0))),"")</f>
      </c>
    </row>
    <row r="34" ht="90.00" customHeight="1">
      <c r="A34" s="39">
        <f>IFERROR(IF(INDEX('Catálogo'!$M:$M,MATCH($B$3&amp;"|"&amp;29,IF($B$3="TODAS",'Catálogo'!$U:$U,'Catálogo'!$Q:$Q),0))="","",IMAGE(INDEX('Catálogo'!$M:$M,MATCH($B$3&amp;"|"&amp;29,IF($B$3="TODAS",'Catálogo'!$U:$U,'Catálogo'!$Q:$Q),0)),1)),"")</f>
      </c>
      <c r="B34" s="40">
        <f>IFERROR(INDEX('Catálogo'!$B:$B,MATCH($B$3&amp;"|"&amp;29,IF($B$3="TODAS",'Catálogo'!$U:$U,'Catálogo'!$Q:$Q),0)),"")</f>
      </c>
      <c r="C34" s="41">
        <f>IFERROR(IF(INDEX('Catálogo'!$R:$R,MATCH($B$3&amp;"|"&amp;29,IF($B$3="TODAS",'Catálogo'!$U:$U,'Catálogo'!$Q:$Q),0))="","Cód: "&amp;INDEX('Catálogo'!$A:$A,MATCH($B$3&amp;"|"&amp;29,IF($B$3="TODAS",'Catálogo'!$U:$U,'Catálogo'!$Q:$Q),0)),"Medidas: "&amp;INDEX('Catálogo'!$R:$R,MATCH($B$3&amp;"|"&amp;29,IF($B$3="TODAS",'Catálogo'!$U:$U,'Catálogo'!$Q:$Q),0))&amp;"  ·  Cód: "&amp;INDEX('Catálogo'!$A:$A,MATCH($B$3&amp;"|"&amp;29,IF($B$3="TODAS",'Catálogo'!$U:$U,'Catálogo'!$Q:$Q),0))),"")</f>
      </c>
      <c r="D34" s="42">
        <f>IFERROR(IF($D$3="Mayor",INDEX('Catálogo'!$O:$O,MATCH($B$3&amp;"|"&amp;29,IF($B$3="TODAS",'Catálogo'!$U:$U,'Catálogo'!$Q:$Q),0)),INDEX('Catálogo'!$N:$N,MATCH($B$3&amp;"|"&amp;29,IF($B$3="TODAS",'Catálogo'!$U:$U,'Catálogo'!$Q:$Q),0))),"")</f>
      </c>
    </row>
    <row r="35" ht="90.00" customHeight="1">
      <c r="A35" s="39">
        <f>IFERROR(IF(INDEX('Catálogo'!$M:$M,MATCH($B$3&amp;"|"&amp;30,IF($B$3="TODAS",'Catálogo'!$U:$U,'Catálogo'!$Q:$Q),0))="","",IMAGE(INDEX('Catálogo'!$M:$M,MATCH($B$3&amp;"|"&amp;30,IF($B$3="TODAS",'Catálogo'!$U:$U,'Catálogo'!$Q:$Q),0)),1)),"")</f>
      </c>
      <c r="B35" s="40">
        <f>IFERROR(INDEX('Catálogo'!$B:$B,MATCH($B$3&amp;"|"&amp;30,IF($B$3="TODAS",'Catálogo'!$U:$U,'Catálogo'!$Q:$Q),0)),"")</f>
      </c>
      <c r="C35" s="41">
        <f>IFERROR(IF(INDEX('Catálogo'!$R:$R,MATCH($B$3&amp;"|"&amp;30,IF($B$3="TODAS",'Catálogo'!$U:$U,'Catálogo'!$Q:$Q),0))="","Cód: "&amp;INDEX('Catálogo'!$A:$A,MATCH($B$3&amp;"|"&amp;30,IF($B$3="TODAS",'Catálogo'!$U:$U,'Catálogo'!$Q:$Q),0)),"Medidas: "&amp;INDEX('Catálogo'!$R:$R,MATCH($B$3&amp;"|"&amp;30,IF($B$3="TODAS",'Catálogo'!$U:$U,'Catálogo'!$Q:$Q),0))&amp;"  ·  Cód: "&amp;INDEX('Catálogo'!$A:$A,MATCH($B$3&amp;"|"&amp;30,IF($B$3="TODAS",'Catálogo'!$U:$U,'Catálogo'!$Q:$Q),0))),"")</f>
      </c>
      <c r="D35" s="42">
        <f>IFERROR(IF($D$3="Mayor",INDEX('Catálogo'!$O:$O,MATCH($B$3&amp;"|"&amp;30,IF($B$3="TODAS",'Catálogo'!$U:$U,'Catálogo'!$Q:$Q),0)),INDEX('Catálogo'!$N:$N,MATCH($B$3&amp;"|"&amp;30,IF($B$3="TODAS",'Catálogo'!$U:$U,'Catálogo'!$Q:$Q),0))),"")</f>
      </c>
    </row>
    <row r="36" ht="90.00" customHeight="1">
      <c r="A36" s="39">
        <f>IFERROR(IF(INDEX('Catálogo'!$M:$M,MATCH($B$3&amp;"|"&amp;31,IF($B$3="TODAS",'Catálogo'!$U:$U,'Catálogo'!$Q:$Q),0))="","",IMAGE(INDEX('Catálogo'!$M:$M,MATCH($B$3&amp;"|"&amp;31,IF($B$3="TODAS",'Catálogo'!$U:$U,'Catálogo'!$Q:$Q),0)),1)),"")</f>
      </c>
      <c r="B36" s="40">
        <f>IFERROR(INDEX('Catálogo'!$B:$B,MATCH($B$3&amp;"|"&amp;31,IF($B$3="TODAS",'Catálogo'!$U:$U,'Catálogo'!$Q:$Q),0)),"")</f>
      </c>
      <c r="C36" s="41">
        <f>IFERROR(IF(INDEX('Catálogo'!$R:$R,MATCH($B$3&amp;"|"&amp;31,IF($B$3="TODAS",'Catálogo'!$U:$U,'Catálogo'!$Q:$Q),0))="","Cód: "&amp;INDEX('Catálogo'!$A:$A,MATCH($B$3&amp;"|"&amp;31,IF($B$3="TODAS",'Catálogo'!$U:$U,'Catálogo'!$Q:$Q),0)),"Medidas: "&amp;INDEX('Catálogo'!$R:$R,MATCH($B$3&amp;"|"&amp;31,IF($B$3="TODAS",'Catálogo'!$U:$U,'Catálogo'!$Q:$Q),0))&amp;"  ·  Cód: "&amp;INDEX('Catálogo'!$A:$A,MATCH($B$3&amp;"|"&amp;31,IF($B$3="TODAS",'Catálogo'!$U:$U,'Catálogo'!$Q:$Q),0))),"")</f>
      </c>
      <c r="D36" s="42">
        <f>IFERROR(IF($D$3="Mayor",INDEX('Catálogo'!$O:$O,MATCH($B$3&amp;"|"&amp;31,IF($B$3="TODAS",'Catálogo'!$U:$U,'Catálogo'!$Q:$Q),0)),INDEX('Catálogo'!$N:$N,MATCH($B$3&amp;"|"&amp;31,IF($B$3="TODAS",'Catálogo'!$U:$U,'Catálogo'!$Q:$Q),0))),"")</f>
      </c>
    </row>
    <row r="37" ht="90.00" customHeight="1">
      <c r="A37" s="39">
        <f>IFERROR(IF(INDEX('Catálogo'!$M:$M,MATCH($B$3&amp;"|"&amp;32,IF($B$3="TODAS",'Catálogo'!$U:$U,'Catálogo'!$Q:$Q),0))="","",IMAGE(INDEX('Catálogo'!$M:$M,MATCH($B$3&amp;"|"&amp;32,IF($B$3="TODAS",'Catálogo'!$U:$U,'Catálogo'!$Q:$Q),0)),1)),"")</f>
      </c>
      <c r="B37" s="40">
        <f>IFERROR(INDEX('Catálogo'!$B:$B,MATCH($B$3&amp;"|"&amp;32,IF($B$3="TODAS",'Catálogo'!$U:$U,'Catálogo'!$Q:$Q),0)),"")</f>
      </c>
      <c r="C37" s="41">
        <f>IFERROR(IF(INDEX('Catálogo'!$R:$R,MATCH($B$3&amp;"|"&amp;32,IF($B$3="TODAS",'Catálogo'!$U:$U,'Catálogo'!$Q:$Q),0))="","Cód: "&amp;INDEX('Catálogo'!$A:$A,MATCH($B$3&amp;"|"&amp;32,IF($B$3="TODAS",'Catálogo'!$U:$U,'Catálogo'!$Q:$Q),0)),"Medidas: "&amp;INDEX('Catálogo'!$R:$R,MATCH($B$3&amp;"|"&amp;32,IF($B$3="TODAS",'Catálogo'!$U:$U,'Catálogo'!$Q:$Q),0))&amp;"  ·  Cód: "&amp;INDEX('Catálogo'!$A:$A,MATCH($B$3&amp;"|"&amp;32,IF($B$3="TODAS",'Catálogo'!$U:$U,'Catálogo'!$Q:$Q),0))),"")</f>
      </c>
      <c r="D37" s="42">
        <f>IFERROR(IF($D$3="Mayor",INDEX('Catálogo'!$O:$O,MATCH($B$3&amp;"|"&amp;32,IF($B$3="TODAS",'Catálogo'!$U:$U,'Catálogo'!$Q:$Q),0)),INDEX('Catálogo'!$N:$N,MATCH($B$3&amp;"|"&amp;32,IF($B$3="TODAS",'Catálogo'!$U:$U,'Catálogo'!$Q:$Q),0))),"")</f>
      </c>
    </row>
    <row r="38" ht="90.00" customHeight="1">
      <c r="A38" s="39">
        <f>IFERROR(IF(INDEX('Catálogo'!$M:$M,MATCH($B$3&amp;"|"&amp;33,IF($B$3="TODAS",'Catálogo'!$U:$U,'Catálogo'!$Q:$Q),0))="","",IMAGE(INDEX('Catálogo'!$M:$M,MATCH($B$3&amp;"|"&amp;33,IF($B$3="TODAS",'Catálogo'!$U:$U,'Catálogo'!$Q:$Q),0)),1)),"")</f>
      </c>
      <c r="B38" s="40">
        <f>IFERROR(INDEX('Catálogo'!$B:$B,MATCH($B$3&amp;"|"&amp;33,IF($B$3="TODAS",'Catálogo'!$U:$U,'Catálogo'!$Q:$Q),0)),"")</f>
      </c>
      <c r="C38" s="41">
        <f>IFERROR(IF(INDEX('Catálogo'!$R:$R,MATCH($B$3&amp;"|"&amp;33,IF($B$3="TODAS",'Catálogo'!$U:$U,'Catálogo'!$Q:$Q),0))="","Cód: "&amp;INDEX('Catálogo'!$A:$A,MATCH($B$3&amp;"|"&amp;33,IF($B$3="TODAS",'Catálogo'!$U:$U,'Catálogo'!$Q:$Q),0)),"Medidas: "&amp;INDEX('Catálogo'!$R:$R,MATCH($B$3&amp;"|"&amp;33,IF($B$3="TODAS",'Catálogo'!$U:$U,'Catálogo'!$Q:$Q),0))&amp;"  ·  Cód: "&amp;INDEX('Catálogo'!$A:$A,MATCH($B$3&amp;"|"&amp;33,IF($B$3="TODAS",'Catálogo'!$U:$U,'Catálogo'!$Q:$Q),0))),"")</f>
      </c>
      <c r="D38" s="42">
        <f>IFERROR(IF($D$3="Mayor",INDEX('Catálogo'!$O:$O,MATCH($B$3&amp;"|"&amp;33,IF($B$3="TODAS",'Catálogo'!$U:$U,'Catálogo'!$Q:$Q),0)),INDEX('Catálogo'!$N:$N,MATCH($B$3&amp;"|"&amp;33,IF($B$3="TODAS",'Catálogo'!$U:$U,'Catálogo'!$Q:$Q),0))),"")</f>
      </c>
    </row>
    <row r="39" ht="90.00" customHeight="1">
      <c r="A39" s="39">
        <f>IFERROR(IF(INDEX('Catálogo'!$M:$M,MATCH($B$3&amp;"|"&amp;34,IF($B$3="TODAS",'Catálogo'!$U:$U,'Catálogo'!$Q:$Q),0))="","",IMAGE(INDEX('Catálogo'!$M:$M,MATCH($B$3&amp;"|"&amp;34,IF($B$3="TODAS",'Catálogo'!$U:$U,'Catálogo'!$Q:$Q),0)),1)),"")</f>
      </c>
      <c r="B39" s="40">
        <f>IFERROR(INDEX('Catálogo'!$B:$B,MATCH($B$3&amp;"|"&amp;34,IF($B$3="TODAS",'Catálogo'!$U:$U,'Catálogo'!$Q:$Q),0)),"")</f>
      </c>
      <c r="C39" s="41">
        <f>IFERROR(IF(INDEX('Catálogo'!$R:$R,MATCH($B$3&amp;"|"&amp;34,IF($B$3="TODAS",'Catálogo'!$U:$U,'Catálogo'!$Q:$Q),0))="","Cód: "&amp;INDEX('Catálogo'!$A:$A,MATCH($B$3&amp;"|"&amp;34,IF($B$3="TODAS",'Catálogo'!$U:$U,'Catálogo'!$Q:$Q),0)),"Medidas: "&amp;INDEX('Catálogo'!$R:$R,MATCH($B$3&amp;"|"&amp;34,IF($B$3="TODAS",'Catálogo'!$U:$U,'Catálogo'!$Q:$Q),0))&amp;"  ·  Cód: "&amp;INDEX('Catálogo'!$A:$A,MATCH($B$3&amp;"|"&amp;34,IF($B$3="TODAS",'Catálogo'!$U:$U,'Catálogo'!$Q:$Q),0))),"")</f>
      </c>
      <c r="D39" s="42">
        <f>IFERROR(IF($D$3="Mayor",INDEX('Catálogo'!$O:$O,MATCH($B$3&amp;"|"&amp;34,IF($B$3="TODAS",'Catálogo'!$U:$U,'Catálogo'!$Q:$Q),0)),INDEX('Catálogo'!$N:$N,MATCH($B$3&amp;"|"&amp;34,IF($B$3="TODAS",'Catálogo'!$U:$U,'Catálogo'!$Q:$Q),0))),"")</f>
      </c>
    </row>
    <row r="40" ht="90.00" customHeight="1">
      <c r="A40" s="39">
        <f>IFERROR(IF(INDEX('Catálogo'!$M:$M,MATCH($B$3&amp;"|"&amp;35,IF($B$3="TODAS",'Catálogo'!$U:$U,'Catálogo'!$Q:$Q),0))="","",IMAGE(INDEX('Catálogo'!$M:$M,MATCH($B$3&amp;"|"&amp;35,IF($B$3="TODAS",'Catálogo'!$U:$U,'Catálogo'!$Q:$Q),0)),1)),"")</f>
      </c>
      <c r="B40" s="40">
        <f>IFERROR(INDEX('Catálogo'!$B:$B,MATCH($B$3&amp;"|"&amp;35,IF($B$3="TODAS",'Catálogo'!$U:$U,'Catálogo'!$Q:$Q),0)),"")</f>
      </c>
      <c r="C40" s="41">
        <f>IFERROR(IF(INDEX('Catálogo'!$R:$R,MATCH($B$3&amp;"|"&amp;35,IF($B$3="TODAS",'Catálogo'!$U:$U,'Catálogo'!$Q:$Q),0))="","Cód: "&amp;INDEX('Catálogo'!$A:$A,MATCH($B$3&amp;"|"&amp;35,IF($B$3="TODAS",'Catálogo'!$U:$U,'Catálogo'!$Q:$Q),0)),"Medidas: "&amp;INDEX('Catálogo'!$R:$R,MATCH($B$3&amp;"|"&amp;35,IF($B$3="TODAS",'Catálogo'!$U:$U,'Catálogo'!$Q:$Q),0))&amp;"  ·  Cód: "&amp;INDEX('Catálogo'!$A:$A,MATCH($B$3&amp;"|"&amp;35,IF($B$3="TODAS",'Catálogo'!$U:$U,'Catálogo'!$Q:$Q),0))),"")</f>
      </c>
      <c r="D40" s="42">
        <f>IFERROR(IF($D$3="Mayor",INDEX('Catálogo'!$O:$O,MATCH($B$3&amp;"|"&amp;35,IF($B$3="TODAS",'Catálogo'!$U:$U,'Catálogo'!$Q:$Q),0)),INDEX('Catálogo'!$N:$N,MATCH($B$3&amp;"|"&amp;35,IF($B$3="TODAS",'Catálogo'!$U:$U,'Catálogo'!$Q:$Q),0))),"")</f>
      </c>
    </row>
    <row r="41" ht="90.00" customHeight="1">
      <c r="A41" s="39">
        <f>IFERROR(IF(INDEX('Catálogo'!$M:$M,MATCH($B$3&amp;"|"&amp;36,IF($B$3="TODAS",'Catálogo'!$U:$U,'Catálogo'!$Q:$Q),0))="","",IMAGE(INDEX('Catálogo'!$M:$M,MATCH($B$3&amp;"|"&amp;36,IF($B$3="TODAS",'Catálogo'!$U:$U,'Catálogo'!$Q:$Q),0)),1)),"")</f>
      </c>
      <c r="B41" s="40">
        <f>IFERROR(INDEX('Catálogo'!$B:$B,MATCH($B$3&amp;"|"&amp;36,IF($B$3="TODAS",'Catálogo'!$U:$U,'Catálogo'!$Q:$Q),0)),"")</f>
      </c>
      <c r="C41" s="41">
        <f>IFERROR(IF(INDEX('Catálogo'!$R:$R,MATCH($B$3&amp;"|"&amp;36,IF($B$3="TODAS",'Catálogo'!$U:$U,'Catálogo'!$Q:$Q),0))="","Cód: "&amp;INDEX('Catálogo'!$A:$A,MATCH($B$3&amp;"|"&amp;36,IF($B$3="TODAS",'Catálogo'!$U:$U,'Catálogo'!$Q:$Q),0)),"Medidas: "&amp;INDEX('Catálogo'!$R:$R,MATCH($B$3&amp;"|"&amp;36,IF($B$3="TODAS",'Catálogo'!$U:$U,'Catálogo'!$Q:$Q),0))&amp;"  ·  Cód: "&amp;INDEX('Catálogo'!$A:$A,MATCH($B$3&amp;"|"&amp;36,IF($B$3="TODAS",'Catálogo'!$U:$U,'Catálogo'!$Q:$Q),0))),"")</f>
      </c>
      <c r="D41" s="42">
        <f>IFERROR(IF($D$3="Mayor",INDEX('Catálogo'!$O:$O,MATCH($B$3&amp;"|"&amp;36,IF($B$3="TODAS",'Catálogo'!$U:$U,'Catálogo'!$Q:$Q),0)),INDEX('Catálogo'!$N:$N,MATCH($B$3&amp;"|"&amp;36,IF($B$3="TODAS",'Catálogo'!$U:$U,'Catálogo'!$Q:$Q),0))),"")</f>
      </c>
    </row>
    <row r="42" ht="90.00" customHeight="1">
      <c r="A42" s="39">
        <f>IFERROR(IF(INDEX('Catálogo'!$M:$M,MATCH($B$3&amp;"|"&amp;37,IF($B$3="TODAS",'Catálogo'!$U:$U,'Catálogo'!$Q:$Q),0))="","",IMAGE(INDEX('Catálogo'!$M:$M,MATCH($B$3&amp;"|"&amp;37,IF($B$3="TODAS",'Catálogo'!$U:$U,'Catálogo'!$Q:$Q),0)),1)),"")</f>
      </c>
      <c r="B42" s="40">
        <f>IFERROR(INDEX('Catálogo'!$B:$B,MATCH($B$3&amp;"|"&amp;37,IF($B$3="TODAS",'Catálogo'!$U:$U,'Catálogo'!$Q:$Q),0)),"")</f>
      </c>
      <c r="C42" s="41">
        <f>IFERROR(IF(INDEX('Catálogo'!$R:$R,MATCH($B$3&amp;"|"&amp;37,IF($B$3="TODAS",'Catálogo'!$U:$U,'Catálogo'!$Q:$Q),0))="","Cód: "&amp;INDEX('Catálogo'!$A:$A,MATCH($B$3&amp;"|"&amp;37,IF($B$3="TODAS",'Catálogo'!$U:$U,'Catálogo'!$Q:$Q),0)),"Medidas: "&amp;INDEX('Catálogo'!$R:$R,MATCH($B$3&amp;"|"&amp;37,IF($B$3="TODAS",'Catálogo'!$U:$U,'Catálogo'!$Q:$Q),0))&amp;"  ·  Cód: "&amp;INDEX('Catálogo'!$A:$A,MATCH($B$3&amp;"|"&amp;37,IF($B$3="TODAS",'Catálogo'!$U:$U,'Catálogo'!$Q:$Q),0))),"")</f>
      </c>
      <c r="D42" s="42">
        <f>IFERROR(IF($D$3="Mayor",INDEX('Catálogo'!$O:$O,MATCH($B$3&amp;"|"&amp;37,IF($B$3="TODAS",'Catálogo'!$U:$U,'Catálogo'!$Q:$Q),0)),INDEX('Catálogo'!$N:$N,MATCH($B$3&amp;"|"&amp;37,IF($B$3="TODAS",'Catálogo'!$U:$U,'Catálogo'!$Q:$Q),0))),"")</f>
      </c>
    </row>
    <row r="43" ht="90.00" customHeight="1">
      <c r="A43" s="39">
        <f>IFERROR(IF(INDEX('Catálogo'!$M:$M,MATCH($B$3&amp;"|"&amp;38,IF($B$3="TODAS",'Catálogo'!$U:$U,'Catálogo'!$Q:$Q),0))="","",IMAGE(INDEX('Catálogo'!$M:$M,MATCH($B$3&amp;"|"&amp;38,IF($B$3="TODAS",'Catálogo'!$U:$U,'Catálogo'!$Q:$Q),0)),1)),"")</f>
      </c>
      <c r="B43" s="40">
        <f>IFERROR(INDEX('Catálogo'!$B:$B,MATCH($B$3&amp;"|"&amp;38,IF($B$3="TODAS",'Catálogo'!$U:$U,'Catálogo'!$Q:$Q),0)),"")</f>
      </c>
      <c r="C43" s="41">
        <f>IFERROR(IF(INDEX('Catálogo'!$R:$R,MATCH($B$3&amp;"|"&amp;38,IF($B$3="TODAS",'Catálogo'!$U:$U,'Catálogo'!$Q:$Q),0))="","Cód: "&amp;INDEX('Catálogo'!$A:$A,MATCH($B$3&amp;"|"&amp;38,IF($B$3="TODAS",'Catálogo'!$U:$U,'Catálogo'!$Q:$Q),0)),"Medidas: "&amp;INDEX('Catálogo'!$R:$R,MATCH($B$3&amp;"|"&amp;38,IF($B$3="TODAS",'Catálogo'!$U:$U,'Catálogo'!$Q:$Q),0))&amp;"  ·  Cód: "&amp;INDEX('Catálogo'!$A:$A,MATCH($B$3&amp;"|"&amp;38,IF($B$3="TODAS",'Catálogo'!$U:$U,'Catálogo'!$Q:$Q),0))),"")</f>
      </c>
      <c r="D43" s="42">
        <f>IFERROR(IF($D$3="Mayor",INDEX('Catálogo'!$O:$O,MATCH($B$3&amp;"|"&amp;38,IF($B$3="TODAS",'Catálogo'!$U:$U,'Catálogo'!$Q:$Q),0)),INDEX('Catálogo'!$N:$N,MATCH($B$3&amp;"|"&amp;38,IF($B$3="TODAS",'Catálogo'!$U:$U,'Catálogo'!$Q:$Q),0))),"")</f>
      </c>
    </row>
    <row r="44" ht="90.00" customHeight="1">
      <c r="A44" s="39">
        <f>IFERROR(IF(INDEX('Catálogo'!$M:$M,MATCH($B$3&amp;"|"&amp;39,IF($B$3="TODAS",'Catálogo'!$U:$U,'Catálogo'!$Q:$Q),0))="","",IMAGE(INDEX('Catálogo'!$M:$M,MATCH($B$3&amp;"|"&amp;39,IF($B$3="TODAS",'Catálogo'!$U:$U,'Catálogo'!$Q:$Q),0)),1)),"")</f>
      </c>
      <c r="B44" s="40">
        <f>IFERROR(INDEX('Catálogo'!$B:$B,MATCH($B$3&amp;"|"&amp;39,IF($B$3="TODAS",'Catálogo'!$U:$U,'Catálogo'!$Q:$Q),0)),"")</f>
      </c>
      <c r="C44" s="41">
        <f>IFERROR(IF(INDEX('Catálogo'!$R:$R,MATCH($B$3&amp;"|"&amp;39,IF($B$3="TODAS",'Catálogo'!$U:$U,'Catálogo'!$Q:$Q),0))="","Cód: "&amp;INDEX('Catálogo'!$A:$A,MATCH($B$3&amp;"|"&amp;39,IF($B$3="TODAS",'Catálogo'!$U:$U,'Catálogo'!$Q:$Q),0)),"Medidas: "&amp;INDEX('Catálogo'!$R:$R,MATCH($B$3&amp;"|"&amp;39,IF($B$3="TODAS",'Catálogo'!$U:$U,'Catálogo'!$Q:$Q),0))&amp;"  ·  Cód: "&amp;INDEX('Catálogo'!$A:$A,MATCH($B$3&amp;"|"&amp;39,IF($B$3="TODAS",'Catálogo'!$U:$U,'Catálogo'!$Q:$Q),0))),"")</f>
      </c>
      <c r="D44" s="42">
        <f>IFERROR(IF($D$3="Mayor",INDEX('Catálogo'!$O:$O,MATCH($B$3&amp;"|"&amp;39,IF($B$3="TODAS",'Catálogo'!$U:$U,'Catálogo'!$Q:$Q),0)),INDEX('Catálogo'!$N:$N,MATCH($B$3&amp;"|"&amp;39,IF($B$3="TODAS",'Catálogo'!$U:$U,'Catálogo'!$Q:$Q),0))),"")</f>
      </c>
    </row>
    <row r="45" ht="90.00" customHeight="1">
      <c r="A45" s="39">
        <f>IFERROR(IF(INDEX('Catálogo'!$M:$M,MATCH($B$3&amp;"|"&amp;40,IF($B$3="TODAS",'Catálogo'!$U:$U,'Catálogo'!$Q:$Q),0))="","",IMAGE(INDEX('Catálogo'!$M:$M,MATCH($B$3&amp;"|"&amp;40,IF($B$3="TODAS",'Catálogo'!$U:$U,'Catálogo'!$Q:$Q),0)),1)),"")</f>
      </c>
      <c r="B45" s="40">
        <f>IFERROR(INDEX('Catálogo'!$B:$B,MATCH($B$3&amp;"|"&amp;40,IF($B$3="TODAS",'Catálogo'!$U:$U,'Catálogo'!$Q:$Q),0)),"")</f>
      </c>
      <c r="C45" s="41">
        <f>IFERROR(IF(INDEX('Catálogo'!$R:$R,MATCH($B$3&amp;"|"&amp;40,IF($B$3="TODAS",'Catálogo'!$U:$U,'Catálogo'!$Q:$Q),0))="","Cód: "&amp;INDEX('Catálogo'!$A:$A,MATCH($B$3&amp;"|"&amp;40,IF($B$3="TODAS",'Catálogo'!$U:$U,'Catálogo'!$Q:$Q),0)),"Medidas: "&amp;INDEX('Catálogo'!$R:$R,MATCH($B$3&amp;"|"&amp;40,IF($B$3="TODAS",'Catálogo'!$U:$U,'Catálogo'!$Q:$Q),0))&amp;"  ·  Cód: "&amp;INDEX('Catálogo'!$A:$A,MATCH($B$3&amp;"|"&amp;40,IF($B$3="TODAS",'Catálogo'!$U:$U,'Catálogo'!$Q:$Q),0))),"")</f>
      </c>
      <c r="D45" s="42">
        <f>IFERROR(IF($D$3="Mayor",INDEX('Catálogo'!$O:$O,MATCH($B$3&amp;"|"&amp;40,IF($B$3="TODAS",'Catálogo'!$U:$U,'Catálogo'!$Q:$Q),0)),INDEX('Catálogo'!$N:$N,MATCH($B$3&amp;"|"&amp;40,IF($B$3="TODAS",'Catálogo'!$U:$U,'Catálogo'!$Q:$Q),0))),"")</f>
      </c>
    </row>
    <row r="46" ht="90.00" customHeight="1">
      <c r="A46" s="39">
        <f>IFERROR(IF(INDEX('Catálogo'!$M:$M,MATCH($B$3&amp;"|"&amp;41,IF($B$3="TODAS",'Catálogo'!$U:$U,'Catálogo'!$Q:$Q),0))="","",IMAGE(INDEX('Catálogo'!$M:$M,MATCH($B$3&amp;"|"&amp;41,IF($B$3="TODAS",'Catálogo'!$U:$U,'Catálogo'!$Q:$Q),0)),1)),"")</f>
      </c>
      <c r="B46" s="40">
        <f>IFERROR(INDEX('Catálogo'!$B:$B,MATCH($B$3&amp;"|"&amp;41,IF($B$3="TODAS",'Catálogo'!$U:$U,'Catálogo'!$Q:$Q),0)),"")</f>
      </c>
      <c r="C46" s="41">
        <f>IFERROR(IF(INDEX('Catálogo'!$R:$R,MATCH($B$3&amp;"|"&amp;41,IF($B$3="TODAS",'Catálogo'!$U:$U,'Catálogo'!$Q:$Q),0))="","Cód: "&amp;INDEX('Catálogo'!$A:$A,MATCH($B$3&amp;"|"&amp;41,IF($B$3="TODAS",'Catálogo'!$U:$U,'Catálogo'!$Q:$Q),0)),"Medidas: "&amp;INDEX('Catálogo'!$R:$R,MATCH($B$3&amp;"|"&amp;41,IF($B$3="TODAS",'Catálogo'!$U:$U,'Catálogo'!$Q:$Q),0))&amp;"  ·  Cód: "&amp;INDEX('Catálogo'!$A:$A,MATCH($B$3&amp;"|"&amp;41,IF($B$3="TODAS",'Catálogo'!$U:$U,'Catálogo'!$Q:$Q),0))),"")</f>
      </c>
      <c r="D46" s="42">
        <f>IFERROR(IF($D$3="Mayor",INDEX('Catálogo'!$O:$O,MATCH($B$3&amp;"|"&amp;41,IF($B$3="TODAS",'Catálogo'!$U:$U,'Catálogo'!$Q:$Q),0)),INDEX('Catálogo'!$N:$N,MATCH($B$3&amp;"|"&amp;41,IF($B$3="TODAS",'Catálogo'!$U:$U,'Catálogo'!$Q:$Q),0))),"")</f>
      </c>
    </row>
    <row r="47" ht="90.00" customHeight="1">
      <c r="A47" s="39">
        <f>IFERROR(IF(INDEX('Catálogo'!$M:$M,MATCH($B$3&amp;"|"&amp;42,IF($B$3="TODAS",'Catálogo'!$U:$U,'Catálogo'!$Q:$Q),0))="","",IMAGE(INDEX('Catálogo'!$M:$M,MATCH($B$3&amp;"|"&amp;42,IF($B$3="TODAS",'Catálogo'!$U:$U,'Catálogo'!$Q:$Q),0)),1)),"")</f>
      </c>
      <c r="B47" s="40">
        <f>IFERROR(INDEX('Catálogo'!$B:$B,MATCH($B$3&amp;"|"&amp;42,IF($B$3="TODAS",'Catálogo'!$U:$U,'Catálogo'!$Q:$Q),0)),"")</f>
      </c>
      <c r="C47" s="41">
        <f>IFERROR(IF(INDEX('Catálogo'!$R:$R,MATCH($B$3&amp;"|"&amp;42,IF($B$3="TODAS",'Catálogo'!$U:$U,'Catálogo'!$Q:$Q),0))="","Cód: "&amp;INDEX('Catálogo'!$A:$A,MATCH($B$3&amp;"|"&amp;42,IF($B$3="TODAS",'Catálogo'!$U:$U,'Catálogo'!$Q:$Q),0)),"Medidas: "&amp;INDEX('Catálogo'!$R:$R,MATCH($B$3&amp;"|"&amp;42,IF($B$3="TODAS",'Catálogo'!$U:$U,'Catálogo'!$Q:$Q),0))&amp;"  ·  Cód: "&amp;INDEX('Catálogo'!$A:$A,MATCH($B$3&amp;"|"&amp;42,IF($B$3="TODAS",'Catálogo'!$U:$U,'Catálogo'!$Q:$Q),0))),"")</f>
      </c>
      <c r="D47" s="42">
        <f>IFERROR(IF($D$3="Mayor",INDEX('Catálogo'!$O:$O,MATCH($B$3&amp;"|"&amp;42,IF($B$3="TODAS",'Catálogo'!$U:$U,'Catálogo'!$Q:$Q),0)),INDEX('Catálogo'!$N:$N,MATCH($B$3&amp;"|"&amp;42,IF($B$3="TODAS",'Catálogo'!$U:$U,'Catálogo'!$Q:$Q),0))),"")</f>
      </c>
    </row>
    <row r="48" ht="90.00" customHeight="1">
      <c r="A48" s="39">
        <f>IFERROR(IF(INDEX('Catálogo'!$M:$M,MATCH($B$3&amp;"|"&amp;43,IF($B$3="TODAS",'Catálogo'!$U:$U,'Catálogo'!$Q:$Q),0))="","",IMAGE(INDEX('Catálogo'!$M:$M,MATCH($B$3&amp;"|"&amp;43,IF($B$3="TODAS",'Catálogo'!$U:$U,'Catálogo'!$Q:$Q),0)),1)),"")</f>
      </c>
      <c r="B48" s="40">
        <f>IFERROR(INDEX('Catálogo'!$B:$B,MATCH($B$3&amp;"|"&amp;43,IF($B$3="TODAS",'Catálogo'!$U:$U,'Catálogo'!$Q:$Q),0)),"")</f>
      </c>
      <c r="C48" s="41">
        <f>IFERROR(IF(INDEX('Catálogo'!$R:$R,MATCH($B$3&amp;"|"&amp;43,IF($B$3="TODAS",'Catálogo'!$U:$U,'Catálogo'!$Q:$Q),0))="","Cód: "&amp;INDEX('Catálogo'!$A:$A,MATCH($B$3&amp;"|"&amp;43,IF($B$3="TODAS",'Catálogo'!$U:$U,'Catálogo'!$Q:$Q),0)),"Medidas: "&amp;INDEX('Catálogo'!$R:$R,MATCH($B$3&amp;"|"&amp;43,IF($B$3="TODAS",'Catálogo'!$U:$U,'Catálogo'!$Q:$Q),0))&amp;"  ·  Cód: "&amp;INDEX('Catálogo'!$A:$A,MATCH($B$3&amp;"|"&amp;43,IF($B$3="TODAS",'Catálogo'!$U:$U,'Catálogo'!$Q:$Q),0))),"")</f>
      </c>
      <c r="D48" s="42">
        <f>IFERROR(IF($D$3="Mayor",INDEX('Catálogo'!$O:$O,MATCH($B$3&amp;"|"&amp;43,IF($B$3="TODAS",'Catálogo'!$U:$U,'Catálogo'!$Q:$Q),0)),INDEX('Catálogo'!$N:$N,MATCH($B$3&amp;"|"&amp;43,IF($B$3="TODAS",'Catálogo'!$U:$U,'Catálogo'!$Q:$Q),0))),"")</f>
      </c>
    </row>
    <row r="49" ht="90.00" customHeight="1">
      <c r="A49" s="39">
        <f>IFERROR(IF(INDEX('Catálogo'!$M:$M,MATCH($B$3&amp;"|"&amp;44,IF($B$3="TODAS",'Catálogo'!$U:$U,'Catálogo'!$Q:$Q),0))="","",IMAGE(INDEX('Catálogo'!$M:$M,MATCH($B$3&amp;"|"&amp;44,IF($B$3="TODAS",'Catálogo'!$U:$U,'Catálogo'!$Q:$Q),0)),1)),"")</f>
      </c>
      <c r="B49" s="40">
        <f>IFERROR(INDEX('Catálogo'!$B:$B,MATCH($B$3&amp;"|"&amp;44,IF($B$3="TODAS",'Catálogo'!$U:$U,'Catálogo'!$Q:$Q),0)),"")</f>
      </c>
      <c r="C49" s="41">
        <f>IFERROR(IF(INDEX('Catálogo'!$R:$R,MATCH($B$3&amp;"|"&amp;44,IF($B$3="TODAS",'Catálogo'!$U:$U,'Catálogo'!$Q:$Q),0))="","Cód: "&amp;INDEX('Catálogo'!$A:$A,MATCH($B$3&amp;"|"&amp;44,IF($B$3="TODAS",'Catálogo'!$U:$U,'Catálogo'!$Q:$Q),0)),"Medidas: "&amp;INDEX('Catálogo'!$R:$R,MATCH($B$3&amp;"|"&amp;44,IF($B$3="TODAS",'Catálogo'!$U:$U,'Catálogo'!$Q:$Q),0))&amp;"  ·  Cód: "&amp;INDEX('Catálogo'!$A:$A,MATCH($B$3&amp;"|"&amp;44,IF($B$3="TODAS",'Catálogo'!$U:$U,'Catálogo'!$Q:$Q),0))),"")</f>
      </c>
      <c r="D49" s="42">
        <f>IFERROR(IF($D$3="Mayor",INDEX('Catálogo'!$O:$O,MATCH($B$3&amp;"|"&amp;44,IF($B$3="TODAS",'Catálogo'!$U:$U,'Catálogo'!$Q:$Q),0)),INDEX('Catálogo'!$N:$N,MATCH($B$3&amp;"|"&amp;44,IF($B$3="TODAS",'Catálogo'!$U:$U,'Catálogo'!$Q:$Q),0))),"")</f>
      </c>
    </row>
    <row r="50" ht="90.00" customHeight="1">
      <c r="A50" s="39">
        <f>IFERROR(IF(INDEX('Catálogo'!$M:$M,MATCH($B$3&amp;"|"&amp;45,IF($B$3="TODAS",'Catálogo'!$U:$U,'Catálogo'!$Q:$Q),0))="","",IMAGE(INDEX('Catálogo'!$M:$M,MATCH($B$3&amp;"|"&amp;45,IF($B$3="TODAS",'Catálogo'!$U:$U,'Catálogo'!$Q:$Q),0)),1)),"")</f>
      </c>
      <c r="B50" s="40">
        <f>IFERROR(INDEX('Catálogo'!$B:$B,MATCH($B$3&amp;"|"&amp;45,IF($B$3="TODAS",'Catálogo'!$U:$U,'Catálogo'!$Q:$Q),0)),"")</f>
      </c>
      <c r="C50" s="41">
        <f>IFERROR(IF(INDEX('Catálogo'!$R:$R,MATCH($B$3&amp;"|"&amp;45,IF($B$3="TODAS",'Catálogo'!$U:$U,'Catálogo'!$Q:$Q),0))="","Cód: "&amp;INDEX('Catálogo'!$A:$A,MATCH($B$3&amp;"|"&amp;45,IF($B$3="TODAS",'Catálogo'!$U:$U,'Catálogo'!$Q:$Q),0)),"Medidas: "&amp;INDEX('Catálogo'!$R:$R,MATCH($B$3&amp;"|"&amp;45,IF($B$3="TODAS",'Catálogo'!$U:$U,'Catálogo'!$Q:$Q),0))&amp;"  ·  Cód: "&amp;INDEX('Catálogo'!$A:$A,MATCH($B$3&amp;"|"&amp;45,IF($B$3="TODAS",'Catálogo'!$U:$U,'Catálogo'!$Q:$Q),0))),"")</f>
      </c>
      <c r="D50" s="42">
        <f>IFERROR(IF($D$3="Mayor",INDEX('Catálogo'!$O:$O,MATCH($B$3&amp;"|"&amp;45,IF($B$3="TODAS",'Catálogo'!$U:$U,'Catálogo'!$Q:$Q),0)),INDEX('Catálogo'!$N:$N,MATCH($B$3&amp;"|"&amp;45,IF($B$3="TODAS",'Catálogo'!$U:$U,'Catálogo'!$Q:$Q),0))),"")</f>
      </c>
    </row>
    <row r="51" ht="90.00" customHeight="1">
      <c r="A51" s="39">
        <f>IFERROR(IF(INDEX('Catálogo'!$M:$M,MATCH($B$3&amp;"|"&amp;46,IF($B$3="TODAS",'Catálogo'!$U:$U,'Catálogo'!$Q:$Q),0))="","",IMAGE(INDEX('Catálogo'!$M:$M,MATCH($B$3&amp;"|"&amp;46,IF($B$3="TODAS",'Catálogo'!$U:$U,'Catálogo'!$Q:$Q),0)),1)),"")</f>
      </c>
      <c r="B51" s="40">
        <f>IFERROR(INDEX('Catálogo'!$B:$B,MATCH($B$3&amp;"|"&amp;46,IF($B$3="TODAS",'Catálogo'!$U:$U,'Catálogo'!$Q:$Q),0)),"")</f>
      </c>
      <c r="C51" s="41">
        <f>IFERROR(IF(INDEX('Catálogo'!$R:$R,MATCH($B$3&amp;"|"&amp;46,IF($B$3="TODAS",'Catálogo'!$U:$U,'Catálogo'!$Q:$Q),0))="","Cód: "&amp;INDEX('Catálogo'!$A:$A,MATCH($B$3&amp;"|"&amp;46,IF($B$3="TODAS",'Catálogo'!$U:$U,'Catálogo'!$Q:$Q),0)),"Medidas: "&amp;INDEX('Catálogo'!$R:$R,MATCH($B$3&amp;"|"&amp;46,IF($B$3="TODAS",'Catálogo'!$U:$U,'Catálogo'!$Q:$Q),0))&amp;"  ·  Cód: "&amp;INDEX('Catálogo'!$A:$A,MATCH($B$3&amp;"|"&amp;46,IF($B$3="TODAS",'Catálogo'!$U:$U,'Catálogo'!$Q:$Q),0))),"")</f>
      </c>
      <c r="D51" s="42">
        <f>IFERROR(IF($D$3="Mayor",INDEX('Catálogo'!$O:$O,MATCH($B$3&amp;"|"&amp;46,IF($B$3="TODAS",'Catálogo'!$U:$U,'Catálogo'!$Q:$Q),0)),INDEX('Catálogo'!$N:$N,MATCH($B$3&amp;"|"&amp;46,IF($B$3="TODAS",'Catálogo'!$U:$U,'Catálogo'!$Q:$Q),0))),"")</f>
      </c>
    </row>
    <row r="52" ht="90.00" customHeight="1">
      <c r="A52" s="39">
        <f>IFERROR(IF(INDEX('Catálogo'!$M:$M,MATCH($B$3&amp;"|"&amp;47,IF($B$3="TODAS",'Catálogo'!$U:$U,'Catálogo'!$Q:$Q),0))="","",IMAGE(INDEX('Catálogo'!$M:$M,MATCH($B$3&amp;"|"&amp;47,IF($B$3="TODAS",'Catálogo'!$U:$U,'Catálogo'!$Q:$Q),0)),1)),"")</f>
      </c>
      <c r="B52" s="40">
        <f>IFERROR(INDEX('Catálogo'!$B:$B,MATCH($B$3&amp;"|"&amp;47,IF($B$3="TODAS",'Catálogo'!$U:$U,'Catálogo'!$Q:$Q),0)),"")</f>
      </c>
      <c r="C52" s="41">
        <f>IFERROR(IF(INDEX('Catálogo'!$R:$R,MATCH($B$3&amp;"|"&amp;47,IF($B$3="TODAS",'Catálogo'!$U:$U,'Catálogo'!$Q:$Q),0))="","Cód: "&amp;INDEX('Catálogo'!$A:$A,MATCH($B$3&amp;"|"&amp;47,IF($B$3="TODAS",'Catálogo'!$U:$U,'Catálogo'!$Q:$Q),0)),"Medidas: "&amp;INDEX('Catálogo'!$R:$R,MATCH($B$3&amp;"|"&amp;47,IF($B$3="TODAS",'Catálogo'!$U:$U,'Catálogo'!$Q:$Q),0))&amp;"  ·  Cód: "&amp;INDEX('Catálogo'!$A:$A,MATCH($B$3&amp;"|"&amp;47,IF($B$3="TODAS",'Catálogo'!$U:$U,'Catálogo'!$Q:$Q),0))),"")</f>
      </c>
      <c r="D52" s="42">
        <f>IFERROR(IF($D$3="Mayor",INDEX('Catálogo'!$O:$O,MATCH($B$3&amp;"|"&amp;47,IF($B$3="TODAS",'Catálogo'!$U:$U,'Catálogo'!$Q:$Q),0)),INDEX('Catálogo'!$N:$N,MATCH($B$3&amp;"|"&amp;47,IF($B$3="TODAS",'Catálogo'!$U:$U,'Catálogo'!$Q:$Q),0))),"")</f>
      </c>
    </row>
    <row r="53" ht="90.00" customHeight="1">
      <c r="A53" s="39">
        <f>IFERROR(IF(INDEX('Catálogo'!$M:$M,MATCH($B$3&amp;"|"&amp;48,IF($B$3="TODAS",'Catálogo'!$U:$U,'Catálogo'!$Q:$Q),0))="","",IMAGE(INDEX('Catálogo'!$M:$M,MATCH($B$3&amp;"|"&amp;48,IF($B$3="TODAS",'Catálogo'!$U:$U,'Catálogo'!$Q:$Q),0)),1)),"")</f>
      </c>
      <c r="B53" s="40">
        <f>IFERROR(INDEX('Catálogo'!$B:$B,MATCH($B$3&amp;"|"&amp;48,IF($B$3="TODAS",'Catálogo'!$U:$U,'Catálogo'!$Q:$Q),0)),"")</f>
      </c>
      <c r="C53" s="41">
        <f>IFERROR(IF(INDEX('Catálogo'!$R:$R,MATCH($B$3&amp;"|"&amp;48,IF($B$3="TODAS",'Catálogo'!$U:$U,'Catálogo'!$Q:$Q),0))="","Cód: "&amp;INDEX('Catálogo'!$A:$A,MATCH($B$3&amp;"|"&amp;48,IF($B$3="TODAS",'Catálogo'!$U:$U,'Catálogo'!$Q:$Q),0)),"Medidas: "&amp;INDEX('Catálogo'!$R:$R,MATCH($B$3&amp;"|"&amp;48,IF($B$3="TODAS",'Catálogo'!$U:$U,'Catálogo'!$Q:$Q),0))&amp;"  ·  Cód: "&amp;INDEX('Catálogo'!$A:$A,MATCH($B$3&amp;"|"&amp;48,IF($B$3="TODAS",'Catálogo'!$U:$U,'Catálogo'!$Q:$Q),0))),"")</f>
      </c>
      <c r="D53" s="42">
        <f>IFERROR(IF($D$3="Mayor",INDEX('Catálogo'!$O:$O,MATCH($B$3&amp;"|"&amp;48,IF($B$3="TODAS",'Catálogo'!$U:$U,'Catálogo'!$Q:$Q),0)),INDEX('Catálogo'!$N:$N,MATCH($B$3&amp;"|"&amp;48,IF($B$3="TODAS",'Catálogo'!$U:$U,'Catálogo'!$Q:$Q),0))),"")</f>
      </c>
    </row>
    <row r="54" ht="90.00" customHeight="1">
      <c r="A54" s="39">
        <f>IFERROR(IF(INDEX('Catálogo'!$M:$M,MATCH($B$3&amp;"|"&amp;49,IF($B$3="TODAS",'Catálogo'!$U:$U,'Catálogo'!$Q:$Q),0))="","",IMAGE(INDEX('Catálogo'!$M:$M,MATCH($B$3&amp;"|"&amp;49,IF($B$3="TODAS",'Catálogo'!$U:$U,'Catálogo'!$Q:$Q),0)),1)),"")</f>
      </c>
      <c r="B54" s="40">
        <f>IFERROR(INDEX('Catálogo'!$B:$B,MATCH($B$3&amp;"|"&amp;49,IF($B$3="TODAS",'Catálogo'!$U:$U,'Catálogo'!$Q:$Q),0)),"")</f>
      </c>
      <c r="C54" s="41">
        <f>IFERROR(IF(INDEX('Catálogo'!$R:$R,MATCH($B$3&amp;"|"&amp;49,IF($B$3="TODAS",'Catálogo'!$U:$U,'Catálogo'!$Q:$Q),0))="","Cód: "&amp;INDEX('Catálogo'!$A:$A,MATCH($B$3&amp;"|"&amp;49,IF($B$3="TODAS",'Catálogo'!$U:$U,'Catálogo'!$Q:$Q),0)),"Medidas: "&amp;INDEX('Catálogo'!$R:$R,MATCH($B$3&amp;"|"&amp;49,IF($B$3="TODAS",'Catálogo'!$U:$U,'Catálogo'!$Q:$Q),0))&amp;"  ·  Cód: "&amp;INDEX('Catálogo'!$A:$A,MATCH($B$3&amp;"|"&amp;49,IF($B$3="TODAS",'Catálogo'!$U:$U,'Catálogo'!$Q:$Q),0))),"")</f>
      </c>
      <c r="D54" s="42">
        <f>IFERROR(IF($D$3="Mayor",INDEX('Catálogo'!$O:$O,MATCH($B$3&amp;"|"&amp;49,IF($B$3="TODAS",'Catálogo'!$U:$U,'Catálogo'!$Q:$Q),0)),INDEX('Catálogo'!$N:$N,MATCH($B$3&amp;"|"&amp;49,IF($B$3="TODAS",'Catálogo'!$U:$U,'Catálogo'!$Q:$Q),0))),"")</f>
      </c>
    </row>
    <row r="55" ht="90.00" customHeight="1">
      <c r="A55" s="39">
        <f>IFERROR(IF(INDEX('Catálogo'!$M:$M,MATCH($B$3&amp;"|"&amp;50,IF($B$3="TODAS",'Catálogo'!$U:$U,'Catálogo'!$Q:$Q),0))="","",IMAGE(INDEX('Catálogo'!$M:$M,MATCH($B$3&amp;"|"&amp;50,IF($B$3="TODAS",'Catálogo'!$U:$U,'Catálogo'!$Q:$Q),0)),1)),"")</f>
      </c>
      <c r="B55" s="40">
        <f>IFERROR(INDEX('Catálogo'!$B:$B,MATCH($B$3&amp;"|"&amp;50,IF($B$3="TODAS",'Catálogo'!$U:$U,'Catálogo'!$Q:$Q),0)),"")</f>
      </c>
      <c r="C55" s="41">
        <f>IFERROR(IF(INDEX('Catálogo'!$R:$R,MATCH($B$3&amp;"|"&amp;50,IF($B$3="TODAS",'Catálogo'!$U:$U,'Catálogo'!$Q:$Q),0))="","Cód: "&amp;INDEX('Catálogo'!$A:$A,MATCH($B$3&amp;"|"&amp;50,IF($B$3="TODAS",'Catálogo'!$U:$U,'Catálogo'!$Q:$Q),0)),"Medidas: "&amp;INDEX('Catálogo'!$R:$R,MATCH($B$3&amp;"|"&amp;50,IF($B$3="TODAS",'Catálogo'!$U:$U,'Catálogo'!$Q:$Q),0))&amp;"  ·  Cód: "&amp;INDEX('Catálogo'!$A:$A,MATCH($B$3&amp;"|"&amp;50,IF($B$3="TODAS",'Catálogo'!$U:$U,'Catálogo'!$Q:$Q),0))),"")</f>
      </c>
      <c r="D55" s="42">
        <f>IFERROR(IF($D$3="Mayor",INDEX('Catálogo'!$O:$O,MATCH($B$3&amp;"|"&amp;50,IF($B$3="TODAS",'Catálogo'!$U:$U,'Catálogo'!$Q:$Q),0)),INDEX('Catálogo'!$N:$N,MATCH($B$3&amp;"|"&amp;50,IF($B$3="TODAS",'Catálogo'!$U:$U,'Catálogo'!$Q:$Q),0))),"")</f>
      </c>
    </row>
    <row r="56" ht="90.00" customHeight="1">
      <c r="A56" s="39">
        <f>IFERROR(IF(INDEX('Catálogo'!$M:$M,MATCH($B$3&amp;"|"&amp;51,IF($B$3="TODAS",'Catálogo'!$U:$U,'Catálogo'!$Q:$Q),0))="","",IMAGE(INDEX('Catálogo'!$M:$M,MATCH($B$3&amp;"|"&amp;51,IF($B$3="TODAS",'Catálogo'!$U:$U,'Catálogo'!$Q:$Q),0)),1)),"")</f>
      </c>
      <c r="B56" s="40">
        <f>IFERROR(INDEX('Catálogo'!$B:$B,MATCH($B$3&amp;"|"&amp;51,IF($B$3="TODAS",'Catálogo'!$U:$U,'Catálogo'!$Q:$Q),0)),"")</f>
      </c>
      <c r="C56" s="41">
        <f>IFERROR(IF(INDEX('Catálogo'!$R:$R,MATCH($B$3&amp;"|"&amp;51,IF($B$3="TODAS",'Catálogo'!$U:$U,'Catálogo'!$Q:$Q),0))="","Cód: "&amp;INDEX('Catálogo'!$A:$A,MATCH($B$3&amp;"|"&amp;51,IF($B$3="TODAS",'Catálogo'!$U:$U,'Catálogo'!$Q:$Q),0)),"Medidas: "&amp;INDEX('Catálogo'!$R:$R,MATCH($B$3&amp;"|"&amp;51,IF($B$3="TODAS",'Catálogo'!$U:$U,'Catálogo'!$Q:$Q),0))&amp;"  ·  Cód: "&amp;INDEX('Catálogo'!$A:$A,MATCH($B$3&amp;"|"&amp;51,IF($B$3="TODAS",'Catálogo'!$U:$U,'Catálogo'!$Q:$Q),0))),"")</f>
      </c>
      <c r="D56" s="42">
        <f>IFERROR(IF($D$3="Mayor",INDEX('Catálogo'!$O:$O,MATCH($B$3&amp;"|"&amp;51,IF($B$3="TODAS",'Catálogo'!$U:$U,'Catálogo'!$Q:$Q),0)),INDEX('Catálogo'!$N:$N,MATCH($B$3&amp;"|"&amp;51,IF($B$3="TODAS",'Catálogo'!$U:$U,'Catálogo'!$Q:$Q),0))),"")</f>
      </c>
    </row>
    <row r="57" ht="90.00" customHeight="1">
      <c r="A57" s="39">
        <f>IFERROR(IF(INDEX('Catálogo'!$M:$M,MATCH($B$3&amp;"|"&amp;52,IF($B$3="TODAS",'Catálogo'!$U:$U,'Catálogo'!$Q:$Q),0))="","",IMAGE(INDEX('Catálogo'!$M:$M,MATCH($B$3&amp;"|"&amp;52,IF($B$3="TODAS",'Catálogo'!$U:$U,'Catálogo'!$Q:$Q),0)),1)),"")</f>
      </c>
      <c r="B57" s="40">
        <f>IFERROR(INDEX('Catálogo'!$B:$B,MATCH($B$3&amp;"|"&amp;52,IF($B$3="TODAS",'Catálogo'!$U:$U,'Catálogo'!$Q:$Q),0)),"")</f>
      </c>
      <c r="C57" s="41">
        <f>IFERROR(IF(INDEX('Catálogo'!$R:$R,MATCH($B$3&amp;"|"&amp;52,IF($B$3="TODAS",'Catálogo'!$U:$U,'Catálogo'!$Q:$Q),0))="","Cód: "&amp;INDEX('Catálogo'!$A:$A,MATCH($B$3&amp;"|"&amp;52,IF($B$3="TODAS",'Catálogo'!$U:$U,'Catálogo'!$Q:$Q),0)),"Medidas: "&amp;INDEX('Catálogo'!$R:$R,MATCH($B$3&amp;"|"&amp;52,IF($B$3="TODAS",'Catálogo'!$U:$U,'Catálogo'!$Q:$Q),0))&amp;"  ·  Cód: "&amp;INDEX('Catálogo'!$A:$A,MATCH($B$3&amp;"|"&amp;52,IF($B$3="TODAS",'Catálogo'!$U:$U,'Catálogo'!$Q:$Q),0))),"")</f>
      </c>
      <c r="D57" s="42">
        <f>IFERROR(IF($D$3="Mayor",INDEX('Catálogo'!$O:$O,MATCH($B$3&amp;"|"&amp;52,IF($B$3="TODAS",'Catálogo'!$U:$U,'Catálogo'!$Q:$Q),0)),INDEX('Catálogo'!$N:$N,MATCH($B$3&amp;"|"&amp;52,IF($B$3="TODAS",'Catálogo'!$U:$U,'Catálogo'!$Q:$Q),0))),"")</f>
      </c>
    </row>
    <row r="58" ht="90.00" customHeight="1">
      <c r="A58" s="39">
        <f>IFERROR(IF(INDEX('Catálogo'!$M:$M,MATCH($B$3&amp;"|"&amp;53,IF($B$3="TODAS",'Catálogo'!$U:$U,'Catálogo'!$Q:$Q),0))="","",IMAGE(INDEX('Catálogo'!$M:$M,MATCH($B$3&amp;"|"&amp;53,IF($B$3="TODAS",'Catálogo'!$U:$U,'Catálogo'!$Q:$Q),0)),1)),"")</f>
      </c>
      <c r="B58" s="40">
        <f>IFERROR(INDEX('Catálogo'!$B:$B,MATCH($B$3&amp;"|"&amp;53,IF($B$3="TODAS",'Catálogo'!$U:$U,'Catálogo'!$Q:$Q),0)),"")</f>
      </c>
      <c r="C58" s="41">
        <f>IFERROR(IF(INDEX('Catálogo'!$R:$R,MATCH($B$3&amp;"|"&amp;53,IF($B$3="TODAS",'Catálogo'!$U:$U,'Catálogo'!$Q:$Q),0))="","Cód: "&amp;INDEX('Catálogo'!$A:$A,MATCH($B$3&amp;"|"&amp;53,IF($B$3="TODAS",'Catálogo'!$U:$U,'Catálogo'!$Q:$Q),0)),"Medidas: "&amp;INDEX('Catálogo'!$R:$R,MATCH($B$3&amp;"|"&amp;53,IF($B$3="TODAS",'Catálogo'!$U:$U,'Catálogo'!$Q:$Q),0))&amp;"  ·  Cód: "&amp;INDEX('Catálogo'!$A:$A,MATCH($B$3&amp;"|"&amp;53,IF($B$3="TODAS",'Catálogo'!$U:$U,'Catálogo'!$Q:$Q),0))),"")</f>
      </c>
      <c r="D58" s="42">
        <f>IFERROR(IF($D$3="Mayor",INDEX('Catálogo'!$O:$O,MATCH($B$3&amp;"|"&amp;53,IF($B$3="TODAS",'Catálogo'!$U:$U,'Catálogo'!$Q:$Q),0)),INDEX('Catálogo'!$N:$N,MATCH($B$3&amp;"|"&amp;53,IF($B$3="TODAS",'Catálogo'!$U:$U,'Catálogo'!$Q:$Q),0))),"")</f>
      </c>
    </row>
    <row r="59" ht="90.00" customHeight="1">
      <c r="A59" s="39">
        <f>IFERROR(IF(INDEX('Catálogo'!$M:$M,MATCH($B$3&amp;"|"&amp;54,IF($B$3="TODAS",'Catálogo'!$U:$U,'Catálogo'!$Q:$Q),0))="","",IMAGE(INDEX('Catálogo'!$M:$M,MATCH($B$3&amp;"|"&amp;54,IF($B$3="TODAS",'Catálogo'!$U:$U,'Catálogo'!$Q:$Q),0)),1)),"")</f>
      </c>
      <c r="B59" s="40">
        <f>IFERROR(INDEX('Catálogo'!$B:$B,MATCH($B$3&amp;"|"&amp;54,IF($B$3="TODAS",'Catálogo'!$U:$U,'Catálogo'!$Q:$Q),0)),"")</f>
      </c>
      <c r="C59" s="41">
        <f>IFERROR(IF(INDEX('Catálogo'!$R:$R,MATCH($B$3&amp;"|"&amp;54,IF($B$3="TODAS",'Catálogo'!$U:$U,'Catálogo'!$Q:$Q),0))="","Cód: "&amp;INDEX('Catálogo'!$A:$A,MATCH($B$3&amp;"|"&amp;54,IF($B$3="TODAS",'Catálogo'!$U:$U,'Catálogo'!$Q:$Q),0)),"Medidas: "&amp;INDEX('Catálogo'!$R:$R,MATCH($B$3&amp;"|"&amp;54,IF($B$3="TODAS",'Catálogo'!$U:$U,'Catálogo'!$Q:$Q),0))&amp;"  ·  Cód: "&amp;INDEX('Catálogo'!$A:$A,MATCH($B$3&amp;"|"&amp;54,IF($B$3="TODAS",'Catálogo'!$U:$U,'Catálogo'!$Q:$Q),0))),"")</f>
      </c>
      <c r="D59" s="42">
        <f>IFERROR(IF($D$3="Mayor",INDEX('Catálogo'!$O:$O,MATCH($B$3&amp;"|"&amp;54,IF($B$3="TODAS",'Catálogo'!$U:$U,'Catálogo'!$Q:$Q),0)),INDEX('Catálogo'!$N:$N,MATCH($B$3&amp;"|"&amp;54,IF($B$3="TODAS",'Catálogo'!$U:$U,'Catálogo'!$Q:$Q),0))),"")</f>
      </c>
    </row>
    <row r="60" ht="90.00" customHeight="1">
      <c r="A60" s="39">
        <f>IFERROR(IF(INDEX('Catálogo'!$M:$M,MATCH($B$3&amp;"|"&amp;55,IF($B$3="TODAS",'Catálogo'!$U:$U,'Catálogo'!$Q:$Q),0))="","",IMAGE(INDEX('Catálogo'!$M:$M,MATCH($B$3&amp;"|"&amp;55,IF($B$3="TODAS",'Catálogo'!$U:$U,'Catálogo'!$Q:$Q),0)),1)),"")</f>
      </c>
      <c r="B60" s="40">
        <f>IFERROR(INDEX('Catálogo'!$B:$B,MATCH($B$3&amp;"|"&amp;55,IF($B$3="TODAS",'Catálogo'!$U:$U,'Catálogo'!$Q:$Q),0)),"")</f>
      </c>
      <c r="C60" s="41">
        <f>IFERROR(IF(INDEX('Catálogo'!$R:$R,MATCH($B$3&amp;"|"&amp;55,IF($B$3="TODAS",'Catálogo'!$U:$U,'Catálogo'!$Q:$Q),0))="","Cód: "&amp;INDEX('Catálogo'!$A:$A,MATCH($B$3&amp;"|"&amp;55,IF($B$3="TODAS",'Catálogo'!$U:$U,'Catálogo'!$Q:$Q),0)),"Medidas: "&amp;INDEX('Catálogo'!$R:$R,MATCH($B$3&amp;"|"&amp;55,IF($B$3="TODAS",'Catálogo'!$U:$U,'Catálogo'!$Q:$Q),0))&amp;"  ·  Cód: "&amp;INDEX('Catálogo'!$A:$A,MATCH($B$3&amp;"|"&amp;55,IF($B$3="TODAS",'Catálogo'!$U:$U,'Catálogo'!$Q:$Q),0))),"")</f>
      </c>
      <c r="D60" s="42">
        <f>IFERROR(IF($D$3="Mayor",INDEX('Catálogo'!$O:$O,MATCH($B$3&amp;"|"&amp;55,IF($B$3="TODAS",'Catálogo'!$U:$U,'Catálogo'!$Q:$Q),0)),INDEX('Catálogo'!$N:$N,MATCH($B$3&amp;"|"&amp;55,IF($B$3="TODAS",'Catálogo'!$U:$U,'Catálogo'!$Q:$Q),0))),"")</f>
      </c>
    </row>
    <row r="61" ht="90.00" customHeight="1">
      <c r="A61" s="39">
        <f>IFERROR(IF(INDEX('Catálogo'!$M:$M,MATCH($B$3&amp;"|"&amp;56,IF($B$3="TODAS",'Catálogo'!$U:$U,'Catálogo'!$Q:$Q),0))="","",IMAGE(INDEX('Catálogo'!$M:$M,MATCH($B$3&amp;"|"&amp;56,IF($B$3="TODAS",'Catálogo'!$U:$U,'Catálogo'!$Q:$Q),0)),1)),"")</f>
      </c>
      <c r="B61" s="40">
        <f>IFERROR(INDEX('Catálogo'!$B:$B,MATCH($B$3&amp;"|"&amp;56,IF($B$3="TODAS",'Catálogo'!$U:$U,'Catálogo'!$Q:$Q),0)),"")</f>
      </c>
      <c r="C61" s="41">
        <f>IFERROR(IF(INDEX('Catálogo'!$R:$R,MATCH($B$3&amp;"|"&amp;56,IF($B$3="TODAS",'Catálogo'!$U:$U,'Catálogo'!$Q:$Q),0))="","Cód: "&amp;INDEX('Catálogo'!$A:$A,MATCH($B$3&amp;"|"&amp;56,IF($B$3="TODAS",'Catálogo'!$U:$U,'Catálogo'!$Q:$Q),0)),"Medidas: "&amp;INDEX('Catálogo'!$R:$R,MATCH($B$3&amp;"|"&amp;56,IF($B$3="TODAS",'Catálogo'!$U:$U,'Catálogo'!$Q:$Q),0))&amp;"  ·  Cód: "&amp;INDEX('Catálogo'!$A:$A,MATCH($B$3&amp;"|"&amp;56,IF($B$3="TODAS",'Catálogo'!$U:$U,'Catálogo'!$Q:$Q),0))),"")</f>
      </c>
      <c r="D61" s="42">
        <f>IFERROR(IF($D$3="Mayor",INDEX('Catálogo'!$O:$O,MATCH($B$3&amp;"|"&amp;56,IF($B$3="TODAS",'Catálogo'!$U:$U,'Catálogo'!$Q:$Q),0)),INDEX('Catálogo'!$N:$N,MATCH($B$3&amp;"|"&amp;56,IF($B$3="TODAS",'Catálogo'!$U:$U,'Catálogo'!$Q:$Q),0))),"")</f>
      </c>
    </row>
    <row r="62" ht="90.00" customHeight="1">
      <c r="A62" s="39">
        <f>IFERROR(IF(INDEX('Catálogo'!$M:$M,MATCH($B$3&amp;"|"&amp;57,IF($B$3="TODAS",'Catálogo'!$U:$U,'Catálogo'!$Q:$Q),0))="","",IMAGE(INDEX('Catálogo'!$M:$M,MATCH($B$3&amp;"|"&amp;57,IF($B$3="TODAS",'Catálogo'!$U:$U,'Catálogo'!$Q:$Q),0)),1)),"")</f>
      </c>
      <c r="B62" s="40">
        <f>IFERROR(INDEX('Catálogo'!$B:$B,MATCH($B$3&amp;"|"&amp;57,IF($B$3="TODAS",'Catálogo'!$U:$U,'Catálogo'!$Q:$Q),0)),"")</f>
      </c>
      <c r="C62" s="41">
        <f>IFERROR(IF(INDEX('Catálogo'!$R:$R,MATCH($B$3&amp;"|"&amp;57,IF($B$3="TODAS",'Catálogo'!$U:$U,'Catálogo'!$Q:$Q),0))="","Cód: "&amp;INDEX('Catálogo'!$A:$A,MATCH($B$3&amp;"|"&amp;57,IF($B$3="TODAS",'Catálogo'!$U:$U,'Catálogo'!$Q:$Q),0)),"Medidas: "&amp;INDEX('Catálogo'!$R:$R,MATCH($B$3&amp;"|"&amp;57,IF($B$3="TODAS",'Catálogo'!$U:$U,'Catálogo'!$Q:$Q),0))&amp;"  ·  Cód: "&amp;INDEX('Catálogo'!$A:$A,MATCH($B$3&amp;"|"&amp;57,IF($B$3="TODAS",'Catálogo'!$U:$U,'Catálogo'!$Q:$Q),0))),"")</f>
      </c>
      <c r="D62" s="42">
        <f>IFERROR(IF($D$3="Mayor",INDEX('Catálogo'!$O:$O,MATCH($B$3&amp;"|"&amp;57,IF($B$3="TODAS",'Catálogo'!$U:$U,'Catálogo'!$Q:$Q),0)),INDEX('Catálogo'!$N:$N,MATCH($B$3&amp;"|"&amp;57,IF($B$3="TODAS",'Catálogo'!$U:$U,'Catálogo'!$Q:$Q),0))),"")</f>
      </c>
    </row>
    <row r="63" ht="90.00" customHeight="1">
      <c r="A63" s="39">
        <f>IFERROR(IF(INDEX('Catálogo'!$M:$M,MATCH($B$3&amp;"|"&amp;58,IF($B$3="TODAS",'Catálogo'!$U:$U,'Catálogo'!$Q:$Q),0))="","",IMAGE(INDEX('Catálogo'!$M:$M,MATCH($B$3&amp;"|"&amp;58,IF($B$3="TODAS",'Catálogo'!$U:$U,'Catálogo'!$Q:$Q),0)),1)),"")</f>
      </c>
      <c r="B63" s="40">
        <f>IFERROR(INDEX('Catálogo'!$B:$B,MATCH($B$3&amp;"|"&amp;58,IF($B$3="TODAS",'Catálogo'!$U:$U,'Catálogo'!$Q:$Q),0)),"")</f>
      </c>
      <c r="C63" s="41">
        <f>IFERROR(IF(INDEX('Catálogo'!$R:$R,MATCH($B$3&amp;"|"&amp;58,IF($B$3="TODAS",'Catálogo'!$U:$U,'Catálogo'!$Q:$Q),0))="","Cód: "&amp;INDEX('Catálogo'!$A:$A,MATCH($B$3&amp;"|"&amp;58,IF($B$3="TODAS",'Catálogo'!$U:$U,'Catálogo'!$Q:$Q),0)),"Medidas: "&amp;INDEX('Catálogo'!$R:$R,MATCH($B$3&amp;"|"&amp;58,IF($B$3="TODAS",'Catálogo'!$U:$U,'Catálogo'!$Q:$Q),0))&amp;"  ·  Cód: "&amp;INDEX('Catálogo'!$A:$A,MATCH($B$3&amp;"|"&amp;58,IF($B$3="TODAS",'Catálogo'!$U:$U,'Catálogo'!$Q:$Q),0))),"")</f>
      </c>
      <c r="D63" s="42">
        <f>IFERROR(IF($D$3="Mayor",INDEX('Catálogo'!$O:$O,MATCH($B$3&amp;"|"&amp;58,IF($B$3="TODAS",'Catálogo'!$U:$U,'Catálogo'!$Q:$Q),0)),INDEX('Catálogo'!$N:$N,MATCH($B$3&amp;"|"&amp;58,IF($B$3="TODAS",'Catálogo'!$U:$U,'Catálogo'!$Q:$Q),0))),"")</f>
      </c>
    </row>
    <row r="64" ht="90.00" customHeight="1">
      <c r="A64" s="39">
        <f>IFERROR(IF(INDEX('Catálogo'!$M:$M,MATCH($B$3&amp;"|"&amp;59,IF($B$3="TODAS",'Catálogo'!$U:$U,'Catálogo'!$Q:$Q),0))="","",IMAGE(INDEX('Catálogo'!$M:$M,MATCH($B$3&amp;"|"&amp;59,IF($B$3="TODAS",'Catálogo'!$U:$U,'Catálogo'!$Q:$Q),0)),1)),"")</f>
      </c>
      <c r="B64" s="40">
        <f>IFERROR(INDEX('Catálogo'!$B:$B,MATCH($B$3&amp;"|"&amp;59,IF($B$3="TODAS",'Catálogo'!$U:$U,'Catálogo'!$Q:$Q),0)),"")</f>
      </c>
      <c r="C64" s="41">
        <f>IFERROR(IF(INDEX('Catálogo'!$R:$R,MATCH($B$3&amp;"|"&amp;59,IF($B$3="TODAS",'Catálogo'!$U:$U,'Catálogo'!$Q:$Q),0))="","Cód: "&amp;INDEX('Catálogo'!$A:$A,MATCH($B$3&amp;"|"&amp;59,IF($B$3="TODAS",'Catálogo'!$U:$U,'Catálogo'!$Q:$Q),0)),"Medidas: "&amp;INDEX('Catálogo'!$R:$R,MATCH($B$3&amp;"|"&amp;59,IF($B$3="TODAS",'Catálogo'!$U:$U,'Catálogo'!$Q:$Q),0))&amp;"  ·  Cód: "&amp;INDEX('Catálogo'!$A:$A,MATCH($B$3&amp;"|"&amp;59,IF($B$3="TODAS",'Catálogo'!$U:$U,'Catálogo'!$Q:$Q),0))),"")</f>
      </c>
      <c r="D64" s="42">
        <f>IFERROR(IF($D$3="Mayor",INDEX('Catálogo'!$O:$O,MATCH($B$3&amp;"|"&amp;59,IF($B$3="TODAS",'Catálogo'!$U:$U,'Catálogo'!$Q:$Q),0)),INDEX('Catálogo'!$N:$N,MATCH($B$3&amp;"|"&amp;59,IF($B$3="TODAS",'Catálogo'!$U:$U,'Catálogo'!$Q:$Q),0))),"")</f>
      </c>
    </row>
    <row r="65" ht="90.00" customHeight="1">
      <c r="A65" s="39">
        <f>IFERROR(IF(INDEX('Catálogo'!$M:$M,MATCH($B$3&amp;"|"&amp;60,IF($B$3="TODAS",'Catálogo'!$U:$U,'Catálogo'!$Q:$Q),0))="","",IMAGE(INDEX('Catálogo'!$M:$M,MATCH($B$3&amp;"|"&amp;60,IF($B$3="TODAS",'Catálogo'!$U:$U,'Catálogo'!$Q:$Q),0)),1)),"")</f>
      </c>
      <c r="B65" s="40">
        <f>IFERROR(INDEX('Catálogo'!$B:$B,MATCH($B$3&amp;"|"&amp;60,IF($B$3="TODAS",'Catálogo'!$U:$U,'Catálogo'!$Q:$Q),0)),"")</f>
      </c>
      <c r="C65" s="41">
        <f>IFERROR(IF(INDEX('Catálogo'!$R:$R,MATCH($B$3&amp;"|"&amp;60,IF($B$3="TODAS",'Catálogo'!$U:$U,'Catálogo'!$Q:$Q),0))="","Cód: "&amp;INDEX('Catálogo'!$A:$A,MATCH($B$3&amp;"|"&amp;60,IF($B$3="TODAS",'Catálogo'!$U:$U,'Catálogo'!$Q:$Q),0)),"Medidas: "&amp;INDEX('Catálogo'!$R:$R,MATCH($B$3&amp;"|"&amp;60,IF($B$3="TODAS",'Catálogo'!$U:$U,'Catálogo'!$Q:$Q),0))&amp;"  ·  Cód: "&amp;INDEX('Catálogo'!$A:$A,MATCH($B$3&amp;"|"&amp;60,IF($B$3="TODAS",'Catálogo'!$U:$U,'Catálogo'!$Q:$Q),0))),"")</f>
      </c>
      <c r="D65" s="42">
        <f>IFERROR(IF($D$3="Mayor",INDEX('Catálogo'!$O:$O,MATCH($B$3&amp;"|"&amp;60,IF($B$3="TODAS",'Catálogo'!$U:$U,'Catálogo'!$Q:$Q),0)),INDEX('Catálogo'!$N:$N,MATCH($B$3&amp;"|"&amp;60,IF($B$3="TODAS",'Catálogo'!$U:$U,'Catálogo'!$Q:$Q),0))),"")</f>
      </c>
    </row>
    <row r="66" ht="90.00" customHeight="1">
      <c r="A66" s="39">
        <f>IFERROR(IF(INDEX('Catálogo'!$M:$M,MATCH($B$3&amp;"|"&amp;61,IF($B$3="TODAS",'Catálogo'!$U:$U,'Catálogo'!$Q:$Q),0))="","",IMAGE(INDEX('Catálogo'!$M:$M,MATCH($B$3&amp;"|"&amp;61,IF($B$3="TODAS",'Catálogo'!$U:$U,'Catálogo'!$Q:$Q),0)),1)),"")</f>
      </c>
      <c r="B66" s="40">
        <f>IFERROR(INDEX('Catálogo'!$B:$B,MATCH($B$3&amp;"|"&amp;61,IF($B$3="TODAS",'Catálogo'!$U:$U,'Catálogo'!$Q:$Q),0)),"")</f>
      </c>
      <c r="C66" s="41">
        <f>IFERROR(IF(INDEX('Catálogo'!$R:$R,MATCH($B$3&amp;"|"&amp;61,IF($B$3="TODAS",'Catálogo'!$U:$U,'Catálogo'!$Q:$Q),0))="","Cód: "&amp;INDEX('Catálogo'!$A:$A,MATCH($B$3&amp;"|"&amp;61,IF($B$3="TODAS",'Catálogo'!$U:$U,'Catálogo'!$Q:$Q),0)),"Medidas: "&amp;INDEX('Catálogo'!$R:$R,MATCH($B$3&amp;"|"&amp;61,IF($B$3="TODAS",'Catálogo'!$U:$U,'Catálogo'!$Q:$Q),0))&amp;"  ·  Cód: "&amp;INDEX('Catálogo'!$A:$A,MATCH($B$3&amp;"|"&amp;61,IF($B$3="TODAS",'Catálogo'!$U:$U,'Catálogo'!$Q:$Q),0))),"")</f>
      </c>
      <c r="D66" s="42">
        <f>IFERROR(IF($D$3="Mayor",INDEX('Catálogo'!$O:$O,MATCH($B$3&amp;"|"&amp;61,IF($B$3="TODAS",'Catálogo'!$U:$U,'Catálogo'!$Q:$Q),0)),INDEX('Catálogo'!$N:$N,MATCH($B$3&amp;"|"&amp;61,IF($B$3="TODAS",'Catálogo'!$U:$U,'Catálogo'!$Q:$Q),0))),"")</f>
      </c>
    </row>
    <row r="67" ht="90.00" customHeight="1">
      <c r="A67" s="39">
        <f>IFERROR(IF(INDEX('Catálogo'!$M:$M,MATCH($B$3&amp;"|"&amp;62,IF($B$3="TODAS",'Catálogo'!$U:$U,'Catálogo'!$Q:$Q),0))="","",IMAGE(INDEX('Catálogo'!$M:$M,MATCH($B$3&amp;"|"&amp;62,IF($B$3="TODAS",'Catálogo'!$U:$U,'Catálogo'!$Q:$Q),0)),1)),"")</f>
      </c>
      <c r="B67" s="40">
        <f>IFERROR(INDEX('Catálogo'!$B:$B,MATCH($B$3&amp;"|"&amp;62,IF($B$3="TODAS",'Catálogo'!$U:$U,'Catálogo'!$Q:$Q),0)),"")</f>
      </c>
      <c r="C67" s="41">
        <f>IFERROR(IF(INDEX('Catálogo'!$R:$R,MATCH($B$3&amp;"|"&amp;62,IF($B$3="TODAS",'Catálogo'!$U:$U,'Catálogo'!$Q:$Q),0))="","Cód: "&amp;INDEX('Catálogo'!$A:$A,MATCH($B$3&amp;"|"&amp;62,IF($B$3="TODAS",'Catálogo'!$U:$U,'Catálogo'!$Q:$Q),0)),"Medidas: "&amp;INDEX('Catálogo'!$R:$R,MATCH($B$3&amp;"|"&amp;62,IF($B$3="TODAS",'Catálogo'!$U:$U,'Catálogo'!$Q:$Q),0))&amp;"  ·  Cód: "&amp;INDEX('Catálogo'!$A:$A,MATCH($B$3&amp;"|"&amp;62,IF($B$3="TODAS",'Catálogo'!$U:$U,'Catálogo'!$Q:$Q),0))),"")</f>
      </c>
      <c r="D67" s="42">
        <f>IFERROR(IF($D$3="Mayor",INDEX('Catálogo'!$O:$O,MATCH($B$3&amp;"|"&amp;62,IF($B$3="TODAS",'Catálogo'!$U:$U,'Catálogo'!$Q:$Q),0)),INDEX('Catálogo'!$N:$N,MATCH($B$3&amp;"|"&amp;62,IF($B$3="TODAS",'Catálogo'!$U:$U,'Catálogo'!$Q:$Q),0))),"")</f>
      </c>
    </row>
    <row r="68" ht="90.00" customHeight="1">
      <c r="A68" s="39">
        <f>IFERROR(IF(INDEX('Catálogo'!$M:$M,MATCH($B$3&amp;"|"&amp;63,IF($B$3="TODAS",'Catálogo'!$U:$U,'Catálogo'!$Q:$Q),0))="","",IMAGE(INDEX('Catálogo'!$M:$M,MATCH($B$3&amp;"|"&amp;63,IF($B$3="TODAS",'Catálogo'!$U:$U,'Catálogo'!$Q:$Q),0)),1)),"")</f>
      </c>
      <c r="B68" s="40">
        <f>IFERROR(INDEX('Catálogo'!$B:$B,MATCH($B$3&amp;"|"&amp;63,IF($B$3="TODAS",'Catálogo'!$U:$U,'Catálogo'!$Q:$Q),0)),"")</f>
      </c>
      <c r="C68" s="41">
        <f>IFERROR(IF(INDEX('Catálogo'!$R:$R,MATCH($B$3&amp;"|"&amp;63,IF($B$3="TODAS",'Catálogo'!$U:$U,'Catálogo'!$Q:$Q),0))="","Cód: "&amp;INDEX('Catálogo'!$A:$A,MATCH($B$3&amp;"|"&amp;63,IF($B$3="TODAS",'Catálogo'!$U:$U,'Catálogo'!$Q:$Q),0)),"Medidas: "&amp;INDEX('Catálogo'!$R:$R,MATCH($B$3&amp;"|"&amp;63,IF($B$3="TODAS",'Catálogo'!$U:$U,'Catálogo'!$Q:$Q),0))&amp;"  ·  Cód: "&amp;INDEX('Catálogo'!$A:$A,MATCH($B$3&amp;"|"&amp;63,IF($B$3="TODAS",'Catálogo'!$U:$U,'Catálogo'!$Q:$Q),0))),"")</f>
      </c>
      <c r="D68" s="42">
        <f>IFERROR(IF($D$3="Mayor",INDEX('Catálogo'!$O:$O,MATCH($B$3&amp;"|"&amp;63,IF($B$3="TODAS",'Catálogo'!$U:$U,'Catálogo'!$Q:$Q),0)),INDEX('Catálogo'!$N:$N,MATCH($B$3&amp;"|"&amp;63,IF($B$3="TODAS",'Catálogo'!$U:$U,'Catálogo'!$Q:$Q),0))),"")</f>
      </c>
    </row>
    <row r="69" ht="90.00" customHeight="1">
      <c r="A69" s="39">
        <f>IFERROR(IF(INDEX('Catálogo'!$M:$M,MATCH($B$3&amp;"|"&amp;64,IF($B$3="TODAS",'Catálogo'!$U:$U,'Catálogo'!$Q:$Q),0))="","",IMAGE(INDEX('Catálogo'!$M:$M,MATCH($B$3&amp;"|"&amp;64,IF($B$3="TODAS",'Catálogo'!$U:$U,'Catálogo'!$Q:$Q),0)),1)),"")</f>
      </c>
      <c r="B69" s="40">
        <f>IFERROR(INDEX('Catálogo'!$B:$B,MATCH($B$3&amp;"|"&amp;64,IF($B$3="TODAS",'Catálogo'!$U:$U,'Catálogo'!$Q:$Q),0)),"")</f>
      </c>
      <c r="C69" s="41">
        <f>IFERROR(IF(INDEX('Catálogo'!$R:$R,MATCH($B$3&amp;"|"&amp;64,IF($B$3="TODAS",'Catálogo'!$U:$U,'Catálogo'!$Q:$Q),0))="","Cód: "&amp;INDEX('Catálogo'!$A:$A,MATCH($B$3&amp;"|"&amp;64,IF($B$3="TODAS",'Catálogo'!$U:$U,'Catálogo'!$Q:$Q),0)),"Medidas: "&amp;INDEX('Catálogo'!$R:$R,MATCH($B$3&amp;"|"&amp;64,IF($B$3="TODAS",'Catálogo'!$U:$U,'Catálogo'!$Q:$Q),0))&amp;"  ·  Cód: "&amp;INDEX('Catálogo'!$A:$A,MATCH($B$3&amp;"|"&amp;64,IF($B$3="TODAS",'Catálogo'!$U:$U,'Catálogo'!$Q:$Q),0))),"")</f>
      </c>
      <c r="D69" s="42">
        <f>IFERROR(IF($D$3="Mayor",INDEX('Catálogo'!$O:$O,MATCH($B$3&amp;"|"&amp;64,IF($B$3="TODAS",'Catálogo'!$U:$U,'Catálogo'!$Q:$Q),0)),INDEX('Catálogo'!$N:$N,MATCH($B$3&amp;"|"&amp;64,IF($B$3="TODAS",'Catálogo'!$U:$U,'Catálogo'!$Q:$Q),0))),"")</f>
      </c>
    </row>
    <row r="70" ht="90.00" customHeight="1">
      <c r="A70" s="39">
        <f>IFERROR(IF(INDEX('Catálogo'!$M:$M,MATCH($B$3&amp;"|"&amp;65,IF($B$3="TODAS",'Catálogo'!$U:$U,'Catálogo'!$Q:$Q),0))="","",IMAGE(INDEX('Catálogo'!$M:$M,MATCH($B$3&amp;"|"&amp;65,IF($B$3="TODAS",'Catálogo'!$U:$U,'Catálogo'!$Q:$Q),0)),1)),"")</f>
      </c>
      <c r="B70" s="40">
        <f>IFERROR(INDEX('Catálogo'!$B:$B,MATCH($B$3&amp;"|"&amp;65,IF($B$3="TODAS",'Catálogo'!$U:$U,'Catálogo'!$Q:$Q),0)),"")</f>
      </c>
      <c r="C70" s="41">
        <f>IFERROR(IF(INDEX('Catálogo'!$R:$R,MATCH($B$3&amp;"|"&amp;65,IF($B$3="TODAS",'Catálogo'!$U:$U,'Catálogo'!$Q:$Q),0))="","Cód: "&amp;INDEX('Catálogo'!$A:$A,MATCH($B$3&amp;"|"&amp;65,IF($B$3="TODAS",'Catálogo'!$U:$U,'Catálogo'!$Q:$Q),0)),"Medidas: "&amp;INDEX('Catálogo'!$R:$R,MATCH($B$3&amp;"|"&amp;65,IF($B$3="TODAS",'Catálogo'!$U:$U,'Catálogo'!$Q:$Q),0))&amp;"  ·  Cód: "&amp;INDEX('Catálogo'!$A:$A,MATCH($B$3&amp;"|"&amp;65,IF($B$3="TODAS",'Catálogo'!$U:$U,'Catálogo'!$Q:$Q),0))),"")</f>
      </c>
      <c r="D70" s="42">
        <f>IFERROR(IF($D$3="Mayor",INDEX('Catálogo'!$O:$O,MATCH($B$3&amp;"|"&amp;65,IF($B$3="TODAS",'Catálogo'!$U:$U,'Catálogo'!$Q:$Q),0)),INDEX('Catálogo'!$N:$N,MATCH($B$3&amp;"|"&amp;65,IF($B$3="TODAS",'Catálogo'!$U:$U,'Catálogo'!$Q:$Q),0))),"")</f>
      </c>
    </row>
    <row r="71" ht="90.00" customHeight="1">
      <c r="A71" s="39">
        <f>IFERROR(IF(INDEX('Catálogo'!$M:$M,MATCH($B$3&amp;"|"&amp;66,IF($B$3="TODAS",'Catálogo'!$U:$U,'Catálogo'!$Q:$Q),0))="","",IMAGE(INDEX('Catálogo'!$M:$M,MATCH($B$3&amp;"|"&amp;66,IF($B$3="TODAS",'Catálogo'!$U:$U,'Catálogo'!$Q:$Q),0)),1)),"")</f>
      </c>
      <c r="B71" s="40">
        <f>IFERROR(INDEX('Catálogo'!$B:$B,MATCH($B$3&amp;"|"&amp;66,IF($B$3="TODAS",'Catálogo'!$U:$U,'Catálogo'!$Q:$Q),0)),"")</f>
      </c>
      <c r="C71" s="41">
        <f>IFERROR(IF(INDEX('Catálogo'!$R:$R,MATCH($B$3&amp;"|"&amp;66,IF($B$3="TODAS",'Catálogo'!$U:$U,'Catálogo'!$Q:$Q),0))="","Cód: "&amp;INDEX('Catálogo'!$A:$A,MATCH($B$3&amp;"|"&amp;66,IF($B$3="TODAS",'Catálogo'!$U:$U,'Catálogo'!$Q:$Q),0)),"Medidas: "&amp;INDEX('Catálogo'!$R:$R,MATCH($B$3&amp;"|"&amp;66,IF($B$3="TODAS",'Catálogo'!$U:$U,'Catálogo'!$Q:$Q),0))&amp;"  ·  Cód: "&amp;INDEX('Catálogo'!$A:$A,MATCH($B$3&amp;"|"&amp;66,IF($B$3="TODAS",'Catálogo'!$U:$U,'Catálogo'!$Q:$Q),0))),"")</f>
      </c>
      <c r="D71" s="42">
        <f>IFERROR(IF($D$3="Mayor",INDEX('Catálogo'!$O:$O,MATCH($B$3&amp;"|"&amp;66,IF($B$3="TODAS",'Catálogo'!$U:$U,'Catálogo'!$Q:$Q),0)),INDEX('Catálogo'!$N:$N,MATCH($B$3&amp;"|"&amp;66,IF($B$3="TODAS",'Catálogo'!$U:$U,'Catálogo'!$Q:$Q),0))),"")</f>
      </c>
    </row>
    <row r="72" ht="90.00" customHeight="1">
      <c r="A72" s="39">
        <f>IFERROR(IF(INDEX('Catálogo'!$M:$M,MATCH($B$3&amp;"|"&amp;67,IF($B$3="TODAS",'Catálogo'!$U:$U,'Catálogo'!$Q:$Q),0))="","",IMAGE(INDEX('Catálogo'!$M:$M,MATCH($B$3&amp;"|"&amp;67,IF($B$3="TODAS",'Catálogo'!$U:$U,'Catálogo'!$Q:$Q),0)),1)),"")</f>
      </c>
      <c r="B72" s="40">
        <f>IFERROR(INDEX('Catálogo'!$B:$B,MATCH($B$3&amp;"|"&amp;67,IF($B$3="TODAS",'Catálogo'!$U:$U,'Catálogo'!$Q:$Q),0)),"")</f>
      </c>
      <c r="C72" s="41">
        <f>IFERROR(IF(INDEX('Catálogo'!$R:$R,MATCH($B$3&amp;"|"&amp;67,IF($B$3="TODAS",'Catálogo'!$U:$U,'Catálogo'!$Q:$Q),0))="","Cód: "&amp;INDEX('Catálogo'!$A:$A,MATCH($B$3&amp;"|"&amp;67,IF($B$3="TODAS",'Catálogo'!$U:$U,'Catálogo'!$Q:$Q),0)),"Medidas: "&amp;INDEX('Catálogo'!$R:$R,MATCH($B$3&amp;"|"&amp;67,IF($B$3="TODAS",'Catálogo'!$U:$U,'Catálogo'!$Q:$Q),0))&amp;"  ·  Cód: "&amp;INDEX('Catálogo'!$A:$A,MATCH($B$3&amp;"|"&amp;67,IF($B$3="TODAS",'Catálogo'!$U:$U,'Catálogo'!$Q:$Q),0))),"")</f>
      </c>
      <c r="D72" s="42">
        <f>IFERROR(IF($D$3="Mayor",INDEX('Catálogo'!$O:$O,MATCH($B$3&amp;"|"&amp;67,IF($B$3="TODAS",'Catálogo'!$U:$U,'Catálogo'!$Q:$Q),0)),INDEX('Catálogo'!$N:$N,MATCH($B$3&amp;"|"&amp;67,IF($B$3="TODAS",'Catálogo'!$U:$U,'Catálogo'!$Q:$Q),0))),"")</f>
      </c>
    </row>
    <row r="73" ht="90.00" customHeight="1">
      <c r="A73" s="39">
        <f>IFERROR(IF(INDEX('Catálogo'!$M:$M,MATCH($B$3&amp;"|"&amp;68,IF($B$3="TODAS",'Catálogo'!$U:$U,'Catálogo'!$Q:$Q),0))="","",IMAGE(INDEX('Catálogo'!$M:$M,MATCH($B$3&amp;"|"&amp;68,IF($B$3="TODAS",'Catálogo'!$U:$U,'Catálogo'!$Q:$Q),0)),1)),"")</f>
      </c>
      <c r="B73" s="40">
        <f>IFERROR(INDEX('Catálogo'!$B:$B,MATCH($B$3&amp;"|"&amp;68,IF($B$3="TODAS",'Catálogo'!$U:$U,'Catálogo'!$Q:$Q),0)),"")</f>
      </c>
      <c r="C73" s="41">
        <f>IFERROR(IF(INDEX('Catálogo'!$R:$R,MATCH($B$3&amp;"|"&amp;68,IF($B$3="TODAS",'Catálogo'!$U:$U,'Catálogo'!$Q:$Q),0))="","Cód: "&amp;INDEX('Catálogo'!$A:$A,MATCH($B$3&amp;"|"&amp;68,IF($B$3="TODAS",'Catálogo'!$U:$U,'Catálogo'!$Q:$Q),0)),"Medidas: "&amp;INDEX('Catálogo'!$R:$R,MATCH($B$3&amp;"|"&amp;68,IF($B$3="TODAS",'Catálogo'!$U:$U,'Catálogo'!$Q:$Q),0))&amp;"  ·  Cód: "&amp;INDEX('Catálogo'!$A:$A,MATCH($B$3&amp;"|"&amp;68,IF($B$3="TODAS",'Catálogo'!$U:$U,'Catálogo'!$Q:$Q),0))),"")</f>
      </c>
      <c r="D73" s="42">
        <f>IFERROR(IF($D$3="Mayor",INDEX('Catálogo'!$O:$O,MATCH($B$3&amp;"|"&amp;68,IF($B$3="TODAS",'Catálogo'!$U:$U,'Catálogo'!$Q:$Q),0)),INDEX('Catálogo'!$N:$N,MATCH($B$3&amp;"|"&amp;68,IF($B$3="TODAS",'Catálogo'!$U:$U,'Catálogo'!$Q:$Q),0))),"")</f>
      </c>
    </row>
    <row r="74" ht="90.00" customHeight="1">
      <c r="A74" s="39">
        <f>IFERROR(IF(INDEX('Catálogo'!$M:$M,MATCH($B$3&amp;"|"&amp;69,IF($B$3="TODAS",'Catálogo'!$U:$U,'Catálogo'!$Q:$Q),0))="","",IMAGE(INDEX('Catálogo'!$M:$M,MATCH($B$3&amp;"|"&amp;69,IF($B$3="TODAS",'Catálogo'!$U:$U,'Catálogo'!$Q:$Q),0)),1)),"")</f>
      </c>
      <c r="B74" s="40">
        <f>IFERROR(INDEX('Catálogo'!$B:$B,MATCH($B$3&amp;"|"&amp;69,IF($B$3="TODAS",'Catálogo'!$U:$U,'Catálogo'!$Q:$Q),0)),"")</f>
      </c>
      <c r="C74" s="41">
        <f>IFERROR(IF(INDEX('Catálogo'!$R:$R,MATCH($B$3&amp;"|"&amp;69,IF($B$3="TODAS",'Catálogo'!$U:$U,'Catálogo'!$Q:$Q),0))="","Cód: "&amp;INDEX('Catálogo'!$A:$A,MATCH($B$3&amp;"|"&amp;69,IF($B$3="TODAS",'Catálogo'!$U:$U,'Catálogo'!$Q:$Q),0)),"Medidas: "&amp;INDEX('Catálogo'!$R:$R,MATCH($B$3&amp;"|"&amp;69,IF($B$3="TODAS",'Catálogo'!$U:$U,'Catálogo'!$Q:$Q),0))&amp;"  ·  Cód: "&amp;INDEX('Catálogo'!$A:$A,MATCH($B$3&amp;"|"&amp;69,IF($B$3="TODAS",'Catálogo'!$U:$U,'Catálogo'!$Q:$Q),0))),"")</f>
      </c>
      <c r="D74" s="42">
        <f>IFERROR(IF($D$3="Mayor",INDEX('Catálogo'!$O:$O,MATCH($B$3&amp;"|"&amp;69,IF($B$3="TODAS",'Catálogo'!$U:$U,'Catálogo'!$Q:$Q),0)),INDEX('Catálogo'!$N:$N,MATCH($B$3&amp;"|"&amp;69,IF($B$3="TODAS",'Catálogo'!$U:$U,'Catálogo'!$Q:$Q),0))),"")</f>
      </c>
    </row>
    <row r="75" ht="90.00" customHeight="1">
      <c r="A75" s="39">
        <f>IFERROR(IF(INDEX('Catálogo'!$M:$M,MATCH($B$3&amp;"|"&amp;70,IF($B$3="TODAS",'Catálogo'!$U:$U,'Catálogo'!$Q:$Q),0))="","",IMAGE(INDEX('Catálogo'!$M:$M,MATCH($B$3&amp;"|"&amp;70,IF($B$3="TODAS",'Catálogo'!$U:$U,'Catálogo'!$Q:$Q),0)),1)),"")</f>
      </c>
      <c r="B75" s="40">
        <f>IFERROR(INDEX('Catálogo'!$B:$B,MATCH($B$3&amp;"|"&amp;70,IF($B$3="TODAS",'Catálogo'!$U:$U,'Catálogo'!$Q:$Q),0)),"")</f>
      </c>
      <c r="C75" s="41">
        <f>IFERROR(IF(INDEX('Catálogo'!$R:$R,MATCH($B$3&amp;"|"&amp;70,IF($B$3="TODAS",'Catálogo'!$U:$U,'Catálogo'!$Q:$Q),0))="","Cód: "&amp;INDEX('Catálogo'!$A:$A,MATCH($B$3&amp;"|"&amp;70,IF($B$3="TODAS",'Catálogo'!$U:$U,'Catálogo'!$Q:$Q),0)),"Medidas: "&amp;INDEX('Catálogo'!$R:$R,MATCH($B$3&amp;"|"&amp;70,IF($B$3="TODAS",'Catálogo'!$U:$U,'Catálogo'!$Q:$Q),0))&amp;"  ·  Cód: "&amp;INDEX('Catálogo'!$A:$A,MATCH($B$3&amp;"|"&amp;70,IF($B$3="TODAS",'Catálogo'!$U:$U,'Catálogo'!$Q:$Q),0))),"")</f>
      </c>
      <c r="D75" s="42">
        <f>IFERROR(IF($D$3="Mayor",INDEX('Catálogo'!$O:$O,MATCH($B$3&amp;"|"&amp;70,IF($B$3="TODAS",'Catálogo'!$U:$U,'Catálogo'!$Q:$Q),0)),INDEX('Catálogo'!$N:$N,MATCH($B$3&amp;"|"&amp;70,IF($B$3="TODAS",'Catálogo'!$U:$U,'Catálogo'!$Q:$Q),0))),"")</f>
      </c>
    </row>
    <row r="76" ht="90.00" customHeight="1">
      <c r="A76" s="39">
        <f>IFERROR(IF(INDEX('Catálogo'!$M:$M,MATCH($B$3&amp;"|"&amp;71,IF($B$3="TODAS",'Catálogo'!$U:$U,'Catálogo'!$Q:$Q),0))="","",IMAGE(INDEX('Catálogo'!$M:$M,MATCH($B$3&amp;"|"&amp;71,IF($B$3="TODAS",'Catálogo'!$U:$U,'Catálogo'!$Q:$Q),0)),1)),"")</f>
      </c>
      <c r="B76" s="40">
        <f>IFERROR(INDEX('Catálogo'!$B:$B,MATCH($B$3&amp;"|"&amp;71,IF($B$3="TODAS",'Catálogo'!$U:$U,'Catálogo'!$Q:$Q),0)),"")</f>
      </c>
      <c r="C76" s="41">
        <f>IFERROR(IF(INDEX('Catálogo'!$R:$R,MATCH($B$3&amp;"|"&amp;71,IF($B$3="TODAS",'Catálogo'!$U:$U,'Catálogo'!$Q:$Q),0))="","Cód: "&amp;INDEX('Catálogo'!$A:$A,MATCH($B$3&amp;"|"&amp;71,IF($B$3="TODAS",'Catálogo'!$U:$U,'Catálogo'!$Q:$Q),0)),"Medidas: "&amp;INDEX('Catálogo'!$R:$R,MATCH($B$3&amp;"|"&amp;71,IF($B$3="TODAS",'Catálogo'!$U:$U,'Catálogo'!$Q:$Q),0))&amp;"  ·  Cód: "&amp;INDEX('Catálogo'!$A:$A,MATCH($B$3&amp;"|"&amp;71,IF($B$3="TODAS",'Catálogo'!$U:$U,'Catálogo'!$Q:$Q),0))),"")</f>
      </c>
      <c r="D76" s="42">
        <f>IFERROR(IF($D$3="Mayor",INDEX('Catálogo'!$O:$O,MATCH($B$3&amp;"|"&amp;71,IF($B$3="TODAS",'Catálogo'!$U:$U,'Catálogo'!$Q:$Q),0)),INDEX('Catálogo'!$N:$N,MATCH($B$3&amp;"|"&amp;71,IF($B$3="TODAS",'Catálogo'!$U:$U,'Catálogo'!$Q:$Q),0))),"")</f>
      </c>
    </row>
    <row r="77" ht="90.00" customHeight="1">
      <c r="A77" s="39">
        <f>IFERROR(IF(INDEX('Catálogo'!$M:$M,MATCH($B$3&amp;"|"&amp;72,IF($B$3="TODAS",'Catálogo'!$U:$U,'Catálogo'!$Q:$Q),0))="","",IMAGE(INDEX('Catálogo'!$M:$M,MATCH($B$3&amp;"|"&amp;72,IF($B$3="TODAS",'Catálogo'!$U:$U,'Catálogo'!$Q:$Q),0)),1)),"")</f>
      </c>
      <c r="B77" s="40">
        <f>IFERROR(INDEX('Catálogo'!$B:$B,MATCH($B$3&amp;"|"&amp;72,IF($B$3="TODAS",'Catálogo'!$U:$U,'Catálogo'!$Q:$Q),0)),"")</f>
      </c>
      <c r="C77" s="41">
        <f>IFERROR(IF(INDEX('Catálogo'!$R:$R,MATCH($B$3&amp;"|"&amp;72,IF($B$3="TODAS",'Catálogo'!$U:$U,'Catálogo'!$Q:$Q),0))="","Cód: "&amp;INDEX('Catálogo'!$A:$A,MATCH($B$3&amp;"|"&amp;72,IF($B$3="TODAS",'Catálogo'!$U:$U,'Catálogo'!$Q:$Q),0)),"Medidas: "&amp;INDEX('Catálogo'!$R:$R,MATCH($B$3&amp;"|"&amp;72,IF($B$3="TODAS",'Catálogo'!$U:$U,'Catálogo'!$Q:$Q),0))&amp;"  ·  Cód: "&amp;INDEX('Catálogo'!$A:$A,MATCH($B$3&amp;"|"&amp;72,IF($B$3="TODAS",'Catálogo'!$U:$U,'Catálogo'!$Q:$Q),0))),"")</f>
      </c>
      <c r="D77" s="42">
        <f>IFERROR(IF($D$3="Mayor",INDEX('Catálogo'!$O:$O,MATCH($B$3&amp;"|"&amp;72,IF($B$3="TODAS",'Catálogo'!$U:$U,'Catálogo'!$Q:$Q),0)),INDEX('Catálogo'!$N:$N,MATCH($B$3&amp;"|"&amp;72,IF($B$3="TODAS",'Catálogo'!$U:$U,'Catálogo'!$Q:$Q),0))),"")</f>
      </c>
    </row>
    <row r="78" ht="90.00" customHeight="1">
      <c r="A78" s="39">
        <f>IFERROR(IF(INDEX('Catálogo'!$M:$M,MATCH($B$3&amp;"|"&amp;73,IF($B$3="TODAS",'Catálogo'!$U:$U,'Catálogo'!$Q:$Q),0))="","",IMAGE(INDEX('Catálogo'!$M:$M,MATCH($B$3&amp;"|"&amp;73,IF($B$3="TODAS",'Catálogo'!$U:$U,'Catálogo'!$Q:$Q),0)),1)),"")</f>
      </c>
      <c r="B78" s="40">
        <f>IFERROR(INDEX('Catálogo'!$B:$B,MATCH($B$3&amp;"|"&amp;73,IF($B$3="TODAS",'Catálogo'!$U:$U,'Catálogo'!$Q:$Q),0)),"")</f>
      </c>
      <c r="C78" s="41">
        <f>IFERROR(IF(INDEX('Catálogo'!$R:$R,MATCH($B$3&amp;"|"&amp;73,IF($B$3="TODAS",'Catálogo'!$U:$U,'Catálogo'!$Q:$Q),0))="","Cód: "&amp;INDEX('Catálogo'!$A:$A,MATCH($B$3&amp;"|"&amp;73,IF($B$3="TODAS",'Catálogo'!$U:$U,'Catálogo'!$Q:$Q),0)),"Medidas: "&amp;INDEX('Catálogo'!$R:$R,MATCH($B$3&amp;"|"&amp;73,IF($B$3="TODAS",'Catálogo'!$U:$U,'Catálogo'!$Q:$Q),0))&amp;"  ·  Cód: "&amp;INDEX('Catálogo'!$A:$A,MATCH($B$3&amp;"|"&amp;73,IF($B$3="TODAS",'Catálogo'!$U:$U,'Catálogo'!$Q:$Q),0))),"")</f>
      </c>
      <c r="D78" s="42">
        <f>IFERROR(IF($D$3="Mayor",INDEX('Catálogo'!$O:$O,MATCH($B$3&amp;"|"&amp;73,IF($B$3="TODAS",'Catálogo'!$U:$U,'Catálogo'!$Q:$Q),0)),INDEX('Catálogo'!$N:$N,MATCH($B$3&amp;"|"&amp;73,IF($B$3="TODAS",'Catálogo'!$U:$U,'Catálogo'!$Q:$Q),0))),"")</f>
      </c>
    </row>
    <row r="79" ht="90.00" customHeight="1">
      <c r="A79" s="39">
        <f>IFERROR(IF(INDEX('Catálogo'!$M:$M,MATCH($B$3&amp;"|"&amp;74,IF($B$3="TODAS",'Catálogo'!$U:$U,'Catálogo'!$Q:$Q),0))="","",IMAGE(INDEX('Catálogo'!$M:$M,MATCH($B$3&amp;"|"&amp;74,IF($B$3="TODAS",'Catálogo'!$U:$U,'Catálogo'!$Q:$Q),0)),1)),"")</f>
      </c>
      <c r="B79" s="40">
        <f>IFERROR(INDEX('Catálogo'!$B:$B,MATCH($B$3&amp;"|"&amp;74,IF($B$3="TODAS",'Catálogo'!$U:$U,'Catálogo'!$Q:$Q),0)),"")</f>
      </c>
      <c r="C79" s="41">
        <f>IFERROR(IF(INDEX('Catálogo'!$R:$R,MATCH($B$3&amp;"|"&amp;74,IF($B$3="TODAS",'Catálogo'!$U:$U,'Catálogo'!$Q:$Q),0))="","Cód: "&amp;INDEX('Catálogo'!$A:$A,MATCH($B$3&amp;"|"&amp;74,IF($B$3="TODAS",'Catálogo'!$U:$U,'Catálogo'!$Q:$Q),0)),"Medidas: "&amp;INDEX('Catálogo'!$R:$R,MATCH($B$3&amp;"|"&amp;74,IF($B$3="TODAS",'Catálogo'!$U:$U,'Catálogo'!$Q:$Q),0))&amp;"  ·  Cód: "&amp;INDEX('Catálogo'!$A:$A,MATCH($B$3&amp;"|"&amp;74,IF($B$3="TODAS",'Catálogo'!$U:$U,'Catálogo'!$Q:$Q),0))),"")</f>
      </c>
      <c r="D79" s="42">
        <f>IFERROR(IF($D$3="Mayor",INDEX('Catálogo'!$O:$O,MATCH($B$3&amp;"|"&amp;74,IF($B$3="TODAS",'Catálogo'!$U:$U,'Catálogo'!$Q:$Q),0)),INDEX('Catálogo'!$N:$N,MATCH($B$3&amp;"|"&amp;74,IF($B$3="TODAS",'Catálogo'!$U:$U,'Catálogo'!$Q:$Q),0))),"")</f>
      </c>
    </row>
    <row r="80" ht="90.00" customHeight="1">
      <c r="A80" s="39">
        <f>IFERROR(IF(INDEX('Catálogo'!$M:$M,MATCH($B$3&amp;"|"&amp;75,IF($B$3="TODAS",'Catálogo'!$U:$U,'Catálogo'!$Q:$Q),0))="","",IMAGE(INDEX('Catálogo'!$M:$M,MATCH($B$3&amp;"|"&amp;75,IF($B$3="TODAS",'Catálogo'!$U:$U,'Catálogo'!$Q:$Q),0)),1)),"")</f>
      </c>
      <c r="B80" s="40">
        <f>IFERROR(INDEX('Catálogo'!$B:$B,MATCH($B$3&amp;"|"&amp;75,IF($B$3="TODAS",'Catálogo'!$U:$U,'Catálogo'!$Q:$Q),0)),"")</f>
      </c>
      <c r="C80" s="41">
        <f>IFERROR(IF(INDEX('Catálogo'!$R:$R,MATCH($B$3&amp;"|"&amp;75,IF($B$3="TODAS",'Catálogo'!$U:$U,'Catálogo'!$Q:$Q),0))="","Cód: "&amp;INDEX('Catálogo'!$A:$A,MATCH($B$3&amp;"|"&amp;75,IF($B$3="TODAS",'Catálogo'!$U:$U,'Catálogo'!$Q:$Q),0)),"Medidas: "&amp;INDEX('Catálogo'!$R:$R,MATCH($B$3&amp;"|"&amp;75,IF($B$3="TODAS",'Catálogo'!$U:$U,'Catálogo'!$Q:$Q),0))&amp;"  ·  Cód: "&amp;INDEX('Catálogo'!$A:$A,MATCH($B$3&amp;"|"&amp;75,IF($B$3="TODAS",'Catálogo'!$U:$U,'Catálogo'!$Q:$Q),0))),"")</f>
      </c>
      <c r="D80" s="42">
        <f>IFERROR(IF($D$3="Mayor",INDEX('Catálogo'!$O:$O,MATCH($B$3&amp;"|"&amp;75,IF($B$3="TODAS",'Catálogo'!$U:$U,'Catálogo'!$Q:$Q),0)),INDEX('Catálogo'!$N:$N,MATCH($B$3&amp;"|"&amp;75,IF($B$3="TODAS",'Catálogo'!$U:$U,'Catálogo'!$Q:$Q),0))),"")</f>
      </c>
    </row>
    <row r="81" ht="90.00" customHeight="1">
      <c r="A81" s="39">
        <f>IFERROR(IF(INDEX('Catálogo'!$M:$M,MATCH($B$3&amp;"|"&amp;76,IF($B$3="TODAS",'Catálogo'!$U:$U,'Catálogo'!$Q:$Q),0))="","",IMAGE(INDEX('Catálogo'!$M:$M,MATCH($B$3&amp;"|"&amp;76,IF($B$3="TODAS",'Catálogo'!$U:$U,'Catálogo'!$Q:$Q),0)),1)),"")</f>
      </c>
      <c r="B81" s="40">
        <f>IFERROR(INDEX('Catálogo'!$B:$B,MATCH($B$3&amp;"|"&amp;76,IF($B$3="TODAS",'Catálogo'!$U:$U,'Catálogo'!$Q:$Q),0)),"")</f>
      </c>
      <c r="C81" s="41">
        <f>IFERROR(IF(INDEX('Catálogo'!$R:$R,MATCH($B$3&amp;"|"&amp;76,IF($B$3="TODAS",'Catálogo'!$U:$U,'Catálogo'!$Q:$Q),0))="","Cód: "&amp;INDEX('Catálogo'!$A:$A,MATCH($B$3&amp;"|"&amp;76,IF($B$3="TODAS",'Catálogo'!$U:$U,'Catálogo'!$Q:$Q),0)),"Medidas: "&amp;INDEX('Catálogo'!$R:$R,MATCH($B$3&amp;"|"&amp;76,IF($B$3="TODAS",'Catálogo'!$U:$U,'Catálogo'!$Q:$Q),0))&amp;"  ·  Cód: "&amp;INDEX('Catálogo'!$A:$A,MATCH($B$3&amp;"|"&amp;76,IF($B$3="TODAS",'Catálogo'!$U:$U,'Catálogo'!$Q:$Q),0))),"")</f>
      </c>
      <c r="D81" s="42">
        <f>IFERROR(IF($D$3="Mayor",INDEX('Catálogo'!$O:$O,MATCH($B$3&amp;"|"&amp;76,IF($B$3="TODAS",'Catálogo'!$U:$U,'Catálogo'!$Q:$Q),0)),INDEX('Catálogo'!$N:$N,MATCH($B$3&amp;"|"&amp;76,IF($B$3="TODAS",'Catálogo'!$U:$U,'Catálogo'!$Q:$Q),0))),"")</f>
      </c>
    </row>
    <row r="82" ht="90.00" customHeight="1">
      <c r="A82" s="39">
        <f>IFERROR(IF(INDEX('Catálogo'!$M:$M,MATCH($B$3&amp;"|"&amp;77,IF($B$3="TODAS",'Catálogo'!$U:$U,'Catálogo'!$Q:$Q),0))="","",IMAGE(INDEX('Catálogo'!$M:$M,MATCH($B$3&amp;"|"&amp;77,IF($B$3="TODAS",'Catálogo'!$U:$U,'Catálogo'!$Q:$Q),0)),1)),"")</f>
      </c>
      <c r="B82" s="40">
        <f>IFERROR(INDEX('Catálogo'!$B:$B,MATCH($B$3&amp;"|"&amp;77,IF($B$3="TODAS",'Catálogo'!$U:$U,'Catálogo'!$Q:$Q),0)),"")</f>
      </c>
      <c r="C82" s="41">
        <f>IFERROR(IF(INDEX('Catálogo'!$R:$R,MATCH($B$3&amp;"|"&amp;77,IF($B$3="TODAS",'Catálogo'!$U:$U,'Catálogo'!$Q:$Q),0))="","Cód: "&amp;INDEX('Catálogo'!$A:$A,MATCH($B$3&amp;"|"&amp;77,IF($B$3="TODAS",'Catálogo'!$U:$U,'Catálogo'!$Q:$Q),0)),"Medidas: "&amp;INDEX('Catálogo'!$R:$R,MATCH($B$3&amp;"|"&amp;77,IF($B$3="TODAS",'Catálogo'!$U:$U,'Catálogo'!$Q:$Q),0))&amp;"  ·  Cód: "&amp;INDEX('Catálogo'!$A:$A,MATCH($B$3&amp;"|"&amp;77,IF($B$3="TODAS",'Catálogo'!$U:$U,'Catálogo'!$Q:$Q),0))),"")</f>
      </c>
      <c r="D82" s="42">
        <f>IFERROR(IF($D$3="Mayor",INDEX('Catálogo'!$O:$O,MATCH($B$3&amp;"|"&amp;77,IF($B$3="TODAS",'Catálogo'!$U:$U,'Catálogo'!$Q:$Q),0)),INDEX('Catálogo'!$N:$N,MATCH($B$3&amp;"|"&amp;77,IF($B$3="TODAS",'Catálogo'!$U:$U,'Catálogo'!$Q:$Q),0))),"")</f>
      </c>
    </row>
    <row r="83" ht="90.00" customHeight="1">
      <c r="A83" s="39">
        <f>IFERROR(IF(INDEX('Catálogo'!$M:$M,MATCH($B$3&amp;"|"&amp;78,IF($B$3="TODAS",'Catálogo'!$U:$U,'Catálogo'!$Q:$Q),0))="","",IMAGE(INDEX('Catálogo'!$M:$M,MATCH($B$3&amp;"|"&amp;78,IF($B$3="TODAS",'Catálogo'!$U:$U,'Catálogo'!$Q:$Q),0)),1)),"")</f>
      </c>
      <c r="B83" s="40">
        <f>IFERROR(INDEX('Catálogo'!$B:$B,MATCH($B$3&amp;"|"&amp;78,IF($B$3="TODAS",'Catálogo'!$U:$U,'Catálogo'!$Q:$Q),0)),"")</f>
      </c>
      <c r="C83" s="41">
        <f>IFERROR(IF(INDEX('Catálogo'!$R:$R,MATCH($B$3&amp;"|"&amp;78,IF($B$3="TODAS",'Catálogo'!$U:$U,'Catálogo'!$Q:$Q),0))="","Cód: "&amp;INDEX('Catálogo'!$A:$A,MATCH($B$3&amp;"|"&amp;78,IF($B$3="TODAS",'Catálogo'!$U:$U,'Catálogo'!$Q:$Q),0)),"Medidas: "&amp;INDEX('Catálogo'!$R:$R,MATCH($B$3&amp;"|"&amp;78,IF($B$3="TODAS",'Catálogo'!$U:$U,'Catálogo'!$Q:$Q),0))&amp;"  ·  Cód: "&amp;INDEX('Catálogo'!$A:$A,MATCH($B$3&amp;"|"&amp;78,IF($B$3="TODAS",'Catálogo'!$U:$U,'Catálogo'!$Q:$Q),0))),"")</f>
      </c>
      <c r="D83" s="42">
        <f>IFERROR(IF($D$3="Mayor",INDEX('Catálogo'!$O:$O,MATCH($B$3&amp;"|"&amp;78,IF($B$3="TODAS",'Catálogo'!$U:$U,'Catálogo'!$Q:$Q),0)),INDEX('Catálogo'!$N:$N,MATCH($B$3&amp;"|"&amp;78,IF($B$3="TODAS",'Catálogo'!$U:$U,'Catálogo'!$Q:$Q),0))),"")</f>
      </c>
    </row>
    <row r="84" ht="90.00" customHeight="1">
      <c r="A84" s="39">
        <f>IFERROR(IF(INDEX('Catálogo'!$M:$M,MATCH($B$3&amp;"|"&amp;79,IF($B$3="TODAS",'Catálogo'!$U:$U,'Catálogo'!$Q:$Q),0))="","",IMAGE(INDEX('Catálogo'!$M:$M,MATCH($B$3&amp;"|"&amp;79,IF($B$3="TODAS",'Catálogo'!$U:$U,'Catálogo'!$Q:$Q),0)),1)),"")</f>
      </c>
      <c r="B84" s="40">
        <f>IFERROR(INDEX('Catálogo'!$B:$B,MATCH($B$3&amp;"|"&amp;79,IF($B$3="TODAS",'Catálogo'!$U:$U,'Catálogo'!$Q:$Q),0)),"")</f>
      </c>
      <c r="C84" s="41">
        <f>IFERROR(IF(INDEX('Catálogo'!$R:$R,MATCH($B$3&amp;"|"&amp;79,IF($B$3="TODAS",'Catálogo'!$U:$U,'Catálogo'!$Q:$Q),0))="","Cód: "&amp;INDEX('Catálogo'!$A:$A,MATCH($B$3&amp;"|"&amp;79,IF($B$3="TODAS",'Catálogo'!$U:$U,'Catálogo'!$Q:$Q),0)),"Medidas: "&amp;INDEX('Catálogo'!$R:$R,MATCH($B$3&amp;"|"&amp;79,IF($B$3="TODAS",'Catálogo'!$U:$U,'Catálogo'!$Q:$Q),0))&amp;"  ·  Cód: "&amp;INDEX('Catálogo'!$A:$A,MATCH($B$3&amp;"|"&amp;79,IF($B$3="TODAS",'Catálogo'!$U:$U,'Catálogo'!$Q:$Q),0))),"")</f>
      </c>
      <c r="D84" s="42">
        <f>IFERROR(IF($D$3="Mayor",INDEX('Catálogo'!$O:$O,MATCH($B$3&amp;"|"&amp;79,IF($B$3="TODAS",'Catálogo'!$U:$U,'Catálogo'!$Q:$Q),0)),INDEX('Catálogo'!$N:$N,MATCH($B$3&amp;"|"&amp;79,IF($B$3="TODAS",'Catálogo'!$U:$U,'Catálogo'!$Q:$Q),0))),"")</f>
      </c>
    </row>
    <row r="85" ht="90.00" customHeight="1">
      <c r="A85" s="39">
        <f>IFERROR(IF(INDEX('Catálogo'!$M:$M,MATCH($B$3&amp;"|"&amp;80,IF($B$3="TODAS",'Catálogo'!$U:$U,'Catálogo'!$Q:$Q),0))="","",IMAGE(INDEX('Catálogo'!$M:$M,MATCH($B$3&amp;"|"&amp;80,IF($B$3="TODAS",'Catálogo'!$U:$U,'Catálogo'!$Q:$Q),0)),1)),"")</f>
      </c>
      <c r="B85" s="40">
        <f>IFERROR(INDEX('Catálogo'!$B:$B,MATCH($B$3&amp;"|"&amp;80,IF($B$3="TODAS",'Catálogo'!$U:$U,'Catálogo'!$Q:$Q),0)),"")</f>
      </c>
      <c r="C85" s="41">
        <f>IFERROR(IF(INDEX('Catálogo'!$R:$R,MATCH($B$3&amp;"|"&amp;80,IF($B$3="TODAS",'Catálogo'!$U:$U,'Catálogo'!$Q:$Q),0))="","Cód: "&amp;INDEX('Catálogo'!$A:$A,MATCH($B$3&amp;"|"&amp;80,IF($B$3="TODAS",'Catálogo'!$U:$U,'Catálogo'!$Q:$Q),0)),"Medidas: "&amp;INDEX('Catálogo'!$R:$R,MATCH($B$3&amp;"|"&amp;80,IF($B$3="TODAS",'Catálogo'!$U:$U,'Catálogo'!$Q:$Q),0))&amp;"  ·  Cód: "&amp;INDEX('Catálogo'!$A:$A,MATCH($B$3&amp;"|"&amp;80,IF($B$3="TODAS",'Catálogo'!$U:$U,'Catálogo'!$Q:$Q),0))),"")</f>
      </c>
      <c r="D85" s="42">
        <f>IFERROR(IF($D$3="Mayor",INDEX('Catálogo'!$O:$O,MATCH($B$3&amp;"|"&amp;80,IF($B$3="TODAS",'Catálogo'!$U:$U,'Catálogo'!$Q:$Q),0)),INDEX('Catálogo'!$N:$N,MATCH($B$3&amp;"|"&amp;80,IF($B$3="TODAS",'Catálogo'!$U:$U,'Catálogo'!$Q:$Q),0))),"")</f>
      </c>
    </row>
    <row r="86" ht="90.00" customHeight="1">
      <c r="A86" s="39">
        <f>IFERROR(IF(INDEX('Catálogo'!$M:$M,MATCH($B$3&amp;"|"&amp;81,IF($B$3="TODAS",'Catálogo'!$U:$U,'Catálogo'!$Q:$Q),0))="","",IMAGE(INDEX('Catálogo'!$M:$M,MATCH($B$3&amp;"|"&amp;81,IF($B$3="TODAS",'Catálogo'!$U:$U,'Catálogo'!$Q:$Q),0)),1)),"")</f>
      </c>
      <c r="B86" s="40">
        <f>IFERROR(INDEX('Catálogo'!$B:$B,MATCH($B$3&amp;"|"&amp;81,IF($B$3="TODAS",'Catálogo'!$U:$U,'Catálogo'!$Q:$Q),0)),"")</f>
      </c>
      <c r="C86" s="41">
        <f>IFERROR(IF(INDEX('Catálogo'!$R:$R,MATCH($B$3&amp;"|"&amp;81,IF($B$3="TODAS",'Catálogo'!$U:$U,'Catálogo'!$Q:$Q),0))="","Cód: "&amp;INDEX('Catálogo'!$A:$A,MATCH($B$3&amp;"|"&amp;81,IF($B$3="TODAS",'Catálogo'!$U:$U,'Catálogo'!$Q:$Q),0)),"Medidas: "&amp;INDEX('Catálogo'!$R:$R,MATCH($B$3&amp;"|"&amp;81,IF($B$3="TODAS",'Catálogo'!$U:$U,'Catálogo'!$Q:$Q),0))&amp;"  ·  Cód: "&amp;INDEX('Catálogo'!$A:$A,MATCH($B$3&amp;"|"&amp;81,IF($B$3="TODAS",'Catálogo'!$U:$U,'Catálogo'!$Q:$Q),0))),"")</f>
      </c>
      <c r="D86" s="42">
        <f>IFERROR(IF($D$3="Mayor",INDEX('Catálogo'!$O:$O,MATCH($B$3&amp;"|"&amp;81,IF($B$3="TODAS",'Catálogo'!$U:$U,'Catálogo'!$Q:$Q),0)),INDEX('Catálogo'!$N:$N,MATCH($B$3&amp;"|"&amp;81,IF($B$3="TODAS",'Catálogo'!$U:$U,'Catálogo'!$Q:$Q),0))),"")</f>
      </c>
    </row>
    <row r="87" ht="90.00" customHeight="1">
      <c r="A87" s="39">
        <f>IFERROR(IF(INDEX('Catálogo'!$M:$M,MATCH($B$3&amp;"|"&amp;82,IF($B$3="TODAS",'Catálogo'!$U:$U,'Catálogo'!$Q:$Q),0))="","",IMAGE(INDEX('Catálogo'!$M:$M,MATCH($B$3&amp;"|"&amp;82,IF($B$3="TODAS",'Catálogo'!$U:$U,'Catálogo'!$Q:$Q),0)),1)),"")</f>
      </c>
      <c r="B87" s="40">
        <f>IFERROR(INDEX('Catálogo'!$B:$B,MATCH($B$3&amp;"|"&amp;82,IF($B$3="TODAS",'Catálogo'!$U:$U,'Catálogo'!$Q:$Q),0)),"")</f>
      </c>
      <c r="C87" s="41">
        <f>IFERROR(IF(INDEX('Catálogo'!$R:$R,MATCH($B$3&amp;"|"&amp;82,IF($B$3="TODAS",'Catálogo'!$U:$U,'Catálogo'!$Q:$Q),0))="","Cód: "&amp;INDEX('Catálogo'!$A:$A,MATCH($B$3&amp;"|"&amp;82,IF($B$3="TODAS",'Catálogo'!$U:$U,'Catálogo'!$Q:$Q),0)),"Medidas: "&amp;INDEX('Catálogo'!$R:$R,MATCH($B$3&amp;"|"&amp;82,IF($B$3="TODAS",'Catálogo'!$U:$U,'Catálogo'!$Q:$Q),0))&amp;"  ·  Cód: "&amp;INDEX('Catálogo'!$A:$A,MATCH($B$3&amp;"|"&amp;82,IF($B$3="TODAS",'Catálogo'!$U:$U,'Catálogo'!$Q:$Q),0))),"")</f>
      </c>
      <c r="D87" s="42">
        <f>IFERROR(IF($D$3="Mayor",INDEX('Catálogo'!$O:$O,MATCH($B$3&amp;"|"&amp;82,IF($B$3="TODAS",'Catálogo'!$U:$U,'Catálogo'!$Q:$Q),0)),INDEX('Catálogo'!$N:$N,MATCH($B$3&amp;"|"&amp;82,IF($B$3="TODAS",'Catálogo'!$U:$U,'Catálogo'!$Q:$Q),0))),"")</f>
      </c>
    </row>
    <row r="88" ht="90.00" customHeight="1">
      <c r="A88" s="39">
        <f>IFERROR(IF(INDEX('Catálogo'!$M:$M,MATCH($B$3&amp;"|"&amp;83,IF($B$3="TODAS",'Catálogo'!$U:$U,'Catálogo'!$Q:$Q),0))="","",IMAGE(INDEX('Catálogo'!$M:$M,MATCH($B$3&amp;"|"&amp;83,IF($B$3="TODAS",'Catálogo'!$U:$U,'Catálogo'!$Q:$Q),0)),1)),"")</f>
      </c>
      <c r="B88" s="40">
        <f>IFERROR(INDEX('Catálogo'!$B:$B,MATCH($B$3&amp;"|"&amp;83,IF($B$3="TODAS",'Catálogo'!$U:$U,'Catálogo'!$Q:$Q),0)),"")</f>
      </c>
      <c r="C88" s="41">
        <f>IFERROR(IF(INDEX('Catálogo'!$R:$R,MATCH($B$3&amp;"|"&amp;83,IF($B$3="TODAS",'Catálogo'!$U:$U,'Catálogo'!$Q:$Q),0))="","Cód: "&amp;INDEX('Catálogo'!$A:$A,MATCH($B$3&amp;"|"&amp;83,IF($B$3="TODAS",'Catálogo'!$U:$U,'Catálogo'!$Q:$Q),0)),"Medidas: "&amp;INDEX('Catálogo'!$R:$R,MATCH($B$3&amp;"|"&amp;83,IF($B$3="TODAS",'Catálogo'!$U:$U,'Catálogo'!$Q:$Q),0))&amp;"  ·  Cód: "&amp;INDEX('Catálogo'!$A:$A,MATCH($B$3&amp;"|"&amp;83,IF($B$3="TODAS",'Catálogo'!$U:$U,'Catálogo'!$Q:$Q),0))),"")</f>
      </c>
      <c r="D88" s="42">
        <f>IFERROR(IF($D$3="Mayor",INDEX('Catálogo'!$O:$O,MATCH($B$3&amp;"|"&amp;83,IF($B$3="TODAS",'Catálogo'!$U:$U,'Catálogo'!$Q:$Q),0)),INDEX('Catálogo'!$N:$N,MATCH($B$3&amp;"|"&amp;83,IF($B$3="TODAS",'Catálogo'!$U:$U,'Catálogo'!$Q:$Q),0))),"")</f>
      </c>
    </row>
    <row r="89" ht="90.00" customHeight="1">
      <c r="A89" s="39">
        <f>IFERROR(IF(INDEX('Catálogo'!$M:$M,MATCH($B$3&amp;"|"&amp;84,IF($B$3="TODAS",'Catálogo'!$U:$U,'Catálogo'!$Q:$Q),0))="","",IMAGE(INDEX('Catálogo'!$M:$M,MATCH($B$3&amp;"|"&amp;84,IF($B$3="TODAS",'Catálogo'!$U:$U,'Catálogo'!$Q:$Q),0)),1)),"")</f>
      </c>
      <c r="B89" s="40">
        <f>IFERROR(INDEX('Catálogo'!$B:$B,MATCH($B$3&amp;"|"&amp;84,IF($B$3="TODAS",'Catálogo'!$U:$U,'Catálogo'!$Q:$Q),0)),"")</f>
      </c>
      <c r="C89" s="41">
        <f>IFERROR(IF(INDEX('Catálogo'!$R:$R,MATCH($B$3&amp;"|"&amp;84,IF($B$3="TODAS",'Catálogo'!$U:$U,'Catálogo'!$Q:$Q),0))="","Cód: "&amp;INDEX('Catálogo'!$A:$A,MATCH($B$3&amp;"|"&amp;84,IF($B$3="TODAS",'Catálogo'!$U:$U,'Catálogo'!$Q:$Q),0)),"Medidas: "&amp;INDEX('Catálogo'!$R:$R,MATCH($B$3&amp;"|"&amp;84,IF($B$3="TODAS",'Catálogo'!$U:$U,'Catálogo'!$Q:$Q),0))&amp;"  ·  Cód: "&amp;INDEX('Catálogo'!$A:$A,MATCH($B$3&amp;"|"&amp;84,IF($B$3="TODAS",'Catálogo'!$U:$U,'Catálogo'!$Q:$Q),0))),"")</f>
      </c>
      <c r="D89" s="42">
        <f>IFERROR(IF($D$3="Mayor",INDEX('Catálogo'!$O:$O,MATCH($B$3&amp;"|"&amp;84,IF($B$3="TODAS",'Catálogo'!$U:$U,'Catálogo'!$Q:$Q),0)),INDEX('Catálogo'!$N:$N,MATCH($B$3&amp;"|"&amp;84,IF($B$3="TODAS",'Catálogo'!$U:$U,'Catálogo'!$Q:$Q),0))),"")</f>
      </c>
    </row>
    <row r="90" ht="90.00" customHeight="1">
      <c r="A90" s="39">
        <f>IFERROR(IF(INDEX('Catálogo'!$M:$M,MATCH($B$3&amp;"|"&amp;85,IF($B$3="TODAS",'Catálogo'!$U:$U,'Catálogo'!$Q:$Q),0))="","",IMAGE(INDEX('Catálogo'!$M:$M,MATCH($B$3&amp;"|"&amp;85,IF($B$3="TODAS",'Catálogo'!$U:$U,'Catálogo'!$Q:$Q),0)),1)),"")</f>
      </c>
      <c r="B90" s="40">
        <f>IFERROR(INDEX('Catálogo'!$B:$B,MATCH($B$3&amp;"|"&amp;85,IF($B$3="TODAS",'Catálogo'!$U:$U,'Catálogo'!$Q:$Q),0)),"")</f>
      </c>
      <c r="C90" s="41">
        <f>IFERROR(IF(INDEX('Catálogo'!$R:$R,MATCH($B$3&amp;"|"&amp;85,IF($B$3="TODAS",'Catálogo'!$U:$U,'Catálogo'!$Q:$Q),0))="","Cód: "&amp;INDEX('Catálogo'!$A:$A,MATCH($B$3&amp;"|"&amp;85,IF($B$3="TODAS",'Catálogo'!$U:$U,'Catálogo'!$Q:$Q),0)),"Medidas: "&amp;INDEX('Catálogo'!$R:$R,MATCH($B$3&amp;"|"&amp;85,IF($B$3="TODAS",'Catálogo'!$U:$U,'Catálogo'!$Q:$Q),0))&amp;"  ·  Cód: "&amp;INDEX('Catálogo'!$A:$A,MATCH($B$3&amp;"|"&amp;85,IF($B$3="TODAS",'Catálogo'!$U:$U,'Catálogo'!$Q:$Q),0))),"")</f>
      </c>
      <c r="D90" s="42">
        <f>IFERROR(IF($D$3="Mayor",INDEX('Catálogo'!$O:$O,MATCH($B$3&amp;"|"&amp;85,IF($B$3="TODAS",'Catálogo'!$U:$U,'Catálogo'!$Q:$Q),0)),INDEX('Catálogo'!$N:$N,MATCH($B$3&amp;"|"&amp;85,IF($B$3="TODAS",'Catálogo'!$U:$U,'Catálogo'!$Q:$Q),0))),"")</f>
      </c>
    </row>
    <row r="91" ht="90.00" customHeight="1">
      <c r="A91" s="39">
        <f>IFERROR(IF(INDEX('Catálogo'!$M:$M,MATCH($B$3&amp;"|"&amp;86,IF($B$3="TODAS",'Catálogo'!$U:$U,'Catálogo'!$Q:$Q),0))="","",IMAGE(INDEX('Catálogo'!$M:$M,MATCH($B$3&amp;"|"&amp;86,IF($B$3="TODAS",'Catálogo'!$U:$U,'Catálogo'!$Q:$Q),0)),1)),"")</f>
      </c>
      <c r="B91" s="40">
        <f>IFERROR(INDEX('Catálogo'!$B:$B,MATCH($B$3&amp;"|"&amp;86,IF($B$3="TODAS",'Catálogo'!$U:$U,'Catálogo'!$Q:$Q),0)),"")</f>
      </c>
      <c r="C91" s="41">
        <f>IFERROR(IF(INDEX('Catálogo'!$R:$R,MATCH($B$3&amp;"|"&amp;86,IF($B$3="TODAS",'Catálogo'!$U:$U,'Catálogo'!$Q:$Q),0))="","Cód: "&amp;INDEX('Catálogo'!$A:$A,MATCH($B$3&amp;"|"&amp;86,IF($B$3="TODAS",'Catálogo'!$U:$U,'Catálogo'!$Q:$Q),0)),"Medidas: "&amp;INDEX('Catálogo'!$R:$R,MATCH($B$3&amp;"|"&amp;86,IF($B$3="TODAS",'Catálogo'!$U:$U,'Catálogo'!$Q:$Q),0))&amp;"  ·  Cód: "&amp;INDEX('Catálogo'!$A:$A,MATCH($B$3&amp;"|"&amp;86,IF($B$3="TODAS",'Catálogo'!$U:$U,'Catálogo'!$Q:$Q),0))),"")</f>
      </c>
      <c r="D91" s="42">
        <f>IFERROR(IF($D$3="Mayor",INDEX('Catálogo'!$O:$O,MATCH($B$3&amp;"|"&amp;86,IF($B$3="TODAS",'Catálogo'!$U:$U,'Catálogo'!$Q:$Q),0)),INDEX('Catálogo'!$N:$N,MATCH($B$3&amp;"|"&amp;86,IF($B$3="TODAS",'Catálogo'!$U:$U,'Catálogo'!$Q:$Q),0))),"")</f>
      </c>
    </row>
    <row r="92" ht="90.00" customHeight="1">
      <c r="A92" s="39">
        <f>IFERROR(IF(INDEX('Catálogo'!$M:$M,MATCH($B$3&amp;"|"&amp;87,IF($B$3="TODAS",'Catálogo'!$U:$U,'Catálogo'!$Q:$Q),0))="","",IMAGE(INDEX('Catálogo'!$M:$M,MATCH($B$3&amp;"|"&amp;87,IF($B$3="TODAS",'Catálogo'!$U:$U,'Catálogo'!$Q:$Q),0)),1)),"")</f>
      </c>
      <c r="B92" s="40">
        <f>IFERROR(INDEX('Catálogo'!$B:$B,MATCH($B$3&amp;"|"&amp;87,IF($B$3="TODAS",'Catálogo'!$U:$U,'Catálogo'!$Q:$Q),0)),"")</f>
      </c>
      <c r="C92" s="41">
        <f>IFERROR(IF(INDEX('Catálogo'!$R:$R,MATCH($B$3&amp;"|"&amp;87,IF($B$3="TODAS",'Catálogo'!$U:$U,'Catálogo'!$Q:$Q),0))="","Cód: "&amp;INDEX('Catálogo'!$A:$A,MATCH($B$3&amp;"|"&amp;87,IF($B$3="TODAS",'Catálogo'!$U:$U,'Catálogo'!$Q:$Q),0)),"Medidas: "&amp;INDEX('Catálogo'!$R:$R,MATCH($B$3&amp;"|"&amp;87,IF($B$3="TODAS",'Catálogo'!$U:$U,'Catálogo'!$Q:$Q),0))&amp;"  ·  Cód: "&amp;INDEX('Catálogo'!$A:$A,MATCH($B$3&amp;"|"&amp;87,IF($B$3="TODAS",'Catálogo'!$U:$U,'Catálogo'!$Q:$Q),0))),"")</f>
      </c>
      <c r="D92" s="42">
        <f>IFERROR(IF($D$3="Mayor",INDEX('Catálogo'!$O:$O,MATCH($B$3&amp;"|"&amp;87,IF($B$3="TODAS",'Catálogo'!$U:$U,'Catálogo'!$Q:$Q),0)),INDEX('Catálogo'!$N:$N,MATCH($B$3&amp;"|"&amp;87,IF($B$3="TODAS",'Catálogo'!$U:$U,'Catálogo'!$Q:$Q),0))),"")</f>
      </c>
    </row>
    <row r="93" ht="90.00" customHeight="1">
      <c r="A93" s="39">
        <f>IFERROR(IF(INDEX('Catálogo'!$M:$M,MATCH($B$3&amp;"|"&amp;88,IF($B$3="TODAS",'Catálogo'!$U:$U,'Catálogo'!$Q:$Q),0))="","",IMAGE(INDEX('Catálogo'!$M:$M,MATCH($B$3&amp;"|"&amp;88,IF($B$3="TODAS",'Catálogo'!$U:$U,'Catálogo'!$Q:$Q),0)),1)),"")</f>
      </c>
      <c r="B93" s="40">
        <f>IFERROR(INDEX('Catálogo'!$B:$B,MATCH($B$3&amp;"|"&amp;88,IF($B$3="TODAS",'Catálogo'!$U:$U,'Catálogo'!$Q:$Q),0)),"")</f>
      </c>
      <c r="C93" s="41">
        <f>IFERROR(IF(INDEX('Catálogo'!$R:$R,MATCH($B$3&amp;"|"&amp;88,IF($B$3="TODAS",'Catálogo'!$U:$U,'Catálogo'!$Q:$Q),0))="","Cód: "&amp;INDEX('Catálogo'!$A:$A,MATCH($B$3&amp;"|"&amp;88,IF($B$3="TODAS",'Catálogo'!$U:$U,'Catálogo'!$Q:$Q),0)),"Medidas: "&amp;INDEX('Catálogo'!$R:$R,MATCH($B$3&amp;"|"&amp;88,IF($B$3="TODAS",'Catálogo'!$U:$U,'Catálogo'!$Q:$Q),0))&amp;"  ·  Cód: "&amp;INDEX('Catálogo'!$A:$A,MATCH($B$3&amp;"|"&amp;88,IF($B$3="TODAS",'Catálogo'!$U:$U,'Catálogo'!$Q:$Q),0))),"")</f>
      </c>
      <c r="D93" s="42">
        <f>IFERROR(IF($D$3="Mayor",INDEX('Catálogo'!$O:$O,MATCH($B$3&amp;"|"&amp;88,IF($B$3="TODAS",'Catálogo'!$U:$U,'Catálogo'!$Q:$Q),0)),INDEX('Catálogo'!$N:$N,MATCH($B$3&amp;"|"&amp;88,IF($B$3="TODAS",'Catálogo'!$U:$U,'Catálogo'!$Q:$Q),0))),"")</f>
      </c>
    </row>
    <row r="94" ht="90.00" customHeight="1">
      <c r="A94" s="39">
        <f>IFERROR(IF(INDEX('Catálogo'!$M:$M,MATCH($B$3&amp;"|"&amp;89,IF($B$3="TODAS",'Catálogo'!$U:$U,'Catálogo'!$Q:$Q),0))="","",IMAGE(INDEX('Catálogo'!$M:$M,MATCH($B$3&amp;"|"&amp;89,IF($B$3="TODAS",'Catálogo'!$U:$U,'Catálogo'!$Q:$Q),0)),1)),"")</f>
      </c>
      <c r="B94" s="40">
        <f>IFERROR(INDEX('Catálogo'!$B:$B,MATCH($B$3&amp;"|"&amp;89,IF($B$3="TODAS",'Catálogo'!$U:$U,'Catálogo'!$Q:$Q),0)),"")</f>
      </c>
      <c r="C94" s="41">
        <f>IFERROR(IF(INDEX('Catálogo'!$R:$R,MATCH($B$3&amp;"|"&amp;89,IF($B$3="TODAS",'Catálogo'!$U:$U,'Catálogo'!$Q:$Q),0))="","Cód: "&amp;INDEX('Catálogo'!$A:$A,MATCH($B$3&amp;"|"&amp;89,IF($B$3="TODAS",'Catálogo'!$U:$U,'Catálogo'!$Q:$Q),0)),"Medidas: "&amp;INDEX('Catálogo'!$R:$R,MATCH($B$3&amp;"|"&amp;89,IF($B$3="TODAS",'Catálogo'!$U:$U,'Catálogo'!$Q:$Q),0))&amp;"  ·  Cód: "&amp;INDEX('Catálogo'!$A:$A,MATCH($B$3&amp;"|"&amp;89,IF($B$3="TODAS",'Catálogo'!$U:$U,'Catálogo'!$Q:$Q),0))),"")</f>
      </c>
      <c r="D94" s="42">
        <f>IFERROR(IF($D$3="Mayor",INDEX('Catálogo'!$O:$O,MATCH($B$3&amp;"|"&amp;89,IF($B$3="TODAS",'Catálogo'!$U:$U,'Catálogo'!$Q:$Q),0)),INDEX('Catálogo'!$N:$N,MATCH($B$3&amp;"|"&amp;89,IF($B$3="TODAS",'Catálogo'!$U:$U,'Catálogo'!$Q:$Q),0))),"")</f>
      </c>
    </row>
    <row r="95" ht="90.00" customHeight="1">
      <c r="A95" s="39">
        <f>IFERROR(IF(INDEX('Catálogo'!$M:$M,MATCH($B$3&amp;"|"&amp;90,IF($B$3="TODAS",'Catálogo'!$U:$U,'Catálogo'!$Q:$Q),0))="","",IMAGE(INDEX('Catálogo'!$M:$M,MATCH($B$3&amp;"|"&amp;90,IF($B$3="TODAS",'Catálogo'!$U:$U,'Catálogo'!$Q:$Q),0)),1)),"")</f>
      </c>
      <c r="B95" s="40">
        <f>IFERROR(INDEX('Catálogo'!$B:$B,MATCH($B$3&amp;"|"&amp;90,IF($B$3="TODAS",'Catálogo'!$U:$U,'Catálogo'!$Q:$Q),0)),"")</f>
      </c>
      <c r="C95" s="41">
        <f>IFERROR(IF(INDEX('Catálogo'!$R:$R,MATCH($B$3&amp;"|"&amp;90,IF($B$3="TODAS",'Catálogo'!$U:$U,'Catálogo'!$Q:$Q),0))="","Cód: "&amp;INDEX('Catálogo'!$A:$A,MATCH($B$3&amp;"|"&amp;90,IF($B$3="TODAS",'Catálogo'!$U:$U,'Catálogo'!$Q:$Q),0)),"Medidas: "&amp;INDEX('Catálogo'!$R:$R,MATCH($B$3&amp;"|"&amp;90,IF($B$3="TODAS",'Catálogo'!$U:$U,'Catálogo'!$Q:$Q),0))&amp;"  ·  Cód: "&amp;INDEX('Catálogo'!$A:$A,MATCH($B$3&amp;"|"&amp;90,IF($B$3="TODAS",'Catálogo'!$U:$U,'Catálogo'!$Q:$Q),0))),"")</f>
      </c>
      <c r="D95" s="42">
        <f>IFERROR(IF($D$3="Mayor",INDEX('Catálogo'!$O:$O,MATCH($B$3&amp;"|"&amp;90,IF($B$3="TODAS",'Catálogo'!$U:$U,'Catálogo'!$Q:$Q),0)),INDEX('Catálogo'!$N:$N,MATCH($B$3&amp;"|"&amp;90,IF($B$3="TODAS",'Catálogo'!$U:$U,'Catálogo'!$Q:$Q),0))),"")</f>
      </c>
    </row>
    <row r="96" ht="90.00" customHeight="1">
      <c r="A96" s="39">
        <f>IFERROR(IF(INDEX('Catálogo'!$M:$M,MATCH($B$3&amp;"|"&amp;91,IF($B$3="TODAS",'Catálogo'!$U:$U,'Catálogo'!$Q:$Q),0))="","",IMAGE(INDEX('Catálogo'!$M:$M,MATCH($B$3&amp;"|"&amp;91,IF($B$3="TODAS",'Catálogo'!$U:$U,'Catálogo'!$Q:$Q),0)),1)),"")</f>
      </c>
      <c r="B96" s="40">
        <f>IFERROR(INDEX('Catálogo'!$B:$B,MATCH($B$3&amp;"|"&amp;91,IF($B$3="TODAS",'Catálogo'!$U:$U,'Catálogo'!$Q:$Q),0)),"")</f>
      </c>
      <c r="C96" s="41">
        <f>IFERROR(IF(INDEX('Catálogo'!$R:$R,MATCH($B$3&amp;"|"&amp;91,IF($B$3="TODAS",'Catálogo'!$U:$U,'Catálogo'!$Q:$Q),0))="","Cód: "&amp;INDEX('Catálogo'!$A:$A,MATCH($B$3&amp;"|"&amp;91,IF($B$3="TODAS",'Catálogo'!$U:$U,'Catálogo'!$Q:$Q),0)),"Medidas: "&amp;INDEX('Catálogo'!$R:$R,MATCH($B$3&amp;"|"&amp;91,IF($B$3="TODAS",'Catálogo'!$U:$U,'Catálogo'!$Q:$Q),0))&amp;"  ·  Cód: "&amp;INDEX('Catálogo'!$A:$A,MATCH($B$3&amp;"|"&amp;91,IF($B$3="TODAS",'Catálogo'!$U:$U,'Catálogo'!$Q:$Q),0))),"")</f>
      </c>
      <c r="D96" s="42">
        <f>IFERROR(IF($D$3="Mayor",INDEX('Catálogo'!$O:$O,MATCH($B$3&amp;"|"&amp;91,IF($B$3="TODAS",'Catálogo'!$U:$U,'Catálogo'!$Q:$Q),0)),INDEX('Catálogo'!$N:$N,MATCH($B$3&amp;"|"&amp;91,IF($B$3="TODAS",'Catálogo'!$U:$U,'Catálogo'!$Q:$Q),0))),"")</f>
      </c>
    </row>
    <row r="97" ht="90.00" customHeight="1">
      <c r="A97" s="39">
        <f>IFERROR(IF(INDEX('Catálogo'!$M:$M,MATCH($B$3&amp;"|"&amp;92,IF($B$3="TODAS",'Catálogo'!$U:$U,'Catálogo'!$Q:$Q),0))="","",IMAGE(INDEX('Catálogo'!$M:$M,MATCH($B$3&amp;"|"&amp;92,IF($B$3="TODAS",'Catálogo'!$U:$U,'Catálogo'!$Q:$Q),0)),1)),"")</f>
      </c>
      <c r="B97" s="40">
        <f>IFERROR(INDEX('Catálogo'!$B:$B,MATCH($B$3&amp;"|"&amp;92,IF($B$3="TODAS",'Catálogo'!$U:$U,'Catálogo'!$Q:$Q),0)),"")</f>
      </c>
      <c r="C97" s="41">
        <f>IFERROR(IF(INDEX('Catálogo'!$R:$R,MATCH($B$3&amp;"|"&amp;92,IF($B$3="TODAS",'Catálogo'!$U:$U,'Catálogo'!$Q:$Q),0))="","Cód: "&amp;INDEX('Catálogo'!$A:$A,MATCH($B$3&amp;"|"&amp;92,IF($B$3="TODAS",'Catálogo'!$U:$U,'Catálogo'!$Q:$Q),0)),"Medidas: "&amp;INDEX('Catálogo'!$R:$R,MATCH($B$3&amp;"|"&amp;92,IF($B$3="TODAS",'Catálogo'!$U:$U,'Catálogo'!$Q:$Q),0))&amp;"  ·  Cód: "&amp;INDEX('Catálogo'!$A:$A,MATCH($B$3&amp;"|"&amp;92,IF($B$3="TODAS",'Catálogo'!$U:$U,'Catálogo'!$Q:$Q),0))),"")</f>
      </c>
      <c r="D97" s="42">
        <f>IFERROR(IF($D$3="Mayor",INDEX('Catálogo'!$O:$O,MATCH($B$3&amp;"|"&amp;92,IF($B$3="TODAS",'Catálogo'!$U:$U,'Catálogo'!$Q:$Q),0)),INDEX('Catálogo'!$N:$N,MATCH($B$3&amp;"|"&amp;92,IF($B$3="TODAS",'Catálogo'!$U:$U,'Catálogo'!$Q:$Q),0))),"")</f>
      </c>
    </row>
    <row r="98" ht="90.00" customHeight="1">
      <c r="A98" s="39">
        <f>IFERROR(IF(INDEX('Catálogo'!$M:$M,MATCH($B$3&amp;"|"&amp;93,IF($B$3="TODAS",'Catálogo'!$U:$U,'Catálogo'!$Q:$Q),0))="","",IMAGE(INDEX('Catálogo'!$M:$M,MATCH($B$3&amp;"|"&amp;93,IF($B$3="TODAS",'Catálogo'!$U:$U,'Catálogo'!$Q:$Q),0)),1)),"")</f>
      </c>
      <c r="B98" s="40">
        <f>IFERROR(INDEX('Catálogo'!$B:$B,MATCH($B$3&amp;"|"&amp;93,IF($B$3="TODAS",'Catálogo'!$U:$U,'Catálogo'!$Q:$Q),0)),"")</f>
      </c>
      <c r="C98" s="41">
        <f>IFERROR(IF(INDEX('Catálogo'!$R:$R,MATCH($B$3&amp;"|"&amp;93,IF($B$3="TODAS",'Catálogo'!$U:$U,'Catálogo'!$Q:$Q),0))="","Cód: "&amp;INDEX('Catálogo'!$A:$A,MATCH($B$3&amp;"|"&amp;93,IF($B$3="TODAS",'Catálogo'!$U:$U,'Catálogo'!$Q:$Q),0)),"Medidas: "&amp;INDEX('Catálogo'!$R:$R,MATCH($B$3&amp;"|"&amp;93,IF($B$3="TODAS",'Catálogo'!$U:$U,'Catálogo'!$Q:$Q),0))&amp;"  ·  Cód: "&amp;INDEX('Catálogo'!$A:$A,MATCH($B$3&amp;"|"&amp;93,IF($B$3="TODAS",'Catálogo'!$U:$U,'Catálogo'!$Q:$Q),0))),"")</f>
      </c>
      <c r="D98" s="42">
        <f>IFERROR(IF($D$3="Mayor",INDEX('Catálogo'!$O:$O,MATCH($B$3&amp;"|"&amp;93,IF($B$3="TODAS",'Catálogo'!$U:$U,'Catálogo'!$Q:$Q),0)),INDEX('Catálogo'!$N:$N,MATCH($B$3&amp;"|"&amp;93,IF($B$3="TODAS",'Catálogo'!$U:$U,'Catálogo'!$Q:$Q),0))),"")</f>
      </c>
    </row>
    <row r="99" ht="90.00" customHeight="1">
      <c r="A99" s="39">
        <f>IFERROR(IF(INDEX('Catálogo'!$M:$M,MATCH($B$3&amp;"|"&amp;94,IF($B$3="TODAS",'Catálogo'!$U:$U,'Catálogo'!$Q:$Q),0))="","",IMAGE(INDEX('Catálogo'!$M:$M,MATCH($B$3&amp;"|"&amp;94,IF($B$3="TODAS",'Catálogo'!$U:$U,'Catálogo'!$Q:$Q),0)),1)),"")</f>
      </c>
      <c r="B99" s="40">
        <f>IFERROR(INDEX('Catálogo'!$B:$B,MATCH($B$3&amp;"|"&amp;94,IF($B$3="TODAS",'Catálogo'!$U:$U,'Catálogo'!$Q:$Q),0)),"")</f>
      </c>
      <c r="C99" s="41">
        <f>IFERROR(IF(INDEX('Catálogo'!$R:$R,MATCH($B$3&amp;"|"&amp;94,IF($B$3="TODAS",'Catálogo'!$U:$U,'Catálogo'!$Q:$Q),0))="","Cód: "&amp;INDEX('Catálogo'!$A:$A,MATCH($B$3&amp;"|"&amp;94,IF($B$3="TODAS",'Catálogo'!$U:$U,'Catálogo'!$Q:$Q),0)),"Medidas: "&amp;INDEX('Catálogo'!$R:$R,MATCH($B$3&amp;"|"&amp;94,IF($B$3="TODAS",'Catálogo'!$U:$U,'Catálogo'!$Q:$Q),0))&amp;"  ·  Cód: "&amp;INDEX('Catálogo'!$A:$A,MATCH($B$3&amp;"|"&amp;94,IF($B$3="TODAS",'Catálogo'!$U:$U,'Catálogo'!$Q:$Q),0))),"")</f>
      </c>
      <c r="D99" s="42">
        <f>IFERROR(IF($D$3="Mayor",INDEX('Catálogo'!$O:$O,MATCH($B$3&amp;"|"&amp;94,IF($B$3="TODAS",'Catálogo'!$U:$U,'Catálogo'!$Q:$Q),0)),INDEX('Catálogo'!$N:$N,MATCH($B$3&amp;"|"&amp;94,IF($B$3="TODAS",'Catálogo'!$U:$U,'Catálogo'!$Q:$Q),0))),"")</f>
      </c>
    </row>
    <row r="100" ht="90.00" customHeight="1">
      <c r="A100" s="39">
        <f>IFERROR(IF(INDEX('Catálogo'!$M:$M,MATCH($B$3&amp;"|"&amp;95,IF($B$3="TODAS",'Catálogo'!$U:$U,'Catálogo'!$Q:$Q),0))="","",IMAGE(INDEX('Catálogo'!$M:$M,MATCH($B$3&amp;"|"&amp;95,IF($B$3="TODAS",'Catálogo'!$U:$U,'Catálogo'!$Q:$Q),0)),1)),"")</f>
      </c>
      <c r="B100" s="40">
        <f>IFERROR(INDEX('Catálogo'!$B:$B,MATCH($B$3&amp;"|"&amp;95,IF($B$3="TODAS",'Catálogo'!$U:$U,'Catálogo'!$Q:$Q),0)),"")</f>
      </c>
      <c r="C100" s="41">
        <f>IFERROR(IF(INDEX('Catálogo'!$R:$R,MATCH($B$3&amp;"|"&amp;95,IF($B$3="TODAS",'Catálogo'!$U:$U,'Catálogo'!$Q:$Q),0))="","Cód: "&amp;INDEX('Catálogo'!$A:$A,MATCH($B$3&amp;"|"&amp;95,IF($B$3="TODAS",'Catálogo'!$U:$U,'Catálogo'!$Q:$Q),0)),"Medidas: "&amp;INDEX('Catálogo'!$R:$R,MATCH($B$3&amp;"|"&amp;95,IF($B$3="TODAS",'Catálogo'!$U:$U,'Catálogo'!$Q:$Q),0))&amp;"  ·  Cód: "&amp;INDEX('Catálogo'!$A:$A,MATCH($B$3&amp;"|"&amp;95,IF($B$3="TODAS",'Catálogo'!$U:$U,'Catálogo'!$Q:$Q),0))),"")</f>
      </c>
      <c r="D100" s="42">
        <f>IFERROR(IF($D$3="Mayor",INDEX('Catálogo'!$O:$O,MATCH($B$3&amp;"|"&amp;95,IF($B$3="TODAS",'Catálogo'!$U:$U,'Catálogo'!$Q:$Q),0)),INDEX('Catálogo'!$N:$N,MATCH($B$3&amp;"|"&amp;95,IF($B$3="TODAS",'Catálogo'!$U:$U,'Catálogo'!$Q:$Q),0))),"")</f>
      </c>
    </row>
    <row r="101" ht="90.00" customHeight="1">
      <c r="A101" s="39">
        <f>IFERROR(IF(INDEX('Catálogo'!$M:$M,MATCH($B$3&amp;"|"&amp;96,IF($B$3="TODAS",'Catálogo'!$U:$U,'Catálogo'!$Q:$Q),0))="","",IMAGE(INDEX('Catálogo'!$M:$M,MATCH($B$3&amp;"|"&amp;96,IF($B$3="TODAS",'Catálogo'!$U:$U,'Catálogo'!$Q:$Q),0)),1)),"")</f>
      </c>
      <c r="B101" s="40">
        <f>IFERROR(INDEX('Catálogo'!$B:$B,MATCH($B$3&amp;"|"&amp;96,IF($B$3="TODAS",'Catálogo'!$U:$U,'Catálogo'!$Q:$Q),0)),"")</f>
      </c>
      <c r="C101" s="41">
        <f>IFERROR(IF(INDEX('Catálogo'!$R:$R,MATCH($B$3&amp;"|"&amp;96,IF($B$3="TODAS",'Catálogo'!$U:$U,'Catálogo'!$Q:$Q),0))="","Cód: "&amp;INDEX('Catálogo'!$A:$A,MATCH($B$3&amp;"|"&amp;96,IF($B$3="TODAS",'Catálogo'!$U:$U,'Catálogo'!$Q:$Q),0)),"Medidas: "&amp;INDEX('Catálogo'!$R:$R,MATCH($B$3&amp;"|"&amp;96,IF($B$3="TODAS",'Catálogo'!$U:$U,'Catálogo'!$Q:$Q),0))&amp;"  ·  Cód: "&amp;INDEX('Catálogo'!$A:$A,MATCH($B$3&amp;"|"&amp;96,IF($B$3="TODAS",'Catálogo'!$U:$U,'Catálogo'!$Q:$Q),0))),"")</f>
      </c>
      <c r="D101" s="42">
        <f>IFERROR(IF($D$3="Mayor",INDEX('Catálogo'!$O:$O,MATCH($B$3&amp;"|"&amp;96,IF($B$3="TODAS",'Catálogo'!$U:$U,'Catálogo'!$Q:$Q),0)),INDEX('Catálogo'!$N:$N,MATCH($B$3&amp;"|"&amp;96,IF($B$3="TODAS",'Catálogo'!$U:$U,'Catálogo'!$Q:$Q),0))),"")</f>
      </c>
    </row>
    <row r="102" ht="90.00" customHeight="1">
      <c r="A102" s="39">
        <f>IFERROR(IF(INDEX('Catálogo'!$M:$M,MATCH($B$3&amp;"|"&amp;97,IF($B$3="TODAS",'Catálogo'!$U:$U,'Catálogo'!$Q:$Q),0))="","",IMAGE(INDEX('Catálogo'!$M:$M,MATCH($B$3&amp;"|"&amp;97,IF($B$3="TODAS",'Catálogo'!$U:$U,'Catálogo'!$Q:$Q),0)),1)),"")</f>
      </c>
      <c r="B102" s="40">
        <f>IFERROR(INDEX('Catálogo'!$B:$B,MATCH($B$3&amp;"|"&amp;97,IF($B$3="TODAS",'Catálogo'!$U:$U,'Catálogo'!$Q:$Q),0)),"")</f>
      </c>
      <c r="C102" s="41">
        <f>IFERROR(IF(INDEX('Catálogo'!$R:$R,MATCH($B$3&amp;"|"&amp;97,IF($B$3="TODAS",'Catálogo'!$U:$U,'Catálogo'!$Q:$Q),0))="","Cód: "&amp;INDEX('Catálogo'!$A:$A,MATCH($B$3&amp;"|"&amp;97,IF($B$3="TODAS",'Catálogo'!$U:$U,'Catálogo'!$Q:$Q),0)),"Medidas: "&amp;INDEX('Catálogo'!$R:$R,MATCH($B$3&amp;"|"&amp;97,IF($B$3="TODAS",'Catálogo'!$U:$U,'Catálogo'!$Q:$Q),0))&amp;"  ·  Cód: "&amp;INDEX('Catálogo'!$A:$A,MATCH($B$3&amp;"|"&amp;97,IF($B$3="TODAS",'Catálogo'!$U:$U,'Catálogo'!$Q:$Q),0))),"")</f>
      </c>
      <c r="D102" s="42">
        <f>IFERROR(IF($D$3="Mayor",INDEX('Catálogo'!$O:$O,MATCH($B$3&amp;"|"&amp;97,IF($B$3="TODAS",'Catálogo'!$U:$U,'Catálogo'!$Q:$Q),0)),INDEX('Catálogo'!$N:$N,MATCH($B$3&amp;"|"&amp;97,IF($B$3="TODAS",'Catálogo'!$U:$U,'Catálogo'!$Q:$Q),0))),"")</f>
      </c>
    </row>
    <row r="103" ht="90.00" customHeight="1">
      <c r="A103" s="39">
        <f>IFERROR(IF(INDEX('Catálogo'!$M:$M,MATCH($B$3&amp;"|"&amp;98,IF($B$3="TODAS",'Catálogo'!$U:$U,'Catálogo'!$Q:$Q),0))="","",IMAGE(INDEX('Catálogo'!$M:$M,MATCH($B$3&amp;"|"&amp;98,IF($B$3="TODAS",'Catálogo'!$U:$U,'Catálogo'!$Q:$Q),0)),1)),"")</f>
      </c>
      <c r="B103" s="40">
        <f>IFERROR(INDEX('Catálogo'!$B:$B,MATCH($B$3&amp;"|"&amp;98,IF($B$3="TODAS",'Catálogo'!$U:$U,'Catálogo'!$Q:$Q),0)),"")</f>
      </c>
      <c r="C103" s="41">
        <f>IFERROR(IF(INDEX('Catálogo'!$R:$R,MATCH($B$3&amp;"|"&amp;98,IF($B$3="TODAS",'Catálogo'!$U:$U,'Catálogo'!$Q:$Q),0))="","Cód: "&amp;INDEX('Catálogo'!$A:$A,MATCH($B$3&amp;"|"&amp;98,IF($B$3="TODAS",'Catálogo'!$U:$U,'Catálogo'!$Q:$Q),0)),"Medidas: "&amp;INDEX('Catálogo'!$R:$R,MATCH($B$3&amp;"|"&amp;98,IF($B$3="TODAS",'Catálogo'!$U:$U,'Catálogo'!$Q:$Q),0))&amp;"  ·  Cód: "&amp;INDEX('Catálogo'!$A:$A,MATCH($B$3&amp;"|"&amp;98,IF($B$3="TODAS",'Catálogo'!$U:$U,'Catálogo'!$Q:$Q),0))),"")</f>
      </c>
      <c r="D103" s="42">
        <f>IFERROR(IF($D$3="Mayor",INDEX('Catálogo'!$O:$O,MATCH($B$3&amp;"|"&amp;98,IF($B$3="TODAS",'Catálogo'!$U:$U,'Catálogo'!$Q:$Q),0)),INDEX('Catálogo'!$N:$N,MATCH($B$3&amp;"|"&amp;98,IF($B$3="TODAS",'Catálogo'!$U:$U,'Catálogo'!$Q:$Q),0))),"")</f>
      </c>
    </row>
    <row r="104" ht="90.00" customHeight="1">
      <c r="A104" s="39">
        <f>IFERROR(IF(INDEX('Catálogo'!$M:$M,MATCH($B$3&amp;"|"&amp;99,IF($B$3="TODAS",'Catálogo'!$U:$U,'Catálogo'!$Q:$Q),0))="","",IMAGE(INDEX('Catálogo'!$M:$M,MATCH($B$3&amp;"|"&amp;99,IF($B$3="TODAS",'Catálogo'!$U:$U,'Catálogo'!$Q:$Q),0)),1)),"")</f>
      </c>
      <c r="B104" s="40">
        <f>IFERROR(INDEX('Catálogo'!$B:$B,MATCH($B$3&amp;"|"&amp;99,IF($B$3="TODAS",'Catálogo'!$U:$U,'Catálogo'!$Q:$Q),0)),"")</f>
      </c>
      <c r="C104" s="41">
        <f>IFERROR(IF(INDEX('Catálogo'!$R:$R,MATCH($B$3&amp;"|"&amp;99,IF($B$3="TODAS",'Catálogo'!$U:$U,'Catálogo'!$Q:$Q),0))="","Cód: "&amp;INDEX('Catálogo'!$A:$A,MATCH($B$3&amp;"|"&amp;99,IF($B$3="TODAS",'Catálogo'!$U:$U,'Catálogo'!$Q:$Q),0)),"Medidas: "&amp;INDEX('Catálogo'!$R:$R,MATCH($B$3&amp;"|"&amp;99,IF($B$3="TODAS",'Catálogo'!$U:$U,'Catálogo'!$Q:$Q),0))&amp;"  ·  Cód: "&amp;INDEX('Catálogo'!$A:$A,MATCH($B$3&amp;"|"&amp;99,IF($B$3="TODAS",'Catálogo'!$U:$U,'Catálogo'!$Q:$Q),0))),"")</f>
      </c>
      <c r="D104" s="42">
        <f>IFERROR(IF($D$3="Mayor",INDEX('Catálogo'!$O:$O,MATCH($B$3&amp;"|"&amp;99,IF($B$3="TODAS",'Catálogo'!$U:$U,'Catálogo'!$Q:$Q),0)),INDEX('Catálogo'!$N:$N,MATCH($B$3&amp;"|"&amp;99,IF($B$3="TODAS",'Catálogo'!$U:$U,'Catálogo'!$Q:$Q),0))),"")</f>
      </c>
    </row>
    <row r="105" ht="90.00" customHeight="1">
      <c r="A105" s="39">
        <f>IFERROR(IF(INDEX('Catálogo'!$M:$M,MATCH($B$3&amp;"|"&amp;100,IF($B$3="TODAS",'Catálogo'!$U:$U,'Catálogo'!$Q:$Q),0))="","",IMAGE(INDEX('Catálogo'!$M:$M,MATCH($B$3&amp;"|"&amp;100,IF($B$3="TODAS",'Catálogo'!$U:$U,'Catálogo'!$Q:$Q),0)),1)),"")</f>
      </c>
      <c r="B105" s="40">
        <f>IFERROR(INDEX('Catálogo'!$B:$B,MATCH($B$3&amp;"|"&amp;100,IF($B$3="TODAS",'Catálogo'!$U:$U,'Catálogo'!$Q:$Q),0)),"")</f>
      </c>
      <c r="C105" s="41">
        <f>IFERROR(IF(INDEX('Catálogo'!$R:$R,MATCH($B$3&amp;"|"&amp;100,IF($B$3="TODAS",'Catálogo'!$U:$U,'Catálogo'!$Q:$Q),0))="","Cód: "&amp;INDEX('Catálogo'!$A:$A,MATCH($B$3&amp;"|"&amp;100,IF($B$3="TODAS",'Catálogo'!$U:$U,'Catálogo'!$Q:$Q),0)),"Medidas: "&amp;INDEX('Catálogo'!$R:$R,MATCH($B$3&amp;"|"&amp;100,IF($B$3="TODAS",'Catálogo'!$U:$U,'Catálogo'!$Q:$Q),0))&amp;"  ·  Cód: "&amp;INDEX('Catálogo'!$A:$A,MATCH($B$3&amp;"|"&amp;100,IF($B$3="TODAS",'Catálogo'!$U:$U,'Catálogo'!$Q:$Q),0))),"")</f>
      </c>
      <c r="D105" s="42">
        <f>IFERROR(IF($D$3="Mayor",INDEX('Catálogo'!$O:$O,MATCH($B$3&amp;"|"&amp;100,IF($B$3="TODAS",'Catálogo'!$U:$U,'Catálogo'!$Q:$Q),0)),INDEX('Catálogo'!$N:$N,MATCH($B$3&amp;"|"&amp;100,IF($B$3="TODAS",'Catálogo'!$U:$U,'Catálogo'!$Q:$Q),0))),"")</f>
      </c>
    </row>
    <row r="106" ht="90.00" customHeight="1">
      <c r="A106" s="39">
        <f>IFERROR(IF(INDEX('Catálogo'!$M:$M,MATCH($B$3&amp;"|"&amp;101,IF($B$3="TODAS",'Catálogo'!$U:$U,'Catálogo'!$Q:$Q),0))="","",IMAGE(INDEX('Catálogo'!$M:$M,MATCH($B$3&amp;"|"&amp;101,IF($B$3="TODAS",'Catálogo'!$U:$U,'Catálogo'!$Q:$Q),0)),1)),"")</f>
      </c>
      <c r="B106" s="40">
        <f>IFERROR(INDEX('Catálogo'!$B:$B,MATCH($B$3&amp;"|"&amp;101,IF($B$3="TODAS",'Catálogo'!$U:$U,'Catálogo'!$Q:$Q),0)),"")</f>
      </c>
      <c r="C106" s="41">
        <f>IFERROR(IF(INDEX('Catálogo'!$R:$R,MATCH($B$3&amp;"|"&amp;101,IF($B$3="TODAS",'Catálogo'!$U:$U,'Catálogo'!$Q:$Q),0))="","Cód: "&amp;INDEX('Catálogo'!$A:$A,MATCH($B$3&amp;"|"&amp;101,IF($B$3="TODAS",'Catálogo'!$U:$U,'Catálogo'!$Q:$Q),0)),"Medidas: "&amp;INDEX('Catálogo'!$R:$R,MATCH($B$3&amp;"|"&amp;101,IF($B$3="TODAS",'Catálogo'!$U:$U,'Catálogo'!$Q:$Q),0))&amp;"  ·  Cód: "&amp;INDEX('Catálogo'!$A:$A,MATCH($B$3&amp;"|"&amp;101,IF($B$3="TODAS",'Catálogo'!$U:$U,'Catálogo'!$Q:$Q),0))),"")</f>
      </c>
      <c r="D106" s="42">
        <f>IFERROR(IF($D$3="Mayor",INDEX('Catálogo'!$O:$O,MATCH($B$3&amp;"|"&amp;101,IF($B$3="TODAS",'Catálogo'!$U:$U,'Catálogo'!$Q:$Q),0)),INDEX('Catálogo'!$N:$N,MATCH($B$3&amp;"|"&amp;101,IF($B$3="TODAS",'Catálogo'!$U:$U,'Catálogo'!$Q:$Q),0))),"")</f>
      </c>
    </row>
    <row r="107" ht="90.00" customHeight="1">
      <c r="A107" s="39">
        <f>IFERROR(IF(INDEX('Catálogo'!$M:$M,MATCH($B$3&amp;"|"&amp;102,IF($B$3="TODAS",'Catálogo'!$U:$U,'Catálogo'!$Q:$Q),0))="","",IMAGE(INDEX('Catálogo'!$M:$M,MATCH($B$3&amp;"|"&amp;102,IF($B$3="TODAS",'Catálogo'!$U:$U,'Catálogo'!$Q:$Q),0)),1)),"")</f>
      </c>
      <c r="B107" s="40">
        <f>IFERROR(INDEX('Catálogo'!$B:$B,MATCH($B$3&amp;"|"&amp;102,IF($B$3="TODAS",'Catálogo'!$U:$U,'Catálogo'!$Q:$Q),0)),"")</f>
      </c>
      <c r="C107" s="41">
        <f>IFERROR(IF(INDEX('Catálogo'!$R:$R,MATCH($B$3&amp;"|"&amp;102,IF($B$3="TODAS",'Catálogo'!$U:$U,'Catálogo'!$Q:$Q),0))="","Cód: "&amp;INDEX('Catálogo'!$A:$A,MATCH($B$3&amp;"|"&amp;102,IF($B$3="TODAS",'Catálogo'!$U:$U,'Catálogo'!$Q:$Q),0)),"Medidas: "&amp;INDEX('Catálogo'!$R:$R,MATCH($B$3&amp;"|"&amp;102,IF($B$3="TODAS",'Catálogo'!$U:$U,'Catálogo'!$Q:$Q),0))&amp;"  ·  Cód: "&amp;INDEX('Catálogo'!$A:$A,MATCH($B$3&amp;"|"&amp;102,IF($B$3="TODAS",'Catálogo'!$U:$U,'Catálogo'!$Q:$Q),0))),"")</f>
      </c>
      <c r="D107" s="42">
        <f>IFERROR(IF($D$3="Mayor",INDEX('Catálogo'!$O:$O,MATCH($B$3&amp;"|"&amp;102,IF($B$3="TODAS",'Catálogo'!$U:$U,'Catálogo'!$Q:$Q),0)),INDEX('Catálogo'!$N:$N,MATCH($B$3&amp;"|"&amp;102,IF($B$3="TODAS",'Catálogo'!$U:$U,'Catálogo'!$Q:$Q),0))),"")</f>
      </c>
    </row>
    <row r="108" ht="90.00" customHeight="1">
      <c r="A108" s="39">
        <f>IFERROR(IF(INDEX('Catálogo'!$M:$M,MATCH($B$3&amp;"|"&amp;103,IF($B$3="TODAS",'Catálogo'!$U:$U,'Catálogo'!$Q:$Q),0))="","",IMAGE(INDEX('Catálogo'!$M:$M,MATCH($B$3&amp;"|"&amp;103,IF($B$3="TODAS",'Catálogo'!$U:$U,'Catálogo'!$Q:$Q),0)),1)),"")</f>
      </c>
      <c r="B108" s="40">
        <f>IFERROR(INDEX('Catálogo'!$B:$B,MATCH($B$3&amp;"|"&amp;103,IF($B$3="TODAS",'Catálogo'!$U:$U,'Catálogo'!$Q:$Q),0)),"")</f>
      </c>
      <c r="C108" s="41">
        <f>IFERROR(IF(INDEX('Catálogo'!$R:$R,MATCH($B$3&amp;"|"&amp;103,IF($B$3="TODAS",'Catálogo'!$U:$U,'Catálogo'!$Q:$Q),0))="","Cód: "&amp;INDEX('Catálogo'!$A:$A,MATCH($B$3&amp;"|"&amp;103,IF($B$3="TODAS",'Catálogo'!$U:$U,'Catálogo'!$Q:$Q),0)),"Medidas: "&amp;INDEX('Catálogo'!$R:$R,MATCH($B$3&amp;"|"&amp;103,IF($B$3="TODAS",'Catálogo'!$U:$U,'Catálogo'!$Q:$Q),0))&amp;"  ·  Cód: "&amp;INDEX('Catálogo'!$A:$A,MATCH($B$3&amp;"|"&amp;103,IF($B$3="TODAS",'Catálogo'!$U:$U,'Catálogo'!$Q:$Q),0))),"")</f>
      </c>
      <c r="D108" s="42">
        <f>IFERROR(IF($D$3="Mayor",INDEX('Catálogo'!$O:$O,MATCH($B$3&amp;"|"&amp;103,IF($B$3="TODAS",'Catálogo'!$U:$U,'Catálogo'!$Q:$Q),0)),INDEX('Catálogo'!$N:$N,MATCH($B$3&amp;"|"&amp;103,IF($B$3="TODAS",'Catálogo'!$U:$U,'Catálogo'!$Q:$Q),0))),"")</f>
      </c>
    </row>
    <row r="109" ht="90.00" customHeight="1">
      <c r="A109" s="39">
        <f>IFERROR(IF(INDEX('Catálogo'!$M:$M,MATCH($B$3&amp;"|"&amp;104,IF($B$3="TODAS",'Catálogo'!$U:$U,'Catálogo'!$Q:$Q),0))="","",IMAGE(INDEX('Catálogo'!$M:$M,MATCH($B$3&amp;"|"&amp;104,IF($B$3="TODAS",'Catálogo'!$U:$U,'Catálogo'!$Q:$Q),0)),1)),"")</f>
      </c>
      <c r="B109" s="40">
        <f>IFERROR(INDEX('Catálogo'!$B:$B,MATCH($B$3&amp;"|"&amp;104,IF($B$3="TODAS",'Catálogo'!$U:$U,'Catálogo'!$Q:$Q),0)),"")</f>
      </c>
      <c r="C109" s="41">
        <f>IFERROR(IF(INDEX('Catálogo'!$R:$R,MATCH($B$3&amp;"|"&amp;104,IF($B$3="TODAS",'Catálogo'!$U:$U,'Catálogo'!$Q:$Q),0))="","Cód: "&amp;INDEX('Catálogo'!$A:$A,MATCH($B$3&amp;"|"&amp;104,IF($B$3="TODAS",'Catálogo'!$U:$U,'Catálogo'!$Q:$Q),0)),"Medidas: "&amp;INDEX('Catálogo'!$R:$R,MATCH($B$3&amp;"|"&amp;104,IF($B$3="TODAS",'Catálogo'!$U:$U,'Catálogo'!$Q:$Q),0))&amp;"  ·  Cód: "&amp;INDEX('Catálogo'!$A:$A,MATCH($B$3&amp;"|"&amp;104,IF($B$3="TODAS",'Catálogo'!$U:$U,'Catálogo'!$Q:$Q),0))),"")</f>
      </c>
      <c r="D109" s="42">
        <f>IFERROR(IF($D$3="Mayor",INDEX('Catálogo'!$O:$O,MATCH($B$3&amp;"|"&amp;104,IF($B$3="TODAS",'Catálogo'!$U:$U,'Catálogo'!$Q:$Q),0)),INDEX('Catálogo'!$N:$N,MATCH($B$3&amp;"|"&amp;104,IF($B$3="TODAS",'Catálogo'!$U:$U,'Catálogo'!$Q:$Q),0))),"")</f>
      </c>
    </row>
    <row r="110" ht="90.00" customHeight="1">
      <c r="A110" s="39">
        <f>IFERROR(IF(INDEX('Catálogo'!$M:$M,MATCH($B$3&amp;"|"&amp;105,IF($B$3="TODAS",'Catálogo'!$U:$U,'Catálogo'!$Q:$Q),0))="","",IMAGE(INDEX('Catálogo'!$M:$M,MATCH($B$3&amp;"|"&amp;105,IF($B$3="TODAS",'Catálogo'!$U:$U,'Catálogo'!$Q:$Q),0)),1)),"")</f>
      </c>
      <c r="B110" s="40">
        <f>IFERROR(INDEX('Catálogo'!$B:$B,MATCH($B$3&amp;"|"&amp;105,IF($B$3="TODAS",'Catálogo'!$U:$U,'Catálogo'!$Q:$Q),0)),"")</f>
      </c>
      <c r="C110" s="41">
        <f>IFERROR(IF(INDEX('Catálogo'!$R:$R,MATCH($B$3&amp;"|"&amp;105,IF($B$3="TODAS",'Catálogo'!$U:$U,'Catálogo'!$Q:$Q),0))="","Cód: "&amp;INDEX('Catálogo'!$A:$A,MATCH($B$3&amp;"|"&amp;105,IF($B$3="TODAS",'Catálogo'!$U:$U,'Catálogo'!$Q:$Q),0)),"Medidas: "&amp;INDEX('Catálogo'!$R:$R,MATCH($B$3&amp;"|"&amp;105,IF($B$3="TODAS",'Catálogo'!$U:$U,'Catálogo'!$Q:$Q),0))&amp;"  ·  Cód: "&amp;INDEX('Catálogo'!$A:$A,MATCH($B$3&amp;"|"&amp;105,IF($B$3="TODAS",'Catálogo'!$U:$U,'Catálogo'!$Q:$Q),0))),"")</f>
      </c>
      <c r="D110" s="42">
        <f>IFERROR(IF($D$3="Mayor",INDEX('Catálogo'!$O:$O,MATCH($B$3&amp;"|"&amp;105,IF($B$3="TODAS",'Catálogo'!$U:$U,'Catálogo'!$Q:$Q),0)),INDEX('Catálogo'!$N:$N,MATCH($B$3&amp;"|"&amp;105,IF($B$3="TODAS",'Catálogo'!$U:$U,'Catálogo'!$Q:$Q),0))),"")</f>
      </c>
    </row>
    <row r="111" ht="90.00" customHeight="1">
      <c r="A111" s="39">
        <f>IFERROR(IF(INDEX('Catálogo'!$M:$M,MATCH($B$3&amp;"|"&amp;106,IF($B$3="TODAS",'Catálogo'!$U:$U,'Catálogo'!$Q:$Q),0))="","",IMAGE(INDEX('Catálogo'!$M:$M,MATCH($B$3&amp;"|"&amp;106,IF($B$3="TODAS",'Catálogo'!$U:$U,'Catálogo'!$Q:$Q),0)),1)),"")</f>
      </c>
      <c r="B111" s="40">
        <f>IFERROR(INDEX('Catálogo'!$B:$B,MATCH($B$3&amp;"|"&amp;106,IF($B$3="TODAS",'Catálogo'!$U:$U,'Catálogo'!$Q:$Q),0)),"")</f>
      </c>
      <c r="C111" s="41">
        <f>IFERROR(IF(INDEX('Catálogo'!$R:$R,MATCH($B$3&amp;"|"&amp;106,IF($B$3="TODAS",'Catálogo'!$U:$U,'Catálogo'!$Q:$Q),0))="","Cód: "&amp;INDEX('Catálogo'!$A:$A,MATCH($B$3&amp;"|"&amp;106,IF($B$3="TODAS",'Catálogo'!$U:$U,'Catálogo'!$Q:$Q),0)),"Medidas: "&amp;INDEX('Catálogo'!$R:$R,MATCH($B$3&amp;"|"&amp;106,IF($B$3="TODAS",'Catálogo'!$U:$U,'Catálogo'!$Q:$Q),0))&amp;"  ·  Cód: "&amp;INDEX('Catálogo'!$A:$A,MATCH($B$3&amp;"|"&amp;106,IF($B$3="TODAS",'Catálogo'!$U:$U,'Catálogo'!$Q:$Q),0))),"")</f>
      </c>
      <c r="D111" s="42">
        <f>IFERROR(IF($D$3="Mayor",INDEX('Catálogo'!$O:$O,MATCH($B$3&amp;"|"&amp;106,IF($B$3="TODAS",'Catálogo'!$U:$U,'Catálogo'!$Q:$Q),0)),INDEX('Catálogo'!$N:$N,MATCH($B$3&amp;"|"&amp;106,IF($B$3="TODAS",'Catálogo'!$U:$U,'Catálogo'!$Q:$Q),0))),"")</f>
      </c>
    </row>
    <row r="112" ht="90.00" customHeight="1">
      <c r="A112" s="39">
        <f>IFERROR(IF(INDEX('Catálogo'!$M:$M,MATCH($B$3&amp;"|"&amp;107,IF($B$3="TODAS",'Catálogo'!$U:$U,'Catálogo'!$Q:$Q),0))="","",IMAGE(INDEX('Catálogo'!$M:$M,MATCH($B$3&amp;"|"&amp;107,IF($B$3="TODAS",'Catálogo'!$U:$U,'Catálogo'!$Q:$Q),0)),1)),"")</f>
      </c>
      <c r="B112" s="40">
        <f>IFERROR(INDEX('Catálogo'!$B:$B,MATCH($B$3&amp;"|"&amp;107,IF($B$3="TODAS",'Catálogo'!$U:$U,'Catálogo'!$Q:$Q),0)),"")</f>
      </c>
      <c r="C112" s="41">
        <f>IFERROR(IF(INDEX('Catálogo'!$R:$R,MATCH($B$3&amp;"|"&amp;107,IF($B$3="TODAS",'Catálogo'!$U:$U,'Catálogo'!$Q:$Q),0))="","Cód: "&amp;INDEX('Catálogo'!$A:$A,MATCH($B$3&amp;"|"&amp;107,IF($B$3="TODAS",'Catálogo'!$U:$U,'Catálogo'!$Q:$Q),0)),"Medidas: "&amp;INDEX('Catálogo'!$R:$R,MATCH($B$3&amp;"|"&amp;107,IF($B$3="TODAS",'Catálogo'!$U:$U,'Catálogo'!$Q:$Q),0))&amp;"  ·  Cód: "&amp;INDEX('Catálogo'!$A:$A,MATCH($B$3&amp;"|"&amp;107,IF($B$3="TODAS",'Catálogo'!$U:$U,'Catálogo'!$Q:$Q),0))),"")</f>
      </c>
      <c r="D112" s="42">
        <f>IFERROR(IF($D$3="Mayor",INDEX('Catálogo'!$O:$O,MATCH($B$3&amp;"|"&amp;107,IF($B$3="TODAS",'Catálogo'!$U:$U,'Catálogo'!$Q:$Q),0)),INDEX('Catálogo'!$N:$N,MATCH($B$3&amp;"|"&amp;107,IF($B$3="TODAS",'Catálogo'!$U:$U,'Catálogo'!$Q:$Q),0))),"")</f>
      </c>
    </row>
    <row r="113" ht="90.00" customHeight="1">
      <c r="A113" s="39">
        <f>IFERROR(IF(INDEX('Catálogo'!$M:$M,MATCH($B$3&amp;"|"&amp;108,IF($B$3="TODAS",'Catálogo'!$U:$U,'Catálogo'!$Q:$Q),0))="","",IMAGE(INDEX('Catálogo'!$M:$M,MATCH($B$3&amp;"|"&amp;108,IF($B$3="TODAS",'Catálogo'!$U:$U,'Catálogo'!$Q:$Q),0)),1)),"")</f>
      </c>
      <c r="B113" s="40">
        <f>IFERROR(INDEX('Catálogo'!$B:$B,MATCH($B$3&amp;"|"&amp;108,IF($B$3="TODAS",'Catálogo'!$U:$U,'Catálogo'!$Q:$Q),0)),"")</f>
      </c>
      <c r="C113" s="41">
        <f>IFERROR(IF(INDEX('Catálogo'!$R:$R,MATCH($B$3&amp;"|"&amp;108,IF($B$3="TODAS",'Catálogo'!$U:$U,'Catálogo'!$Q:$Q),0))="","Cód: "&amp;INDEX('Catálogo'!$A:$A,MATCH($B$3&amp;"|"&amp;108,IF($B$3="TODAS",'Catálogo'!$U:$U,'Catálogo'!$Q:$Q),0)),"Medidas: "&amp;INDEX('Catálogo'!$R:$R,MATCH($B$3&amp;"|"&amp;108,IF($B$3="TODAS",'Catálogo'!$U:$U,'Catálogo'!$Q:$Q),0))&amp;"  ·  Cód: "&amp;INDEX('Catálogo'!$A:$A,MATCH($B$3&amp;"|"&amp;108,IF($B$3="TODAS",'Catálogo'!$U:$U,'Catálogo'!$Q:$Q),0))),"")</f>
      </c>
      <c r="D113" s="42">
        <f>IFERROR(IF($D$3="Mayor",INDEX('Catálogo'!$O:$O,MATCH($B$3&amp;"|"&amp;108,IF($B$3="TODAS",'Catálogo'!$U:$U,'Catálogo'!$Q:$Q),0)),INDEX('Catálogo'!$N:$N,MATCH($B$3&amp;"|"&amp;108,IF($B$3="TODAS",'Catálogo'!$U:$U,'Catálogo'!$Q:$Q),0))),"")</f>
      </c>
    </row>
    <row r="114" ht="90.00" customHeight="1">
      <c r="A114" s="39">
        <f>IFERROR(IF(INDEX('Catálogo'!$M:$M,MATCH($B$3&amp;"|"&amp;109,IF($B$3="TODAS",'Catálogo'!$U:$U,'Catálogo'!$Q:$Q),0))="","",IMAGE(INDEX('Catálogo'!$M:$M,MATCH($B$3&amp;"|"&amp;109,IF($B$3="TODAS",'Catálogo'!$U:$U,'Catálogo'!$Q:$Q),0)),1)),"")</f>
      </c>
      <c r="B114" s="40">
        <f>IFERROR(INDEX('Catálogo'!$B:$B,MATCH($B$3&amp;"|"&amp;109,IF($B$3="TODAS",'Catálogo'!$U:$U,'Catálogo'!$Q:$Q),0)),"")</f>
      </c>
      <c r="C114" s="41">
        <f>IFERROR(IF(INDEX('Catálogo'!$R:$R,MATCH($B$3&amp;"|"&amp;109,IF($B$3="TODAS",'Catálogo'!$U:$U,'Catálogo'!$Q:$Q),0))="","Cód: "&amp;INDEX('Catálogo'!$A:$A,MATCH($B$3&amp;"|"&amp;109,IF($B$3="TODAS",'Catálogo'!$U:$U,'Catálogo'!$Q:$Q),0)),"Medidas: "&amp;INDEX('Catálogo'!$R:$R,MATCH($B$3&amp;"|"&amp;109,IF($B$3="TODAS",'Catálogo'!$U:$U,'Catálogo'!$Q:$Q),0))&amp;"  ·  Cód: "&amp;INDEX('Catálogo'!$A:$A,MATCH($B$3&amp;"|"&amp;109,IF($B$3="TODAS",'Catálogo'!$U:$U,'Catálogo'!$Q:$Q),0))),"")</f>
      </c>
      <c r="D114" s="42">
        <f>IFERROR(IF($D$3="Mayor",INDEX('Catálogo'!$O:$O,MATCH($B$3&amp;"|"&amp;109,IF($B$3="TODAS",'Catálogo'!$U:$U,'Catálogo'!$Q:$Q),0)),INDEX('Catálogo'!$N:$N,MATCH($B$3&amp;"|"&amp;109,IF($B$3="TODAS",'Catálogo'!$U:$U,'Catálogo'!$Q:$Q),0))),"")</f>
      </c>
    </row>
    <row r="115" ht="90.00" customHeight="1">
      <c r="A115" s="39">
        <f>IFERROR(IF(INDEX('Catálogo'!$M:$M,MATCH($B$3&amp;"|"&amp;110,IF($B$3="TODAS",'Catálogo'!$U:$U,'Catálogo'!$Q:$Q),0))="","",IMAGE(INDEX('Catálogo'!$M:$M,MATCH($B$3&amp;"|"&amp;110,IF($B$3="TODAS",'Catálogo'!$U:$U,'Catálogo'!$Q:$Q),0)),1)),"")</f>
      </c>
      <c r="B115" s="40">
        <f>IFERROR(INDEX('Catálogo'!$B:$B,MATCH($B$3&amp;"|"&amp;110,IF($B$3="TODAS",'Catálogo'!$U:$U,'Catálogo'!$Q:$Q),0)),"")</f>
      </c>
      <c r="C115" s="41">
        <f>IFERROR(IF(INDEX('Catálogo'!$R:$R,MATCH($B$3&amp;"|"&amp;110,IF($B$3="TODAS",'Catálogo'!$U:$U,'Catálogo'!$Q:$Q),0))="","Cód: "&amp;INDEX('Catálogo'!$A:$A,MATCH($B$3&amp;"|"&amp;110,IF($B$3="TODAS",'Catálogo'!$U:$U,'Catálogo'!$Q:$Q),0)),"Medidas: "&amp;INDEX('Catálogo'!$R:$R,MATCH($B$3&amp;"|"&amp;110,IF($B$3="TODAS",'Catálogo'!$U:$U,'Catálogo'!$Q:$Q),0))&amp;"  ·  Cód: "&amp;INDEX('Catálogo'!$A:$A,MATCH($B$3&amp;"|"&amp;110,IF($B$3="TODAS",'Catálogo'!$U:$U,'Catálogo'!$Q:$Q),0))),"")</f>
      </c>
      <c r="D115" s="42">
        <f>IFERROR(IF($D$3="Mayor",INDEX('Catálogo'!$O:$O,MATCH($B$3&amp;"|"&amp;110,IF($B$3="TODAS",'Catálogo'!$U:$U,'Catálogo'!$Q:$Q),0)),INDEX('Catálogo'!$N:$N,MATCH($B$3&amp;"|"&amp;110,IF($B$3="TODAS",'Catálogo'!$U:$U,'Catálogo'!$Q:$Q),0))),"")</f>
      </c>
    </row>
    <row r="116" ht="90.00" customHeight="1">
      <c r="A116" s="39">
        <f>IFERROR(IF(INDEX('Catálogo'!$M:$M,MATCH($B$3&amp;"|"&amp;111,IF($B$3="TODAS",'Catálogo'!$U:$U,'Catálogo'!$Q:$Q),0))="","",IMAGE(INDEX('Catálogo'!$M:$M,MATCH($B$3&amp;"|"&amp;111,IF($B$3="TODAS",'Catálogo'!$U:$U,'Catálogo'!$Q:$Q),0)),1)),"")</f>
      </c>
      <c r="B116" s="40">
        <f>IFERROR(INDEX('Catálogo'!$B:$B,MATCH($B$3&amp;"|"&amp;111,IF($B$3="TODAS",'Catálogo'!$U:$U,'Catálogo'!$Q:$Q),0)),"")</f>
      </c>
      <c r="C116" s="41">
        <f>IFERROR(IF(INDEX('Catálogo'!$R:$R,MATCH($B$3&amp;"|"&amp;111,IF($B$3="TODAS",'Catálogo'!$U:$U,'Catálogo'!$Q:$Q),0))="","Cód: "&amp;INDEX('Catálogo'!$A:$A,MATCH($B$3&amp;"|"&amp;111,IF($B$3="TODAS",'Catálogo'!$U:$U,'Catálogo'!$Q:$Q),0)),"Medidas: "&amp;INDEX('Catálogo'!$R:$R,MATCH($B$3&amp;"|"&amp;111,IF($B$3="TODAS",'Catálogo'!$U:$U,'Catálogo'!$Q:$Q),0))&amp;"  ·  Cód: "&amp;INDEX('Catálogo'!$A:$A,MATCH($B$3&amp;"|"&amp;111,IF($B$3="TODAS",'Catálogo'!$U:$U,'Catálogo'!$Q:$Q),0))),"")</f>
      </c>
      <c r="D116" s="42">
        <f>IFERROR(IF($D$3="Mayor",INDEX('Catálogo'!$O:$O,MATCH($B$3&amp;"|"&amp;111,IF($B$3="TODAS",'Catálogo'!$U:$U,'Catálogo'!$Q:$Q),0)),INDEX('Catálogo'!$N:$N,MATCH($B$3&amp;"|"&amp;111,IF($B$3="TODAS",'Catálogo'!$U:$U,'Catálogo'!$Q:$Q),0))),"")</f>
      </c>
    </row>
    <row r="117" ht="90.00" customHeight="1">
      <c r="A117" s="39">
        <f>IFERROR(IF(INDEX('Catálogo'!$M:$M,MATCH($B$3&amp;"|"&amp;112,IF($B$3="TODAS",'Catálogo'!$U:$U,'Catálogo'!$Q:$Q),0))="","",IMAGE(INDEX('Catálogo'!$M:$M,MATCH($B$3&amp;"|"&amp;112,IF($B$3="TODAS",'Catálogo'!$U:$U,'Catálogo'!$Q:$Q),0)),1)),"")</f>
      </c>
      <c r="B117" s="40">
        <f>IFERROR(INDEX('Catálogo'!$B:$B,MATCH($B$3&amp;"|"&amp;112,IF($B$3="TODAS",'Catálogo'!$U:$U,'Catálogo'!$Q:$Q),0)),"")</f>
      </c>
      <c r="C117" s="41">
        <f>IFERROR(IF(INDEX('Catálogo'!$R:$R,MATCH($B$3&amp;"|"&amp;112,IF($B$3="TODAS",'Catálogo'!$U:$U,'Catálogo'!$Q:$Q),0))="","Cód: "&amp;INDEX('Catálogo'!$A:$A,MATCH($B$3&amp;"|"&amp;112,IF($B$3="TODAS",'Catálogo'!$U:$U,'Catálogo'!$Q:$Q),0)),"Medidas: "&amp;INDEX('Catálogo'!$R:$R,MATCH($B$3&amp;"|"&amp;112,IF($B$3="TODAS",'Catálogo'!$U:$U,'Catálogo'!$Q:$Q),0))&amp;"  ·  Cód: "&amp;INDEX('Catálogo'!$A:$A,MATCH($B$3&amp;"|"&amp;112,IF($B$3="TODAS",'Catálogo'!$U:$U,'Catálogo'!$Q:$Q),0))),"")</f>
      </c>
      <c r="D117" s="42">
        <f>IFERROR(IF($D$3="Mayor",INDEX('Catálogo'!$O:$O,MATCH($B$3&amp;"|"&amp;112,IF($B$3="TODAS",'Catálogo'!$U:$U,'Catálogo'!$Q:$Q),0)),INDEX('Catálogo'!$N:$N,MATCH($B$3&amp;"|"&amp;112,IF($B$3="TODAS",'Catálogo'!$U:$U,'Catálogo'!$Q:$Q),0))),"")</f>
      </c>
    </row>
    <row r="118" ht="90.00" customHeight="1">
      <c r="A118" s="39">
        <f>IFERROR(IF(INDEX('Catálogo'!$M:$M,MATCH($B$3&amp;"|"&amp;113,IF($B$3="TODAS",'Catálogo'!$U:$U,'Catálogo'!$Q:$Q),0))="","",IMAGE(INDEX('Catálogo'!$M:$M,MATCH($B$3&amp;"|"&amp;113,IF($B$3="TODAS",'Catálogo'!$U:$U,'Catálogo'!$Q:$Q),0)),1)),"")</f>
      </c>
      <c r="B118" s="40">
        <f>IFERROR(INDEX('Catálogo'!$B:$B,MATCH($B$3&amp;"|"&amp;113,IF($B$3="TODAS",'Catálogo'!$U:$U,'Catálogo'!$Q:$Q),0)),"")</f>
      </c>
      <c r="C118" s="41">
        <f>IFERROR(IF(INDEX('Catálogo'!$R:$R,MATCH($B$3&amp;"|"&amp;113,IF($B$3="TODAS",'Catálogo'!$U:$U,'Catálogo'!$Q:$Q),0))="","Cód: "&amp;INDEX('Catálogo'!$A:$A,MATCH($B$3&amp;"|"&amp;113,IF($B$3="TODAS",'Catálogo'!$U:$U,'Catálogo'!$Q:$Q),0)),"Medidas: "&amp;INDEX('Catálogo'!$R:$R,MATCH($B$3&amp;"|"&amp;113,IF($B$3="TODAS",'Catálogo'!$U:$U,'Catálogo'!$Q:$Q),0))&amp;"  ·  Cód: "&amp;INDEX('Catálogo'!$A:$A,MATCH($B$3&amp;"|"&amp;113,IF($B$3="TODAS",'Catálogo'!$U:$U,'Catálogo'!$Q:$Q),0))),"")</f>
      </c>
      <c r="D118" s="42">
        <f>IFERROR(IF($D$3="Mayor",INDEX('Catálogo'!$O:$O,MATCH($B$3&amp;"|"&amp;113,IF($B$3="TODAS",'Catálogo'!$U:$U,'Catálogo'!$Q:$Q),0)),INDEX('Catálogo'!$N:$N,MATCH($B$3&amp;"|"&amp;113,IF($B$3="TODAS",'Catálogo'!$U:$U,'Catálogo'!$Q:$Q),0))),"")</f>
      </c>
    </row>
    <row r="119" ht="90.00" customHeight="1">
      <c r="A119" s="39">
        <f>IFERROR(IF(INDEX('Catálogo'!$M:$M,MATCH($B$3&amp;"|"&amp;114,IF($B$3="TODAS",'Catálogo'!$U:$U,'Catálogo'!$Q:$Q),0))="","",IMAGE(INDEX('Catálogo'!$M:$M,MATCH($B$3&amp;"|"&amp;114,IF($B$3="TODAS",'Catálogo'!$U:$U,'Catálogo'!$Q:$Q),0)),1)),"")</f>
      </c>
      <c r="B119" s="40">
        <f>IFERROR(INDEX('Catálogo'!$B:$B,MATCH($B$3&amp;"|"&amp;114,IF($B$3="TODAS",'Catálogo'!$U:$U,'Catálogo'!$Q:$Q),0)),"")</f>
      </c>
      <c r="C119" s="41">
        <f>IFERROR(IF(INDEX('Catálogo'!$R:$R,MATCH($B$3&amp;"|"&amp;114,IF($B$3="TODAS",'Catálogo'!$U:$U,'Catálogo'!$Q:$Q),0))="","Cód: "&amp;INDEX('Catálogo'!$A:$A,MATCH($B$3&amp;"|"&amp;114,IF($B$3="TODAS",'Catálogo'!$U:$U,'Catálogo'!$Q:$Q),0)),"Medidas: "&amp;INDEX('Catálogo'!$R:$R,MATCH($B$3&amp;"|"&amp;114,IF($B$3="TODAS",'Catálogo'!$U:$U,'Catálogo'!$Q:$Q),0))&amp;"  ·  Cód: "&amp;INDEX('Catálogo'!$A:$A,MATCH($B$3&amp;"|"&amp;114,IF($B$3="TODAS",'Catálogo'!$U:$U,'Catálogo'!$Q:$Q),0))),"")</f>
      </c>
      <c r="D119" s="42">
        <f>IFERROR(IF($D$3="Mayor",INDEX('Catálogo'!$O:$O,MATCH($B$3&amp;"|"&amp;114,IF($B$3="TODAS",'Catálogo'!$U:$U,'Catálogo'!$Q:$Q),0)),INDEX('Catálogo'!$N:$N,MATCH($B$3&amp;"|"&amp;114,IF($B$3="TODAS",'Catálogo'!$U:$U,'Catálogo'!$Q:$Q),0))),"")</f>
      </c>
    </row>
    <row r="120" ht="90.00" customHeight="1">
      <c r="A120" s="39">
        <f>IFERROR(IF(INDEX('Catálogo'!$M:$M,MATCH($B$3&amp;"|"&amp;115,IF($B$3="TODAS",'Catálogo'!$U:$U,'Catálogo'!$Q:$Q),0))="","",IMAGE(INDEX('Catálogo'!$M:$M,MATCH($B$3&amp;"|"&amp;115,IF($B$3="TODAS",'Catálogo'!$U:$U,'Catálogo'!$Q:$Q),0)),1)),"")</f>
      </c>
      <c r="B120" s="40">
        <f>IFERROR(INDEX('Catálogo'!$B:$B,MATCH($B$3&amp;"|"&amp;115,IF($B$3="TODAS",'Catálogo'!$U:$U,'Catálogo'!$Q:$Q),0)),"")</f>
      </c>
      <c r="C120" s="41">
        <f>IFERROR(IF(INDEX('Catálogo'!$R:$R,MATCH($B$3&amp;"|"&amp;115,IF($B$3="TODAS",'Catálogo'!$U:$U,'Catálogo'!$Q:$Q),0))="","Cód: "&amp;INDEX('Catálogo'!$A:$A,MATCH($B$3&amp;"|"&amp;115,IF($B$3="TODAS",'Catálogo'!$U:$U,'Catálogo'!$Q:$Q),0)),"Medidas: "&amp;INDEX('Catálogo'!$R:$R,MATCH($B$3&amp;"|"&amp;115,IF($B$3="TODAS",'Catálogo'!$U:$U,'Catálogo'!$Q:$Q),0))&amp;"  ·  Cód: "&amp;INDEX('Catálogo'!$A:$A,MATCH($B$3&amp;"|"&amp;115,IF($B$3="TODAS",'Catálogo'!$U:$U,'Catálogo'!$Q:$Q),0))),"")</f>
      </c>
      <c r="D120" s="42">
        <f>IFERROR(IF($D$3="Mayor",INDEX('Catálogo'!$O:$O,MATCH($B$3&amp;"|"&amp;115,IF($B$3="TODAS",'Catálogo'!$U:$U,'Catálogo'!$Q:$Q),0)),INDEX('Catálogo'!$N:$N,MATCH($B$3&amp;"|"&amp;115,IF($B$3="TODAS",'Catálogo'!$U:$U,'Catálogo'!$Q:$Q),0))),"")</f>
      </c>
    </row>
    <row r="121" ht="90.00" customHeight="1">
      <c r="A121" s="39">
        <f>IFERROR(IF(INDEX('Catálogo'!$M:$M,MATCH($B$3&amp;"|"&amp;116,IF($B$3="TODAS",'Catálogo'!$U:$U,'Catálogo'!$Q:$Q),0))="","",IMAGE(INDEX('Catálogo'!$M:$M,MATCH($B$3&amp;"|"&amp;116,IF($B$3="TODAS",'Catálogo'!$U:$U,'Catálogo'!$Q:$Q),0)),1)),"")</f>
      </c>
      <c r="B121" s="40">
        <f>IFERROR(INDEX('Catálogo'!$B:$B,MATCH($B$3&amp;"|"&amp;116,IF($B$3="TODAS",'Catálogo'!$U:$U,'Catálogo'!$Q:$Q),0)),"")</f>
      </c>
      <c r="C121" s="41">
        <f>IFERROR(IF(INDEX('Catálogo'!$R:$R,MATCH($B$3&amp;"|"&amp;116,IF($B$3="TODAS",'Catálogo'!$U:$U,'Catálogo'!$Q:$Q),0))="","Cód: "&amp;INDEX('Catálogo'!$A:$A,MATCH($B$3&amp;"|"&amp;116,IF($B$3="TODAS",'Catálogo'!$U:$U,'Catálogo'!$Q:$Q),0)),"Medidas: "&amp;INDEX('Catálogo'!$R:$R,MATCH($B$3&amp;"|"&amp;116,IF($B$3="TODAS",'Catálogo'!$U:$U,'Catálogo'!$Q:$Q),0))&amp;"  ·  Cód: "&amp;INDEX('Catálogo'!$A:$A,MATCH($B$3&amp;"|"&amp;116,IF($B$3="TODAS",'Catálogo'!$U:$U,'Catálogo'!$Q:$Q),0))),"")</f>
      </c>
      <c r="D121" s="42">
        <f>IFERROR(IF($D$3="Mayor",INDEX('Catálogo'!$O:$O,MATCH($B$3&amp;"|"&amp;116,IF($B$3="TODAS",'Catálogo'!$U:$U,'Catálogo'!$Q:$Q),0)),INDEX('Catálogo'!$N:$N,MATCH($B$3&amp;"|"&amp;116,IF($B$3="TODAS",'Catálogo'!$U:$U,'Catálogo'!$Q:$Q),0))),"")</f>
      </c>
    </row>
    <row r="122" ht="90.00" customHeight="1">
      <c r="A122" s="39">
        <f>IFERROR(IF(INDEX('Catálogo'!$M:$M,MATCH($B$3&amp;"|"&amp;117,IF($B$3="TODAS",'Catálogo'!$U:$U,'Catálogo'!$Q:$Q),0))="","",IMAGE(INDEX('Catálogo'!$M:$M,MATCH($B$3&amp;"|"&amp;117,IF($B$3="TODAS",'Catálogo'!$U:$U,'Catálogo'!$Q:$Q),0)),1)),"")</f>
      </c>
      <c r="B122" s="40">
        <f>IFERROR(INDEX('Catálogo'!$B:$B,MATCH($B$3&amp;"|"&amp;117,IF($B$3="TODAS",'Catálogo'!$U:$U,'Catálogo'!$Q:$Q),0)),"")</f>
      </c>
      <c r="C122" s="41">
        <f>IFERROR(IF(INDEX('Catálogo'!$R:$R,MATCH($B$3&amp;"|"&amp;117,IF($B$3="TODAS",'Catálogo'!$U:$U,'Catálogo'!$Q:$Q),0))="","Cód: "&amp;INDEX('Catálogo'!$A:$A,MATCH($B$3&amp;"|"&amp;117,IF($B$3="TODAS",'Catálogo'!$U:$U,'Catálogo'!$Q:$Q),0)),"Medidas: "&amp;INDEX('Catálogo'!$R:$R,MATCH($B$3&amp;"|"&amp;117,IF($B$3="TODAS",'Catálogo'!$U:$U,'Catálogo'!$Q:$Q),0))&amp;"  ·  Cód: "&amp;INDEX('Catálogo'!$A:$A,MATCH($B$3&amp;"|"&amp;117,IF($B$3="TODAS",'Catálogo'!$U:$U,'Catálogo'!$Q:$Q),0))),"")</f>
      </c>
      <c r="D122" s="42">
        <f>IFERROR(IF($D$3="Mayor",INDEX('Catálogo'!$O:$O,MATCH($B$3&amp;"|"&amp;117,IF($B$3="TODAS",'Catálogo'!$U:$U,'Catálogo'!$Q:$Q),0)),INDEX('Catálogo'!$N:$N,MATCH($B$3&amp;"|"&amp;117,IF($B$3="TODAS",'Catálogo'!$U:$U,'Catálogo'!$Q:$Q),0))),"")</f>
      </c>
    </row>
    <row r="123" ht="90.00" customHeight="1">
      <c r="A123" s="39">
        <f>IFERROR(IF(INDEX('Catálogo'!$M:$M,MATCH($B$3&amp;"|"&amp;118,IF($B$3="TODAS",'Catálogo'!$U:$U,'Catálogo'!$Q:$Q),0))="","",IMAGE(INDEX('Catálogo'!$M:$M,MATCH($B$3&amp;"|"&amp;118,IF($B$3="TODAS",'Catálogo'!$U:$U,'Catálogo'!$Q:$Q),0)),1)),"")</f>
      </c>
      <c r="B123" s="40">
        <f>IFERROR(INDEX('Catálogo'!$B:$B,MATCH($B$3&amp;"|"&amp;118,IF($B$3="TODAS",'Catálogo'!$U:$U,'Catálogo'!$Q:$Q),0)),"")</f>
      </c>
      <c r="C123" s="41">
        <f>IFERROR(IF(INDEX('Catálogo'!$R:$R,MATCH($B$3&amp;"|"&amp;118,IF($B$3="TODAS",'Catálogo'!$U:$U,'Catálogo'!$Q:$Q),0))="","Cód: "&amp;INDEX('Catálogo'!$A:$A,MATCH($B$3&amp;"|"&amp;118,IF($B$3="TODAS",'Catálogo'!$U:$U,'Catálogo'!$Q:$Q),0)),"Medidas: "&amp;INDEX('Catálogo'!$R:$R,MATCH($B$3&amp;"|"&amp;118,IF($B$3="TODAS",'Catálogo'!$U:$U,'Catálogo'!$Q:$Q),0))&amp;"  ·  Cód: "&amp;INDEX('Catálogo'!$A:$A,MATCH($B$3&amp;"|"&amp;118,IF($B$3="TODAS",'Catálogo'!$U:$U,'Catálogo'!$Q:$Q),0))),"")</f>
      </c>
      <c r="D123" s="42">
        <f>IFERROR(IF($D$3="Mayor",INDEX('Catálogo'!$O:$O,MATCH($B$3&amp;"|"&amp;118,IF($B$3="TODAS",'Catálogo'!$U:$U,'Catálogo'!$Q:$Q),0)),INDEX('Catálogo'!$N:$N,MATCH($B$3&amp;"|"&amp;118,IF($B$3="TODAS",'Catálogo'!$U:$U,'Catálogo'!$Q:$Q),0))),"")</f>
      </c>
    </row>
    <row r="124" ht="90.00" customHeight="1">
      <c r="A124" s="39">
        <f>IFERROR(IF(INDEX('Catálogo'!$M:$M,MATCH($B$3&amp;"|"&amp;119,IF($B$3="TODAS",'Catálogo'!$U:$U,'Catálogo'!$Q:$Q),0))="","",IMAGE(INDEX('Catálogo'!$M:$M,MATCH($B$3&amp;"|"&amp;119,IF($B$3="TODAS",'Catálogo'!$U:$U,'Catálogo'!$Q:$Q),0)),1)),"")</f>
      </c>
      <c r="B124" s="40">
        <f>IFERROR(INDEX('Catálogo'!$B:$B,MATCH($B$3&amp;"|"&amp;119,IF($B$3="TODAS",'Catálogo'!$U:$U,'Catálogo'!$Q:$Q),0)),"")</f>
      </c>
      <c r="C124" s="41">
        <f>IFERROR(IF(INDEX('Catálogo'!$R:$R,MATCH($B$3&amp;"|"&amp;119,IF($B$3="TODAS",'Catálogo'!$U:$U,'Catálogo'!$Q:$Q),0))="","Cód: "&amp;INDEX('Catálogo'!$A:$A,MATCH($B$3&amp;"|"&amp;119,IF($B$3="TODAS",'Catálogo'!$U:$U,'Catálogo'!$Q:$Q),0)),"Medidas: "&amp;INDEX('Catálogo'!$R:$R,MATCH($B$3&amp;"|"&amp;119,IF($B$3="TODAS",'Catálogo'!$U:$U,'Catálogo'!$Q:$Q),0))&amp;"  ·  Cód: "&amp;INDEX('Catálogo'!$A:$A,MATCH($B$3&amp;"|"&amp;119,IF($B$3="TODAS",'Catálogo'!$U:$U,'Catálogo'!$Q:$Q),0))),"")</f>
      </c>
      <c r="D124" s="42">
        <f>IFERROR(IF($D$3="Mayor",INDEX('Catálogo'!$O:$O,MATCH($B$3&amp;"|"&amp;119,IF($B$3="TODAS",'Catálogo'!$U:$U,'Catálogo'!$Q:$Q),0)),INDEX('Catálogo'!$N:$N,MATCH($B$3&amp;"|"&amp;119,IF($B$3="TODAS",'Catálogo'!$U:$U,'Catálogo'!$Q:$Q),0))),"")</f>
      </c>
    </row>
    <row r="125" ht="90.00" customHeight="1">
      <c r="A125" s="39">
        <f>IFERROR(IF(INDEX('Catálogo'!$M:$M,MATCH($B$3&amp;"|"&amp;120,IF($B$3="TODAS",'Catálogo'!$U:$U,'Catálogo'!$Q:$Q),0))="","",IMAGE(INDEX('Catálogo'!$M:$M,MATCH($B$3&amp;"|"&amp;120,IF($B$3="TODAS",'Catálogo'!$U:$U,'Catálogo'!$Q:$Q),0)),1)),"")</f>
      </c>
      <c r="B125" s="40">
        <f>IFERROR(INDEX('Catálogo'!$B:$B,MATCH($B$3&amp;"|"&amp;120,IF($B$3="TODAS",'Catálogo'!$U:$U,'Catálogo'!$Q:$Q),0)),"")</f>
      </c>
      <c r="C125" s="41">
        <f>IFERROR(IF(INDEX('Catálogo'!$R:$R,MATCH($B$3&amp;"|"&amp;120,IF($B$3="TODAS",'Catálogo'!$U:$U,'Catálogo'!$Q:$Q),0))="","Cód: "&amp;INDEX('Catálogo'!$A:$A,MATCH($B$3&amp;"|"&amp;120,IF($B$3="TODAS",'Catálogo'!$U:$U,'Catálogo'!$Q:$Q),0)),"Medidas: "&amp;INDEX('Catálogo'!$R:$R,MATCH($B$3&amp;"|"&amp;120,IF($B$3="TODAS",'Catálogo'!$U:$U,'Catálogo'!$Q:$Q),0))&amp;"  ·  Cód: "&amp;INDEX('Catálogo'!$A:$A,MATCH($B$3&amp;"|"&amp;120,IF($B$3="TODAS",'Catálogo'!$U:$U,'Catálogo'!$Q:$Q),0))),"")</f>
      </c>
      <c r="D125" s="42">
        <f>IFERROR(IF($D$3="Mayor",INDEX('Catálogo'!$O:$O,MATCH($B$3&amp;"|"&amp;120,IF($B$3="TODAS",'Catálogo'!$U:$U,'Catálogo'!$Q:$Q),0)),INDEX('Catálogo'!$N:$N,MATCH($B$3&amp;"|"&amp;120,IF($B$3="TODAS",'Catálogo'!$U:$U,'Catálogo'!$Q:$Q),0))),"")</f>
      </c>
    </row>
    <row r="126" ht="90.00" customHeight="1">
      <c r="A126" s="39">
        <f>IFERROR(IF(INDEX('Catálogo'!$M:$M,MATCH($B$3&amp;"|"&amp;121,IF($B$3="TODAS",'Catálogo'!$U:$U,'Catálogo'!$Q:$Q),0))="","",IMAGE(INDEX('Catálogo'!$M:$M,MATCH($B$3&amp;"|"&amp;121,IF($B$3="TODAS",'Catálogo'!$U:$U,'Catálogo'!$Q:$Q),0)),1)),"")</f>
      </c>
      <c r="B126" s="40">
        <f>IFERROR(INDEX('Catálogo'!$B:$B,MATCH($B$3&amp;"|"&amp;121,IF($B$3="TODAS",'Catálogo'!$U:$U,'Catálogo'!$Q:$Q),0)),"")</f>
      </c>
      <c r="C126" s="41">
        <f>IFERROR(IF(INDEX('Catálogo'!$R:$R,MATCH($B$3&amp;"|"&amp;121,IF($B$3="TODAS",'Catálogo'!$U:$U,'Catálogo'!$Q:$Q),0))="","Cód: "&amp;INDEX('Catálogo'!$A:$A,MATCH($B$3&amp;"|"&amp;121,IF($B$3="TODAS",'Catálogo'!$U:$U,'Catálogo'!$Q:$Q),0)),"Medidas: "&amp;INDEX('Catálogo'!$R:$R,MATCH($B$3&amp;"|"&amp;121,IF($B$3="TODAS",'Catálogo'!$U:$U,'Catálogo'!$Q:$Q),0))&amp;"  ·  Cód: "&amp;INDEX('Catálogo'!$A:$A,MATCH($B$3&amp;"|"&amp;121,IF($B$3="TODAS",'Catálogo'!$U:$U,'Catálogo'!$Q:$Q),0))),"")</f>
      </c>
      <c r="D126" s="42">
        <f>IFERROR(IF($D$3="Mayor",INDEX('Catálogo'!$O:$O,MATCH($B$3&amp;"|"&amp;121,IF($B$3="TODAS",'Catálogo'!$U:$U,'Catálogo'!$Q:$Q),0)),INDEX('Catálogo'!$N:$N,MATCH($B$3&amp;"|"&amp;121,IF($B$3="TODAS",'Catálogo'!$U:$U,'Catálogo'!$Q:$Q),0))),"")</f>
      </c>
    </row>
    <row r="127" ht="90.00" customHeight="1">
      <c r="A127" s="39">
        <f>IFERROR(IF(INDEX('Catálogo'!$M:$M,MATCH($B$3&amp;"|"&amp;122,IF($B$3="TODAS",'Catálogo'!$U:$U,'Catálogo'!$Q:$Q),0))="","",IMAGE(INDEX('Catálogo'!$M:$M,MATCH($B$3&amp;"|"&amp;122,IF($B$3="TODAS",'Catálogo'!$U:$U,'Catálogo'!$Q:$Q),0)),1)),"")</f>
      </c>
      <c r="B127" s="40">
        <f>IFERROR(INDEX('Catálogo'!$B:$B,MATCH($B$3&amp;"|"&amp;122,IF($B$3="TODAS",'Catálogo'!$U:$U,'Catálogo'!$Q:$Q),0)),"")</f>
      </c>
      <c r="C127" s="41">
        <f>IFERROR(IF(INDEX('Catálogo'!$R:$R,MATCH($B$3&amp;"|"&amp;122,IF($B$3="TODAS",'Catálogo'!$U:$U,'Catálogo'!$Q:$Q),0))="","Cód: "&amp;INDEX('Catálogo'!$A:$A,MATCH($B$3&amp;"|"&amp;122,IF($B$3="TODAS",'Catálogo'!$U:$U,'Catálogo'!$Q:$Q),0)),"Medidas: "&amp;INDEX('Catálogo'!$R:$R,MATCH($B$3&amp;"|"&amp;122,IF($B$3="TODAS",'Catálogo'!$U:$U,'Catálogo'!$Q:$Q),0))&amp;"  ·  Cód: "&amp;INDEX('Catálogo'!$A:$A,MATCH($B$3&amp;"|"&amp;122,IF($B$3="TODAS",'Catálogo'!$U:$U,'Catálogo'!$Q:$Q),0))),"")</f>
      </c>
      <c r="D127" s="42">
        <f>IFERROR(IF($D$3="Mayor",INDEX('Catálogo'!$O:$O,MATCH($B$3&amp;"|"&amp;122,IF($B$3="TODAS",'Catálogo'!$U:$U,'Catálogo'!$Q:$Q),0)),INDEX('Catálogo'!$N:$N,MATCH($B$3&amp;"|"&amp;122,IF($B$3="TODAS",'Catálogo'!$U:$U,'Catálogo'!$Q:$Q),0))),"")</f>
      </c>
    </row>
    <row r="128" ht="90.00" customHeight="1">
      <c r="A128" s="39">
        <f>IFERROR(IF(INDEX('Catálogo'!$M:$M,MATCH($B$3&amp;"|"&amp;123,IF($B$3="TODAS",'Catálogo'!$U:$U,'Catálogo'!$Q:$Q),0))="","",IMAGE(INDEX('Catálogo'!$M:$M,MATCH($B$3&amp;"|"&amp;123,IF($B$3="TODAS",'Catálogo'!$U:$U,'Catálogo'!$Q:$Q),0)),1)),"")</f>
      </c>
      <c r="B128" s="40">
        <f>IFERROR(INDEX('Catálogo'!$B:$B,MATCH($B$3&amp;"|"&amp;123,IF($B$3="TODAS",'Catálogo'!$U:$U,'Catálogo'!$Q:$Q),0)),"")</f>
      </c>
      <c r="C128" s="41">
        <f>IFERROR(IF(INDEX('Catálogo'!$R:$R,MATCH($B$3&amp;"|"&amp;123,IF($B$3="TODAS",'Catálogo'!$U:$U,'Catálogo'!$Q:$Q),0))="","Cód: "&amp;INDEX('Catálogo'!$A:$A,MATCH($B$3&amp;"|"&amp;123,IF($B$3="TODAS",'Catálogo'!$U:$U,'Catálogo'!$Q:$Q),0)),"Medidas: "&amp;INDEX('Catálogo'!$R:$R,MATCH($B$3&amp;"|"&amp;123,IF($B$3="TODAS",'Catálogo'!$U:$U,'Catálogo'!$Q:$Q),0))&amp;"  ·  Cód: "&amp;INDEX('Catálogo'!$A:$A,MATCH($B$3&amp;"|"&amp;123,IF($B$3="TODAS",'Catálogo'!$U:$U,'Catálogo'!$Q:$Q),0))),"")</f>
      </c>
      <c r="D128" s="42">
        <f>IFERROR(IF($D$3="Mayor",INDEX('Catálogo'!$O:$O,MATCH($B$3&amp;"|"&amp;123,IF($B$3="TODAS",'Catálogo'!$U:$U,'Catálogo'!$Q:$Q),0)),INDEX('Catálogo'!$N:$N,MATCH($B$3&amp;"|"&amp;123,IF($B$3="TODAS",'Catálogo'!$U:$U,'Catálogo'!$Q:$Q),0))),"")</f>
      </c>
    </row>
    <row r="129" ht="90.00" customHeight="1">
      <c r="A129" s="39">
        <f>IFERROR(IF(INDEX('Catálogo'!$M:$M,MATCH($B$3&amp;"|"&amp;124,IF($B$3="TODAS",'Catálogo'!$U:$U,'Catálogo'!$Q:$Q),0))="","",IMAGE(INDEX('Catálogo'!$M:$M,MATCH($B$3&amp;"|"&amp;124,IF($B$3="TODAS",'Catálogo'!$U:$U,'Catálogo'!$Q:$Q),0)),1)),"")</f>
      </c>
      <c r="B129" s="40">
        <f>IFERROR(INDEX('Catálogo'!$B:$B,MATCH($B$3&amp;"|"&amp;124,IF($B$3="TODAS",'Catálogo'!$U:$U,'Catálogo'!$Q:$Q),0)),"")</f>
      </c>
      <c r="C129" s="41">
        <f>IFERROR(IF(INDEX('Catálogo'!$R:$R,MATCH($B$3&amp;"|"&amp;124,IF($B$3="TODAS",'Catálogo'!$U:$U,'Catálogo'!$Q:$Q),0))="","Cód: "&amp;INDEX('Catálogo'!$A:$A,MATCH($B$3&amp;"|"&amp;124,IF($B$3="TODAS",'Catálogo'!$U:$U,'Catálogo'!$Q:$Q),0)),"Medidas: "&amp;INDEX('Catálogo'!$R:$R,MATCH($B$3&amp;"|"&amp;124,IF($B$3="TODAS",'Catálogo'!$U:$U,'Catálogo'!$Q:$Q),0))&amp;"  ·  Cód: "&amp;INDEX('Catálogo'!$A:$A,MATCH($B$3&amp;"|"&amp;124,IF($B$3="TODAS",'Catálogo'!$U:$U,'Catálogo'!$Q:$Q),0))),"")</f>
      </c>
      <c r="D129" s="42">
        <f>IFERROR(IF($D$3="Mayor",INDEX('Catálogo'!$O:$O,MATCH($B$3&amp;"|"&amp;124,IF($B$3="TODAS",'Catálogo'!$U:$U,'Catálogo'!$Q:$Q),0)),INDEX('Catálogo'!$N:$N,MATCH($B$3&amp;"|"&amp;124,IF($B$3="TODAS",'Catálogo'!$U:$U,'Catálogo'!$Q:$Q),0))),"")</f>
      </c>
    </row>
    <row r="130" ht="90.00" customHeight="1">
      <c r="A130" s="39">
        <f>IFERROR(IF(INDEX('Catálogo'!$M:$M,MATCH($B$3&amp;"|"&amp;125,IF($B$3="TODAS",'Catálogo'!$U:$U,'Catálogo'!$Q:$Q),0))="","",IMAGE(INDEX('Catálogo'!$M:$M,MATCH($B$3&amp;"|"&amp;125,IF($B$3="TODAS",'Catálogo'!$U:$U,'Catálogo'!$Q:$Q),0)),1)),"")</f>
      </c>
      <c r="B130" s="40">
        <f>IFERROR(INDEX('Catálogo'!$B:$B,MATCH($B$3&amp;"|"&amp;125,IF($B$3="TODAS",'Catálogo'!$U:$U,'Catálogo'!$Q:$Q),0)),"")</f>
      </c>
      <c r="C130" s="41">
        <f>IFERROR(IF(INDEX('Catálogo'!$R:$R,MATCH($B$3&amp;"|"&amp;125,IF($B$3="TODAS",'Catálogo'!$U:$U,'Catálogo'!$Q:$Q),0))="","Cód: "&amp;INDEX('Catálogo'!$A:$A,MATCH($B$3&amp;"|"&amp;125,IF($B$3="TODAS",'Catálogo'!$U:$U,'Catálogo'!$Q:$Q),0)),"Medidas: "&amp;INDEX('Catálogo'!$R:$R,MATCH($B$3&amp;"|"&amp;125,IF($B$3="TODAS",'Catálogo'!$U:$U,'Catálogo'!$Q:$Q),0))&amp;"  ·  Cód: "&amp;INDEX('Catálogo'!$A:$A,MATCH($B$3&amp;"|"&amp;125,IF($B$3="TODAS",'Catálogo'!$U:$U,'Catálogo'!$Q:$Q),0))),"")</f>
      </c>
      <c r="D130" s="42">
        <f>IFERROR(IF($D$3="Mayor",INDEX('Catálogo'!$O:$O,MATCH($B$3&amp;"|"&amp;125,IF($B$3="TODAS",'Catálogo'!$U:$U,'Catálogo'!$Q:$Q),0)),INDEX('Catálogo'!$N:$N,MATCH($B$3&amp;"|"&amp;125,IF($B$3="TODAS",'Catálogo'!$U:$U,'Catálogo'!$Q:$Q),0))),"")</f>
      </c>
    </row>
    <row r="131" ht="90.00" customHeight="1">
      <c r="A131" s="39">
        <f>IFERROR(IF(INDEX('Catálogo'!$M:$M,MATCH($B$3&amp;"|"&amp;126,IF($B$3="TODAS",'Catálogo'!$U:$U,'Catálogo'!$Q:$Q),0))="","",IMAGE(INDEX('Catálogo'!$M:$M,MATCH($B$3&amp;"|"&amp;126,IF($B$3="TODAS",'Catálogo'!$U:$U,'Catálogo'!$Q:$Q),0)),1)),"")</f>
      </c>
      <c r="B131" s="40">
        <f>IFERROR(INDEX('Catálogo'!$B:$B,MATCH($B$3&amp;"|"&amp;126,IF($B$3="TODAS",'Catálogo'!$U:$U,'Catálogo'!$Q:$Q),0)),"")</f>
      </c>
      <c r="C131" s="41">
        <f>IFERROR(IF(INDEX('Catálogo'!$R:$R,MATCH($B$3&amp;"|"&amp;126,IF($B$3="TODAS",'Catálogo'!$U:$U,'Catálogo'!$Q:$Q),0))="","Cód: "&amp;INDEX('Catálogo'!$A:$A,MATCH($B$3&amp;"|"&amp;126,IF($B$3="TODAS",'Catálogo'!$U:$U,'Catálogo'!$Q:$Q),0)),"Medidas: "&amp;INDEX('Catálogo'!$R:$R,MATCH($B$3&amp;"|"&amp;126,IF($B$3="TODAS",'Catálogo'!$U:$U,'Catálogo'!$Q:$Q),0))&amp;"  ·  Cód: "&amp;INDEX('Catálogo'!$A:$A,MATCH($B$3&amp;"|"&amp;126,IF($B$3="TODAS",'Catálogo'!$U:$U,'Catálogo'!$Q:$Q),0))),"")</f>
      </c>
      <c r="D131" s="42">
        <f>IFERROR(IF($D$3="Mayor",INDEX('Catálogo'!$O:$O,MATCH($B$3&amp;"|"&amp;126,IF($B$3="TODAS",'Catálogo'!$U:$U,'Catálogo'!$Q:$Q),0)),INDEX('Catálogo'!$N:$N,MATCH($B$3&amp;"|"&amp;126,IF($B$3="TODAS",'Catálogo'!$U:$U,'Catálogo'!$Q:$Q),0))),"")</f>
      </c>
    </row>
    <row r="132" ht="90.00" customHeight="1">
      <c r="A132" s="39">
        <f>IFERROR(IF(INDEX('Catálogo'!$M:$M,MATCH($B$3&amp;"|"&amp;127,IF($B$3="TODAS",'Catálogo'!$U:$U,'Catálogo'!$Q:$Q),0))="","",IMAGE(INDEX('Catálogo'!$M:$M,MATCH($B$3&amp;"|"&amp;127,IF($B$3="TODAS",'Catálogo'!$U:$U,'Catálogo'!$Q:$Q),0)),1)),"")</f>
      </c>
      <c r="B132" s="40">
        <f>IFERROR(INDEX('Catálogo'!$B:$B,MATCH($B$3&amp;"|"&amp;127,IF($B$3="TODAS",'Catálogo'!$U:$U,'Catálogo'!$Q:$Q),0)),"")</f>
      </c>
      <c r="C132" s="41">
        <f>IFERROR(IF(INDEX('Catálogo'!$R:$R,MATCH($B$3&amp;"|"&amp;127,IF($B$3="TODAS",'Catálogo'!$U:$U,'Catálogo'!$Q:$Q),0))="","Cód: "&amp;INDEX('Catálogo'!$A:$A,MATCH($B$3&amp;"|"&amp;127,IF($B$3="TODAS",'Catálogo'!$U:$U,'Catálogo'!$Q:$Q),0)),"Medidas: "&amp;INDEX('Catálogo'!$R:$R,MATCH($B$3&amp;"|"&amp;127,IF($B$3="TODAS",'Catálogo'!$U:$U,'Catálogo'!$Q:$Q),0))&amp;"  ·  Cód: "&amp;INDEX('Catálogo'!$A:$A,MATCH($B$3&amp;"|"&amp;127,IF($B$3="TODAS",'Catálogo'!$U:$U,'Catálogo'!$Q:$Q),0))),"")</f>
      </c>
      <c r="D132" s="42">
        <f>IFERROR(IF($D$3="Mayor",INDEX('Catálogo'!$O:$O,MATCH($B$3&amp;"|"&amp;127,IF($B$3="TODAS",'Catálogo'!$U:$U,'Catálogo'!$Q:$Q),0)),INDEX('Catálogo'!$N:$N,MATCH($B$3&amp;"|"&amp;127,IF($B$3="TODAS",'Catálogo'!$U:$U,'Catálogo'!$Q:$Q),0))),"")</f>
      </c>
    </row>
    <row r="133" ht="90.00" customHeight="1">
      <c r="A133" s="39">
        <f>IFERROR(IF(INDEX('Catálogo'!$M:$M,MATCH($B$3&amp;"|"&amp;128,IF($B$3="TODAS",'Catálogo'!$U:$U,'Catálogo'!$Q:$Q),0))="","",IMAGE(INDEX('Catálogo'!$M:$M,MATCH($B$3&amp;"|"&amp;128,IF($B$3="TODAS",'Catálogo'!$U:$U,'Catálogo'!$Q:$Q),0)),1)),"")</f>
      </c>
      <c r="B133" s="40">
        <f>IFERROR(INDEX('Catálogo'!$B:$B,MATCH($B$3&amp;"|"&amp;128,IF($B$3="TODAS",'Catálogo'!$U:$U,'Catálogo'!$Q:$Q),0)),"")</f>
      </c>
      <c r="C133" s="41">
        <f>IFERROR(IF(INDEX('Catálogo'!$R:$R,MATCH($B$3&amp;"|"&amp;128,IF($B$3="TODAS",'Catálogo'!$U:$U,'Catálogo'!$Q:$Q),0))="","Cód: "&amp;INDEX('Catálogo'!$A:$A,MATCH($B$3&amp;"|"&amp;128,IF($B$3="TODAS",'Catálogo'!$U:$U,'Catálogo'!$Q:$Q),0)),"Medidas: "&amp;INDEX('Catálogo'!$R:$R,MATCH($B$3&amp;"|"&amp;128,IF($B$3="TODAS",'Catálogo'!$U:$U,'Catálogo'!$Q:$Q),0))&amp;"  ·  Cód: "&amp;INDEX('Catálogo'!$A:$A,MATCH($B$3&amp;"|"&amp;128,IF($B$3="TODAS",'Catálogo'!$U:$U,'Catálogo'!$Q:$Q),0))),"")</f>
      </c>
      <c r="D133" s="42">
        <f>IFERROR(IF($D$3="Mayor",INDEX('Catálogo'!$O:$O,MATCH($B$3&amp;"|"&amp;128,IF($B$3="TODAS",'Catálogo'!$U:$U,'Catálogo'!$Q:$Q),0)),INDEX('Catálogo'!$N:$N,MATCH($B$3&amp;"|"&amp;128,IF($B$3="TODAS",'Catálogo'!$U:$U,'Catálogo'!$Q:$Q),0))),"")</f>
      </c>
    </row>
    <row r="134" ht="90.00" customHeight="1">
      <c r="A134" s="39">
        <f>IFERROR(IF(INDEX('Catálogo'!$M:$M,MATCH($B$3&amp;"|"&amp;129,IF($B$3="TODAS",'Catálogo'!$U:$U,'Catálogo'!$Q:$Q),0))="","",IMAGE(INDEX('Catálogo'!$M:$M,MATCH($B$3&amp;"|"&amp;129,IF($B$3="TODAS",'Catálogo'!$U:$U,'Catálogo'!$Q:$Q),0)),1)),"")</f>
      </c>
      <c r="B134" s="40">
        <f>IFERROR(INDEX('Catálogo'!$B:$B,MATCH($B$3&amp;"|"&amp;129,IF($B$3="TODAS",'Catálogo'!$U:$U,'Catálogo'!$Q:$Q),0)),"")</f>
      </c>
      <c r="C134" s="41">
        <f>IFERROR(IF(INDEX('Catálogo'!$R:$R,MATCH($B$3&amp;"|"&amp;129,IF($B$3="TODAS",'Catálogo'!$U:$U,'Catálogo'!$Q:$Q),0))="","Cód: "&amp;INDEX('Catálogo'!$A:$A,MATCH($B$3&amp;"|"&amp;129,IF($B$3="TODAS",'Catálogo'!$U:$U,'Catálogo'!$Q:$Q),0)),"Medidas: "&amp;INDEX('Catálogo'!$R:$R,MATCH($B$3&amp;"|"&amp;129,IF($B$3="TODAS",'Catálogo'!$U:$U,'Catálogo'!$Q:$Q),0))&amp;"  ·  Cód: "&amp;INDEX('Catálogo'!$A:$A,MATCH($B$3&amp;"|"&amp;129,IF($B$3="TODAS",'Catálogo'!$U:$U,'Catálogo'!$Q:$Q),0))),"")</f>
      </c>
      <c r="D134" s="42">
        <f>IFERROR(IF($D$3="Mayor",INDEX('Catálogo'!$O:$O,MATCH($B$3&amp;"|"&amp;129,IF($B$3="TODAS",'Catálogo'!$U:$U,'Catálogo'!$Q:$Q),0)),INDEX('Catálogo'!$N:$N,MATCH($B$3&amp;"|"&amp;129,IF($B$3="TODAS",'Catálogo'!$U:$U,'Catálogo'!$Q:$Q),0))),"")</f>
      </c>
    </row>
    <row r="135" ht="90.00" customHeight="1">
      <c r="A135" s="39">
        <f>IFERROR(IF(INDEX('Catálogo'!$M:$M,MATCH($B$3&amp;"|"&amp;130,IF($B$3="TODAS",'Catálogo'!$U:$U,'Catálogo'!$Q:$Q),0))="","",IMAGE(INDEX('Catálogo'!$M:$M,MATCH($B$3&amp;"|"&amp;130,IF($B$3="TODAS",'Catálogo'!$U:$U,'Catálogo'!$Q:$Q),0)),1)),"")</f>
      </c>
      <c r="B135" s="40">
        <f>IFERROR(INDEX('Catálogo'!$B:$B,MATCH($B$3&amp;"|"&amp;130,IF($B$3="TODAS",'Catálogo'!$U:$U,'Catálogo'!$Q:$Q),0)),"")</f>
      </c>
      <c r="C135" s="41">
        <f>IFERROR(IF(INDEX('Catálogo'!$R:$R,MATCH($B$3&amp;"|"&amp;130,IF($B$3="TODAS",'Catálogo'!$U:$U,'Catálogo'!$Q:$Q),0))="","Cód: "&amp;INDEX('Catálogo'!$A:$A,MATCH($B$3&amp;"|"&amp;130,IF($B$3="TODAS",'Catálogo'!$U:$U,'Catálogo'!$Q:$Q),0)),"Medidas: "&amp;INDEX('Catálogo'!$R:$R,MATCH($B$3&amp;"|"&amp;130,IF($B$3="TODAS",'Catálogo'!$U:$U,'Catálogo'!$Q:$Q),0))&amp;"  ·  Cód: "&amp;INDEX('Catálogo'!$A:$A,MATCH($B$3&amp;"|"&amp;130,IF($B$3="TODAS",'Catálogo'!$U:$U,'Catálogo'!$Q:$Q),0))),"")</f>
      </c>
      <c r="D135" s="42">
        <f>IFERROR(IF($D$3="Mayor",INDEX('Catálogo'!$O:$O,MATCH($B$3&amp;"|"&amp;130,IF($B$3="TODAS",'Catálogo'!$U:$U,'Catálogo'!$Q:$Q),0)),INDEX('Catálogo'!$N:$N,MATCH($B$3&amp;"|"&amp;130,IF($B$3="TODAS",'Catálogo'!$U:$U,'Catálogo'!$Q:$Q),0))),"")</f>
      </c>
    </row>
    <row r="136" ht="90.00" customHeight="1">
      <c r="A136" s="39">
        <f>IFERROR(IF(INDEX('Catálogo'!$M:$M,MATCH($B$3&amp;"|"&amp;131,IF($B$3="TODAS",'Catálogo'!$U:$U,'Catálogo'!$Q:$Q),0))="","",IMAGE(INDEX('Catálogo'!$M:$M,MATCH($B$3&amp;"|"&amp;131,IF($B$3="TODAS",'Catálogo'!$U:$U,'Catálogo'!$Q:$Q),0)),1)),"")</f>
      </c>
      <c r="B136" s="40">
        <f>IFERROR(INDEX('Catálogo'!$B:$B,MATCH($B$3&amp;"|"&amp;131,IF($B$3="TODAS",'Catálogo'!$U:$U,'Catálogo'!$Q:$Q),0)),"")</f>
      </c>
      <c r="C136" s="41">
        <f>IFERROR(IF(INDEX('Catálogo'!$R:$R,MATCH($B$3&amp;"|"&amp;131,IF($B$3="TODAS",'Catálogo'!$U:$U,'Catálogo'!$Q:$Q),0))="","Cód: "&amp;INDEX('Catálogo'!$A:$A,MATCH($B$3&amp;"|"&amp;131,IF($B$3="TODAS",'Catálogo'!$U:$U,'Catálogo'!$Q:$Q),0)),"Medidas: "&amp;INDEX('Catálogo'!$R:$R,MATCH($B$3&amp;"|"&amp;131,IF($B$3="TODAS",'Catálogo'!$U:$U,'Catálogo'!$Q:$Q),0))&amp;"  ·  Cód: "&amp;INDEX('Catálogo'!$A:$A,MATCH($B$3&amp;"|"&amp;131,IF($B$3="TODAS",'Catálogo'!$U:$U,'Catálogo'!$Q:$Q),0))),"")</f>
      </c>
      <c r="D136" s="42">
        <f>IFERROR(IF($D$3="Mayor",INDEX('Catálogo'!$O:$O,MATCH($B$3&amp;"|"&amp;131,IF($B$3="TODAS",'Catálogo'!$U:$U,'Catálogo'!$Q:$Q),0)),INDEX('Catálogo'!$N:$N,MATCH($B$3&amp;"|"&amp;131,IF($B$3="TODAS",'Catálogo'!$U:$U,'Catálogo'!$Q:$Q),0))),"")</f>
      </c>
    </row>
    <row r="137" ht="90.00" customHeight="1">
      <c r="A137" s="39">
        <f>IFERROR(IF(INDEX('Catálogo'!$M:$M,MATCH($B$3&amp;"|"&amp;132,IF($B$3="TODAS",'Catálogo'!$U:$U,'Catálogo'!$Q:$Q),0))="","",IMAGE(INDEX('Catálogo'!$M:$M,MATCH($B$3&amp;"|"&amp;132,IF($B$3="TODAS",'Catálogo'!$U:$U,'Catálogo'!$Q:$Q),0)),1)),"")</f>
      </c>
      <c r="B137" s="40">
        <f>IFERROR(INDEX('Catálogo'!$B:$B,MATCH($B$3&amp;"|"&amp;132,IF($B$3="TODAS",'Catálogo'!$U:$U,'Catálogo'!$Q:$Q),0)),"")</f>
      </c>
      <c r="C137" s="41">
        <f>IFERROR(IF(INDEX('Catálogo'!$R:$R,MATCH($B$3&amp;"|"&amp;132,IF($B$3="TODAS",'Catálogo'!$U:$U,'Catálogo'!$Q:$Q),0))="","Cód: "&amp;INDEX('Catálogo'!$A:$A,MATCH($B$3&amp;"|"&amp;132,IF($B$3="TODAS",'Catálogo'!$U:$U,'Catálogo'!$Q:$Q),0)),"Medidas: "&amp;INDEX('Catálogo'!$R:$R,MATCH($B$3&amp;"|"&amp;132,IF($B$3="TODAS",'Catálogo'!$U:$U,'Catálogo'!$Q:$Q),0))&amp;"  ·  Cód: "&amp;INDEX('Catálogo'!$A:$A,MATCH($B$3&amp;"|"&amp;132,IF($B$3="TODAS",'Catálogo'!$U:$U,'Catálogo'!$Q:$Q),0))),"")</f>
      </c>
      <c r="D137" s="42">
        <f>IFERROR(IF($D$3="Mayor",INDEX('Catálogo'!$O:$O,MATCH($B$3&amp;"|"&amp;132,IF($B$3="TODAS",'Catálogo'!$U:$U,'Catálogo'!$Q:$Q),0)),INDEX('Catálogo'!$N:$N,MATCH($B$3&amp;"|"&amp;132,IF($B$3="TODAS",'Catálogo'!$U:$U,'Catálogo'!$Q:$Q),0))),"")</f>
      </c>
    </row>
    <row r="138" ht="90.00" customHeight="1">
      <c r="A138" s="39">
        <f>IFERROR(IF(INDEX('Catálogo'!$M:$M,MATCH($B$3&amp;"|"&amp;133,IF($B$3="TODAS",'Catálogo'!$U:$U,'Catálogo'!$Q:$Q),0))="","",IMAGE(INDEX('Catálogo'!$M:$M,MATCH($B$3&amp;"|"&amp;133,IF($B$3="TODAS",'Catálogo'!$U:$U,'Catálogo'!$Q:$Q),0)),1)),"")</f>
      </c>
      <c r="B138" s="40">
        <f>IFERROR(INDEX('Catálogo'!$B:$B,MATCH($B$3&amp;"|"&amp;133,IF($B$3="TODAS",'Catálogo'!$U:$U,'Catálogo'!$Q:$Q),0)),"")</f>
      </c>
      <c r="C138" s="41">
        <f>IFERROR(IF(INDEX('Catálogo'!$R:$R,MATCH($B$3&amp;"|"&amp;133,IF($B$3="TODAS",'Catálogo'!$U:$U,'Catálogo'!$Q:$Q),0))="","Cód: "&amp;INDEX('Catálogo'!$A:$A,MATCH($B$3&amp;"|"&amp;133,IF($B$3="TODAS",'Catálogo'!$U:$U,'Catálogo'!$Q:$Q),0)),"Medidas: "&amp;INDEX('Catálogo'!$R:$R,MATCH($B$3&amp;"|"&amp;133,IF($B$3="TODAS",'Catálogo'!$U:$U,'Catálogo'!$Q:$Q),0))&amp;"  ·  Cód: "&amp;INDEX('Catálogo'!$A:$A,MATCH($B$3&amp;"|"&amp;133,IF($B$3="TODAS",'Catálogo'!$U:$U,'Catálogo'!$Q:$Q),0))),"")</f>
      </c>
      <c r="D138" s="42">
        <f>IFERROR(IF($D$3="Mayor",INDEX('Catálogo'!$O:$O,MATCH($B$3&amp;"|"&amp;133,IF($B$3="TODAS",'Catálogo'!$U:$U,'Catálogo'!$Q:$Q),0)),INDEX('Catálogo'!$N:$N,MATCH($B$3&amp;"|"&amp;133,IF($B$3="TODAS",'Catálogo'!$U:$U,'Catálogo'!$Q:$Q),0))),"")</f>
      </c>
    </row>
    <row r="139" ht="90.00" customHeight="1">
      <c r="A139" s="39">
        <f>IFERROR(IF(INDEX('Catálogo'!$M:$M,MATCH($B$3&amp;"|"&amp;134,IF($B$3="TODAS",'Catálogo'!$U:$U,'Catálogo'!$Q:$Q),0))="","",IMAGE(INDEX('Catálogo'!$M:$M,MATCH($B$3&amp;"|"&amp;134,IF($B$3="TODAS",'Catálogo'!$U:$U,'Catálogo'!$Q:$Q),0)),1)),"")</f>
      </c>
      <c r="B139" s="40">
        <f>IFERROR(INDEX('Catálogo'!$B:$B,MATCH($B$3&amp;"|"&amp;134,IF($B$3="TODAS",'Catálogo'!$U:$U,'Catálogo'!$Q:$Q),0)),"")</f>
      </c>
      <c r="C139" s="41">
        <f>IFERROR(IF(INDEX('Catálogo'!$R:$R,MATCH($B$3&amp;"|"&amp;134,IF($B$3="TODAS",'Catálogo'!$U:$U,'Catálogo'!$Q:$Q),0))="","Cód: "&amp;INDEX('Catálogo'!$A:$A,MATCH($B$3&amp;"|"&amp;134,IF($B$3="TODAS",'Catálogo'!$U:$U,'Catálogo'!$Q:$Q),0)),"Medidas: "&amp;INDEX('Catálogo'!$R:$R,MATCH($B$3&amp;"|"&amp;134,IF($B$3="TODAS",'Catálogo'!$U:$U,'Catálogo'!$Q:$Q),0))&amp;"  ·  Cód: "&amp;INDEX('Catálogo'!$A:$A,MATCH($B$3&amp;"|"&amp;134,IF($B$3="TODAS",'Catálogo'!$U:$U,'Catálogo'!$Q:$Q),0))),"")</f>
      </c>
      <c r="D139" s="42">
        <f>IFERROR(IF($D$3="Mayor",INDEX('Catálogo'!$O:$O,MATCH($B$3&amp;"|"&amp;134,IF($B$3="TODAS",'Catálogo'!$U:$U,'Catálogo'!$Q:$Q),0)),INDEX('Catálogo'!$N:$N,MATCH($B$3&amp;"|"&amp;134,IF($B$3="TODAS",'Catálogo'!$U:$U,'Catálogo'!$Q:$Q),0))),"")</f>
      </c>
    </row>
    <row r="140" ht="90.00" customHeight="1">
      <c r="A140" s="39">
        <f>IFERROR(IF(INDEX('Catálogo'!$M:$M,MATCH($B$3&amp;"|"&amp;135,IF($B$3="TODAS",'Catálogo'!$U:$U,'Catálogo'!$Q:$Q),0))="","",IMAGE(INDEX('Catálogo'!$M:$M,MATCH($B$3&amp;"|"&amp;135,IF($B$3="TODAS",'Catálogo'!$U:$U,'Catálogo'!$Q:$Q),0)),1)),"")</f>
      </c>
      <c r="B140" s="40">
        <f>IFERROR(INDEX('Catálogo'!$B:$B,MATCH($B$3&amp;"|"&amp;135,IF($B$3="TODAS",'Catálogo'!$U:$U,'Catálogo'!$Q:$Q),0)),"")</f>
      </c>
      <c r="C140" s="41">
        <f>IFERROR(IF(INDEX('Catálogo'!$R:$R,MATCH($B$3&amp;"|"&amp;135,IF($B$3="TODAS",'Catálogo'!$U:$U,'Catálogo'!$Q:$Q),0))="","Cód: "&amp;INDEX('Catálogo'!$A:$A,MATCH($B$3&amp;"|"&amp;135,IF($B$3="TODAS",'Catálogo'!$U:$U,'Catálogo'!$Q:$Q),0)),"Medidas: "&amp;INDEX('Catálogo'!$R:$R,MATCH($B$3&amp;"|"&amp;135,IF($B$3="TODAS",'Catálogo'!$U:$U,'Catálogo'!$Q:$Q),0))&amp;"  ·  Cód: "&amp;INDEX('Catálogo'!$A:$A,MATCH($B$3&amp;"|"&amp;135,IF($B$3="TODAS",'Catálogo'!$U:$U,'Catálogo'!$Q:$Q),0))),"")</f>
      </c>
      <c r="D140" s="42">
        <f>IFERROR(IF($D$3="Mayor",INDEX('Catálogo'!$O:$O,MATCH($B$3&amp;"|"&amp;135,IF($B$3="TODAS",'Catálogo'!$U:$U,'Catálogo'!$Q:$Q),0)),INDEX('Catálogo'!$N:$N,MATCH($B$3&amp;"|"&amp;135,IF($B$3="TODAS",'Catálogo'!$U:$U,'Catálogo'!$Q:$Q),0))),"")</f>
      </c>
    </row>
    <row r="141" ht="90.00" customHeight="1">
      <c r="A141" s="39">
        <f>IFERROR(IF(INDEX('Catálogo'!$M:$M,MATCH($B$3&amp;"|"&amp;136,IF($B$3="TODAS",'Catálogo'!$U:$U,'Catálogo'!$Q:$Q),0))="","",IMAGE(INDEX('Catálogo'!$M:$M,MATCH($B$3&amp;"|"&amp;136,IF($B$3="TODAS",'Catálogo'!$U:$U,'Catálogo'!$Q:$Q),0)),1)),"")</f>
      </c>
      <c r="B141" s="40">
        <f>IFERROR(INDEX('Catálogo'!$B:$B,MATCH($B$3&amp;"|"&amp;136,IF($B$3="TODAS",'Catálogo'!$U:$U,'Catálogo'!$Q:$Q),0)),"")</f>
      </c>
      <c r="C141" s="41">
        <f>IFERROR(IF(INDEX('Catálogo'!$R:$R,MATCH($B$3&amp;"|"&amp;136,IF($B$3="TODAS",'Catálogo'!$U:$U,'Catálogo'!$Q:$Q),0))="","Cód: "&amp;INDEX('Catálogo'!$A:$A,MATCH($B$3&amp;"|"&amp;136,IF($B$3="TODAS",'Catálogo'!$U:$U,'Catálogo'!$Q:$Q),0)),"Medidas: "&amp;INDEX('Catálogo'!$R:$R,MATCH($B$3&amp;"|"&amp;136,IF($B$3="TODAS",'Catálogo'!$U:$U,'Catálogo'!$Q:$Q),0))&amp;"  ·  Cód: "&amp;INDEX('Catálogo'!$A:$A,MATCH($B$3&amp;"|"&amp;136,IF($B$3="TODAS",'Catálogo'!$U:$U,'Catálogo'!$Q:$Q),0))),"")</f>
      </c>
      <c r="D141" s="42">
        <f>IFERROR(IF($D$3="Mayor",INDEX('Catálogo'!$O:$O,MATCH($B$3&amp;"|"&amp;136,IF($B$3="TODAS",'Catálogo'!$U:$U,'Catálogo'!$Q:$Q),0)),INDEX('Catálogo'!$N:$N,MATCH($B$3&amp;"|"&amp;136,IF($B$3="TODAS",'Catálogo'!$U:$U,'Catálogo'!$Q:$Q),0))),"")</f>
      </c>
    </row>
    <row r="142" ht="90.00" customHeight="1">
      <c r="A142" s="39">
        <f>IFERROR(IF(INDEX('Catálogo'!$M:$M,MATCH($B$3&amp;"|"&amp;137,IF($B$3="TODAS",'Catálogo'!$U:$U,'Catálogo'!$Q:$Q),0))="","",IMAGE(INDEX('Catálogo'!$M:$M,MATCH($B$3&amp;"|"&amp;137,IF($B$3="TODAS",'Catálogo'!$U:$U,'Catálogo'!$Q:$Q),0)),1)),"")</f>
      </c>
      <c r="B142" s="40">
        <f>IFERROR(INDEX('Catálogo'!$B:$B,MATCH($B$3&amp;"|"&amp;137,IF($B$3="TODAS",'Catálogo'!$U:$U,'Catálogo'!$Q:$Q),0)),"")</f>
      </c>
      <c r="C142" s="41">
        <f>IFERROR(IF(INDEX('Catálogo'!$R:$R,MATCH($B$3&amp;"|"&amp;137,IF($B$3="TODAS",'Catálogo'!$U:$U,'Catálogo'!$Q:$Q),0))="","Cód: "&amp;INDEX('Catálogo'!$A:$A,MATCH($B$3&amp;"|"&amp;137,IF($B$3="TODAS",'Catálogo'!$U:$U,'Catálogo'!$Q:$Q),0)),"Medidas: "&amp;INDEX('Catálogo'!$R:$R,MATCH($B$3&amp;"|"&amp;137,IF($B$3="TODAS",'Catálogo'!$U:$U,'Catálogo'!$Q:$Q),0))&amp;"  ·  Cód: "&amp;INDEX('Catálogo'!$A:$A,MATCH($B$3&amp;"|"&amp;137,IF($B$3="TODAS",'Catálogo'!$U:$U,'Catálogo'!$Q:$Q),0))),"")</f>
      </c>
      <c r="D142" s="42">
        <f>IFERROR(IF($D$3="Mayor",INDEX('Catálogo'!$O:$O,MATCH($B$3&amp;"|"&amp;137,IF($B$3="TODAS",'Catálogo'!$U:$U,'Catálogo'!$Q:$Q),0)),INDEX('Catálogo'!$N:$N,MATCH($B$3&amp;"|"&amp;137,IF($B$3="TODAS",'Catálogo'!$U:$U,'Catálogo'!$Q:$Q),0))),"")</f>
      </c>
    </row>
    <row r="143" ht="90.00" customHeight="1">
      <c r="A143" s="39">
        <f>IFERROR(IF(INDEX('Catálogo'!$M:$M,MATCH($B$3&amp;"|"&amp;138,IF($B$3="TODAS",'Catálogo'!$U:$U,'Catálogo'!$Q:$Q),0))="","",IMAGE(INDEX('Catálogo'!$M:$M,MATCH($B$3&amp;"|"&amp;138,IF($B$3="TODAS",'Catálogo'!$U:$U,'Catálogo'!$Q:$Q),0)),1)),"")</f>
      </c>
      <c r="B143" s="40">
        <f>IFERROR(INDEX('Catálogo'!$B:$B,MATCH($B$3&amp;"|"&amp;138,IF($B$3="TODAS",'Catálogo'!$U:$U,'Catálogo'!$Q:$Q),0)),"")</f>
      </c>
      <c r="C143" s="41">
        <f>IFERROR(IF(INDEX('Catálogo'!$R:$R,MATCH($B$3&amp;"|"&amp;138,IF($B$3="TODAS",'Catálogo'!$U:$U,'Catálogo'!$Q:$Q),0))="","Cód: "&amp;INDEX('Catálogo'!$A:$A,MATCH($B$3&amp;"|"&amp;138,IF($B$3="TODAS",'Catálogo'!$U:$U,'Catálogo'!$Q:$Q),0)),"Medidas: "&amp;INDEX('Catálogo'!$R:$R,MATCH($B$3&amp;"|"&amp;138,IF($B$3="TODAS",'Catálogo'!$U:$U,'Catálogo'!$Q:$Q),0))&amp;"  ·  Cód: "&amp;INDEX('Catálogo'!$A:$A,MATCH($B$3&amp;"|"&amp;138,IF($B$3="TODAS",'Catálogo'!$U:$U,'Catálogo'!$Q:$Q),0))),"")</f>
      </c>
      <c r="D143" s="42">
        <f>IFERROR(IF($D$3="Mayor",INDEX('Catálogo'!$O:$O,MATCH($B$3&amp;"|"&amp;138,IF($B$3="TODAS",'Catálogo'!$U:$U,'Catálogo'!$Q:$Q),0)),INDEX('Catálogo'!$N:$N,MATCH($B$3&amp;"|"&amp;138,IF($B$3="TODAS",'Catálogo'!$U:$U,'Catálogo'!$Q:$Q),0))),"")</f>
      </c>
    </row>
    <row r="144" ht="90.00" customHeight="1">
      <c r="A144" s="39">
        <f>IFERROR(IF(INDEX('Catálogo'!$M:$M,MATCH($B$3&amp;"|"&amp;139,IF($B$3="TODAS",'Catálogo'!$U:$U,'Catálogo'!$Q:$Q),0))="","",IMAGE(INDEX('Catálogo'!$M:$M,MATCH($B$3&amp;"|"&amp;139,IF($B$3="TODAS",'Catálogo'!$U:$U,'Catálogo'!$Q:$Q),0)),1)),"")</f>
      </c>
      <c r="B144" s="40">
        <f>IFERROR(INDEX('Catálogo'!$B:$B,MATCH($B$3&amp;"|"&amp;139,IF($B$3="TODAS",'Catálogo'!$U:$U,'Catálogo'!$Q:$Q),0)),"")</f>
      </c>
      <c r="C144" s="41">
        <f>IFERROR(IF(INDEX('Catálogo'!$R:$R,MATCH($B$3&amp;"|"&amp;139,IF($B$3="TODAS",'Catálogo'!$U:$U,'Catálogo'!$Q:$Q),0))="","Cód: "&amp;INDEX('Catálogo'!$A:$A,MATCH($B$3&amp;"|"&amp;139,IF($B$3="TODAS",'Catálogo'!$U:$U,'Catálogo'!$Q:$Q),0)),"Medidas: "&amp;INDEX('Catálogo'!$R:$R,MATCH($B$3&amp;"|"&amp;139,IF($B$3="TODAS",'Catálogo'!$U:$U,'Catálogo'!$Q:$Q),0))&amp;"  ·  Cód: "&amp;INDEX('Catálogo'!$A:$A,MATCH($B$3&amp;"|"&amp;139,IF($B$3="TODAS",'Catálogo'!$U:$U,'Catálogo'!$Q:$Q),0))),"")</f>
      </c>
      <c r="D144" s="42">
        <f>IFERROR(IF($D$3="Mayor",INDEX('Catálogo'!$O:$O,MATCH($B$3&amp;"|"&amp;139,IF($B$3="TODAS",'Catálogo'!$U:$U,'Catálogo'!$Q:$Q),0)),INDEX('Catálogo'!$N:$N,MATCH($B$3&amp;"|"&amp;139,IF($B$3="TODAS",'Catálogo'!$U:$U,'Catálogo'!$Q:$Q),0))),"")</f>
      </c>
    </row>
    <row r="145" ht="90.00" customHeight="1">
      <c r="A145" s="39">
        <f>IFERROR(IF(INDEX('Catálogo'!$M:$M,MATCH($B$3&amp;"|"&amp;140,IF($B$3="TODAS",'Catálogo'!$U:$U,'Catálogo'!$Q:$Q),0))="","",IMAGE(INDEX('Catálogo'!$M:$M,MATCH($B$3&amp;"|"&amp;140,IF($B$3="TODAS",'Catálogo'!$U:$U,'Catálogo'!$Q:$Q),0)),1)),"")</f>
      </c>
      <c r="B145" s="40">
        <f>IFERROR(INDEX('Catálogo'!$B:$B,MATCH($B$3&amp;"|"&amp;140,IF($B$3="TODAS",'Catálogo'!$U:$U,'Catálogo'!$Q:$Q),0)),"")</f>
      </c>
      <c r="C145" s="41">
        <f>IFERROR(IF(INDEX('Catálogo'!$R:$R,MATCH($B$3&amp;"|"&amp;140,IF($B$3="TODAS",'Catálogo'!$U:$U,'Catálogo'!$Q:$Q),0))="","Cód: "&amp;INDEX('Catálogo'!$A:$A,MATCH($B$3&amp;"|"&amp;140,IF($B$3="TODAS",'Catálogo'!$U:$U,'Catálogo'!$Q:$Q),0)),"Medidas: "&amp;INDEX('Catálogo'!$R:$R,MATCH($B$3&amp;"|"&amp;140,IF($B$3="TODAS",'Catálogo'!$U:$U,'Catálogo'!$Q:$Q),0))&amp;"  ·  Cód: "&amp;INDEX('Catálogo'!$A:$A,MATCH($B$3&amp;"|"&amp;140,IF($B$3="TODAS",'Catálogo'!$U:$U,'Catálogo'!$Q:$Q),0))),"")</f>
      </c>
      <c r="D145" s="42">
        <f>IFERROR(IF($D$3="Mayor",INDEX('Catálogo'!$O:$O,MATCH($B$3&amp;"|"&amp;140,IF($B$3="TODAS",'Catálogo'!$U:$U,'Catálogo'!$Q:$Q),0)),INDEX('Catálogo'!$N:$N,MATCH($B$3&amp;"|"&amp;140,IF($B$3="TODAS",'Catálogo'!$U:$U,'Catálogo'!$Q:$Q),0))),"")</f>
      </c>
    </row>
    <row r="146" ht="90.00" customHeight="1">
      <c r="A146" s="39">
        <f>IFERROR(IF(INDEX('Catálogo'!$M:$M,MATCH($B$3&amp;"|"&amp;141,IF($B$3="TODAS",'Catálogo'!$U:$U,'Catálogo'!$Q:$Q),0))="","",IMAGE(INDEX('Catálogo'!$M:$M,MATCH($B$3&amp;"|"&amp;141,IF($B$3="TODAS",'Catálogo'!$U:$U,'Catálogo'!$Q:$Q),0)),1)),"")</f>
      </c>
      <c r="B146" s="40">
        <f>IFERROR(INDEX('Catálogo'!$B:$B,MATCH($B$3&amp;"|"&amp;141,IF($B$3="TODAS",'Catálogo'!$U:$U,'Catálogo'!$Q:$Q),0)),"")</f>
      </c>
      <c r="C146" s="41">
        <f>IFERROR(IF(INDEX('Catálogo'!$R:$R,MATCH($B$3&amp;"|"&amp;141,IF($B$3="TODAS",'Catálogo'!$U:$U,'Catálogo'!$Q:$Q),0))="","Cód: "&amp;INDEX('Catálogo'!$A:$A,MATCH($B$3&amp;"|"&amp;141,IF($B$3="TODAS",'Catálogo'!$U:$U,'Catálogo'!$Q:$Q),0)),"Medidas: "&amp;INDEX('Catálogo'!$R:$R,MATCH($B$3&amp;"|"&amp;141,IF($B$3="TODAS",'Catálogo'!$U:$U,'Catálogo'!$Q:$Q),0))&amp;"  ·  Cód: "&amp;INDEX('Catálogo'!$A:$A,MATCH($B$3&amp;"|"&amp;141,IF($B$3="TODAS",'Catálogo'!$U:$U,'Catálogo'!$Q:$Q),0))),"")</f>
      </c>
      <c r="D146" s="42">
        <f>IFERROR(IF($D$3="Mayor",INDEX('Catálogo'!$O:$O,MATCH($B$3&amp;"|"&amp;141,IF($B$3="TODAS",'Catálogo'!$U:$U,'Catálogo'!$Q:$Q),0)),INDEX('Catálogo'!$N:$N,MATCH($B$3&amp;"|"&amp;141,IF($B$3="TODAS",'Catálogo'!$U:$U,'Catálogo'!$Q:$Q),0))),"")</f>
      </c>
    </row>
    <row r="147" ht="90.00" customHeight="1">
      <c r="A147" s="39">
        <f>IFERROR(IF(INDEX('Catálogo'!$M:$M,MATCH($B$3&amp;"|"&amp;142,IF($B$3="TODAS",'Catálogo'!$U:$U,'Catálogo'!$Q:$Q),0))="","",IMAGE(INDEX('Catálogo'!$M:$M,MATCH($B$3&amp;"|"&amp;142,IF($B$3="TODAS",'Catálogo'!$U:$U,'Catálogo'!$Q:$Q),0)),1)),"")</f>
      </c>
      <c r="B147" s="40">
        <f>IFERROR(INDEX('Catálogo'!$B:$B,MATCH($B$3&amp;"|"&amp;142,IF($B$3="TODAS",'Catálogo'!$U:$U,'Catálogo'!$Q:$Q),0)),"")</f>
      </c>
      <c r="C147" s="41">
        <f>IFERROR(IF(INDEX('Catálogo'!$R:$R,MATCH($B$3&amp;"|"&amp;142,IF($B$3="TODAS",'Catálogo'!$U:$U,'Catálogo'!$Q:$Q),0))="","Cód: "&amp;INDEX('Catálogo'!$A:$A,MATCH($B$3&amp;"|"&amp;142,IF($B$3="TODAS",'Catálogo'!$U:$U,'Catálogo'!$Q:$Q),0)),"Medidas: "&amp;INDEX('Catálogo'!$R:$R,MATCH($B$3&amp;"|"&amp;142,IF($B$3="TODAS",'Catálogo'!$U:$U,'Catálogo'!$Q:$Q),0))&amp;"  ·  Cód: "&amp;INDEX('Catálogo'!$A:$A,MATCH($B$3&amp;"|"&amp;142,IF($B$3="TODAS",'Catálogo'!$U:$U,'Catálogo'!$Q:$Q),0))),"")</f>
      </c>
      <c r="D147" s="42">
        <f>IFERROR(IF($D$3="Mayor",INDEX('Catálogo'!$O:$O,MATCH($B$3&amp;"|"&amp;142,IF($B$3="TODAS",'Catálogo'!$U:$U,'Catálogo'!$Q:$Q),0)),INDEX('Catálogo'!$N:$N,MATCH($B$3&amp;"|"&amp;142,IF($B$3="TODAS",'Catálogo'!$U:$U,'Catálogo'!$Q:$Q),0))),"")</f>
      </c>
    </row>
    <row r="148" ht="90.00" customHeight="1">
      <c r="A148" s="39">
        <f>IFERROR(IF(INDEX('Catálogo'!$M:$M,MATCH($B$3&amp;"|"&amp;143,IF($B$3="TODAS",'Catálogo'!$U:$U,'Catálogo'!$Q:$Q),0))="","",IMAGE(INDEX('Catálogo'!$M:$M,MATCH($B$3&amp;"|"&amp;143,IF($B$3="TODAS",'Catálogo'!$U:$U,'Catálogo'!$Q:$Q),0)),1)),"")</f>
      </c>
      <c r="B148" s="40">
        <f>IFERROR(INDEX('Catálogo'!$B:$B,MATCH($B$3&amp;"|"&amp;143,IF($B$3="TODAS",'Catálogo'!$U:$U,'Catálogo'!$Q:$Q),0)),"")</f>
      </c>
      <c r="C148" s="41">
        <f>IFERROR(IF(INDEX('Catálogo'!$R:$R,MATCH($B$3&amp;"|"&amp;143,IF($B$3="TODAS",'Catálogo'!$U:$U,'Catálogo'!$Q:$Q),0))="","Cód: "&amp;INDEX('Catálogo'!$A:$A,MATCH($B$3&amp;"|"&amp;143,IF($B$3="TODAS",'Catálogo'!$U:$U,'Catálogo'!$Q:$Q),0)),"Medidas: "&amp;INDEX('Catálogo'!$R:$R,MATCH($B$3&amp;"|"&amp;143,IF($B$3="TODAS",'Catálogo'!$U:$U,'Catálogo'!$Q:$Q),0))&amp;"  ·  Cód: "&amp;INDEX('Catálogo'!$A:$A,MATCH($B$3&amp;"|"&amp;143,IF($B$3="TODAS",'Catálogo'!$U:$U,'Catálogo'!$Q:$Q),0))),"")</f>
      </c>
      <c r="D148" s="42">
        <f>IFERROR(IF($D$3="Mayor",INDEX('Catálogo'!$O:$O,MATCH($B$3&amp;"|"&amp;143,IF($B$3="TODAS",'Catálogo'!$U:$U,'Catálogo'!$Q:$Q),0)),INDEX('Catálogo'!$N:$N,MATCH($B$3&amp;"|"&amp;143,IF($B$3="TODAS",'Catálogo'!$U:$U,'Catálogo'!$Q:$Q),0))),"")</f>
      </c>
    </row>
    <row r="149" ht="90.00" customHeight="1">
      <c r="A149" s="39">
        <f>IFERROR(IF(INDEX('Catálogo'!$M:$M,MATCH($B$3&amp;"|"&amp;144,IF($B$3="TODAS",'Catálogo'!$U:$U,'Catálogo'!$Q:$Q),0))="","",IMAGE(INDEX('Catálogo'!$M:$M,MATCH($B$3&amp;"|"&amp;144,IF($B$3="TODAS",'Catálogo'!$U:$U,'Catálogo'!$Q:$Q),0)),1)),"")</f>
      </c>
      <c r="B149" s="40">
        <f>IFERROR(INDEX('Catálogo'!$B:$B,MATCH($B$3&amp;"|"&amp;144,IF($B$3="TODAS",'Catálogo'!$U:$U,'Catálogo'!$Q:$Q),0)),"")</f>
      </c>
      <c r="C149" s="41">
        <f>IFERROR(IF(INDEX('Catálogo'!$R:$R,MATCH($B$3&amp;"|"&amp;144,IF($B$3="TODAS",'Catálogo'!$U:$U,'Catálogo'!$Q:$Q),0))="","Cód: "&amp;INDEX('Catálogo'!$A:$A,MATCH($B$3&amp;"|"&amp;144,IF($B$3="TODAS",'Catálogo'!$U:$U,'Catálogo'!$Q:$Q),0)),"Medidas: "&amp;INDEX('Catálogo'!$R:$R,MATCH($B$3&amp;"|"&amp;144,IF($B$3="TODAS",'Catálogo'!$U:$U,'Catálogo'!$Q:$Q),0))&amp;"  ·  Cód: "&amp;INDEX('Catálogo'!$A:$A,MATCH($B$3&amp;"|"&amp;144,IF($B$3="TODAS",'Catálogo'!$U:$U,'Catálogo'!$Q:$Q),0))),"")</f>
      </c>
      <c r="D149" s="42">
        <f>IFERROR(IF($D$3="Mayor",INDEX('Catálogo'!$O:$O,MATCH($B$3&amp;"|"&amp;144,IF($B$3="TODAS",'Catálogo'!$U:$U,'Catálogo'!$Q:$Q),0)),INDEX('Catálogo'!$N:$N,MATCH($B$3&amp;"|"&amp;144,IF($B$3="TODAS",'Catálogo'!$U:$U,'Catálogo'!$Q:$Q),0))),"")</f>
      </c>
    </row>
    <row r="150" ht="90.00" customHeight="1">
      <c r="A150" s="39">
        <f>IFERROR(IF(INDEX('Catálogo'!$M:$M,MATCH($B$3&amp;"|"&amp;145,IF($B$3="TODAS",'Catálogo'!$U:$U,'Catálogo'!$Q:$Q),0))="","",IMAGE(INDEX('Catálogo'!$M:$M,MATCH($B$3&amp;"|"&amp;145,IF($B$3="TODAS",'Catálogo'!$U:$U,'Catálogo'!$Q:$Q),0)),1)),"")</f>
      </c>
      <c r="B150" s="40">
        <f>IFERROR(INDEX('Catálogo'!$B:$B,MATCH($B$3&amp;"|"&amp;145,IF($B$3="TODAS",'Catálogo'!$U:$U,'Catálogo'!$Q:$Q),0)),"")</f>
      </c>
      <c r="C150" s="41">
        <f>IFERROR(IF(INDEX('Catálogo'!$R:$R,MATCH($B$3&amp;"|"&amp;145,IF($B$3="TODAS",'Catálogo'!$U:$U,'Catálogo'!$Q:$Q),0))="","Cód: "&amp;INDEX('Catálogo'!$A:$A,MATCH($B$3&amp;"|"&amp;145,IF($B$3="TODAS",'Catálogo'!$U:$U,'Catálogo'!$Q:$Q),0)),"Medidas: "&amp;INDEX('Catálogo'!$R:$R,MATCH($B$3&amp;"|"&amp;145,IF($B$3="TODAS",'Catálogo'!$U:$U,'Catálogo'!$Q:$Q),0))&amp;"  ·  Cód: "&amp;INDEX('Catálogo'!$A:$A,MATCH($B$3&amp;"|"&amp;145,IF($B$3="TODAS",'Catálogo'!$U:$U,'Catálogo'!$Q:$Q),0))),"")</f>
      </c>
      <c r="D150" s="42">
        <f>IFERROR(IF($D$3="Mayor",INDEX('Catálogo'!$O:$O,MATCH($B$3&amp;"|"&amp;145,IF($B$3="TODAS",'Catálogo'!$U:$U,'Catálogo'!$Q:$Q),0)),INDEX('Catálogo'!$N:$N,MATCH($B$3&amp;"|"&amp;145,IF($B$3="TODAS",'Catálogo'!$U:$U,'Catálogo'!$Q:$Q),0))),"")</f>
      </c>
    </row>
    <row r="151" ht="90.00" customHeight="1">
      <c r="A151" s="39">
        <f>IFERROR(IF(INDEX('Catálogo'!$M:$M,MATCH($B$3&amp;"|"&amp;146,IF($B$3="TODAS",'Catálogo'!$U:$U,'Catálogo'!$Q:$Q),0))="","",IMAGE(INDEX('Catálogo'!$M:$M,MATCH($B$3&amp;"|"&amp;146,IF($B$3="TODAS",'Catálogo'!$U:$U,'Catálogo'!$Q:$Q),0)),1)),"")</f>
      </c>
      <c r="B151" s="40">
        <f>IFERROR(INDEX('Catálogo'!$B:$B,MATCH($B$3&amp;"|"&amp;146,IF($B$3="TODAS",'Catálogo'!$U:$U,'Catálogo'!$Q:$Q),0)),"")</f>
      </c>
      <c r="C151" s="41">
        <f>IFERROR(IF(INDEX('Catálogo'!$R:$R,MATCH($B$3&amp;"|"&amp;146,IF($B$3="TODAS",'Catálogo'!$U:$U,'Catálogo'!$Q:$Q),0))="","Cód: "&amp;INDEX('Catálogo'!$A:$A,MATCH($B$3&amp;"|"&amp;146,IF($B$3="TODAS",'Catálogo'!$U:$U,'Catálogo'!$Q:$Q),0)),"Medidas: "&amp;INDEX('Catálogo'!$R:$R,MATCH($B$3&amp;"|"&amp;146,IF($B$3="TODAS",'Catálogo'!$U:$U,'Catálogo'!$Q:$Q),0))&amp;"  ·  Cód: "&amp;INDEX('Catálogo'!$A:$A,MATCH($B$3&amp;"|"&amp;146,IF($B$3="TODAS",'Catálogo'!$U:$U,'Catálogo'!$Q:$Q),0))),"")</f>
      </c>
      <c r="D151" s="42">
        <f>IFERROR(IF($D$3="Mayor",INDEX('Catálogo'!$O:$O,MATCH($B$3&amp;"|"&amp;146,IF($B$3="TODAS",'Catálogo'!$U:$U,'Catálogo'!$Q:$Q),0)),INDEX('Catálogo'!$N:$N,MATCH($B$3&amp;"|"&amp;146,IF($B$3="TODAS",'Catálogo'!$U:$U,'Catálogo'!$Q:$Q),0))),"")</f>
      </c>
    </row>
    <row r="152" ht="90.00" customHeight="1">
      <c r="A152" s="39">
        <f>IFERROR(IF(INDEX('Catálogo'!$M:$M,MATCH($B$3&amp;"|"&amp;147,IF($B$3="TODAS",'Catálogo'!$U:$U,'Catálogo'!$Q:$Q),0))="","",IMAGE(INDEX('Catálogo'!$M:$M,MATCH($B$3&amp;"|"&amp;147,IF($B$3="TODAS",'Catálogo'!$U:$U,'Catálogo'!$Q:$Q),0)),1)),"")</f>
      </c>
      <c r="B152" s="40">
        <f>IFERROR(INDEX('Catálogo'!$B:$B,MATCH($B$3&amp;"|"&amp;147,IF($B$3="TODAS",'Catálogo'!$U:$U,'Catálogo'!$Q:$Q),0)),"")</f>
      </c>
      <c r="C152" s="41">
        <f>IFERROR(IF(INDEX('Catálogo'!$R:$R,MATCH($B$3&amp;"|"&amp;147,IF($B$3="TODAS",'Catálogo'!$U:$U,'Catálogo'!$Q:$Q),0))="","Cód: "&amp;INDEX('Catálogo'!$A:$A,MATCH($B$3&amp;"|"&amp;147,IF($B$3="TODAS",'Catálogo'!$U:$U,'Catálogo'!$Q:$Q),0)),"Medidas: "&amp;INDEX('Catálogo'!$R:$R,MATCH($B$3&amp;"|"&amp;147,IF($B$3="TODAS",'Catálogo'!$U:$U,'Catálogo'!$Q:$Q),0))&amp;"  ·  Cód: "&amp;INDEX('Catálogo'!$A:$A,MATCH($B$3&amp;"|"&amp;147,IF($B$3="TODAS",'Catálogo'!$U:$U,'Catálogo'!$Q:$Q),0))),"")</f>
      </c>
      <c r="D152" s="42">
        <f>IFERROR(IF($D$3="Mayor",INDEX('Catálogo'!$O:$O,MATCH($B$3&amp;"|"&amp;147,IF($B$3="TODAS",'Catálogo'!$U:$U,'Catálogo'!$Q:$Q),0)),INDEX('Catálogo'!$N:$N,MATCH($B$3&amp;"|"&amp;147,IF($B$3="TODAS",'Catálogo'!$U:$U,'Catálogo'!$Q:$Q),0))),"")</f>
      </c>
    </row>
    <row r="153" ht="90.00" customHeight="1">
      <c r="A153" s="39">
        <f>IFERROR(IF(INDEX('Catálogo'!$M:$M,MATCH($B$3&amp;"|"&amp;148,IF($B$3="TODAS",'Catálogo'!$U:$U,'Catálogo'!$Q:$Q),0))="","",IMAGE(INDEX('Catálogo'!$M:$M,MATCH($B$3&amp;"|"&amp;148,IF($B$3="TODAS",'Catálogo'!$U:$U,'Catálogo'!$Q:$Q),0)),1)),"")</f>
      </c>
      <c r="B153" s="40">
        <f>IFERROR(INDEX('Catálogo'!$B:$B,MATCH($B$3&amp;"|"&amp;148,IF($B$3="TODAS",'Catálogo'!$U:$U,'Catálogo'!$Q:$Q),0)),"")</f>
      </c>
      <c r="C153" s="41">
        <f>IFERROR(IF(INDEX('Catálogo'!$R:$R,MATCH($B$3&amp;"|"&amp;148,IF($B$3="TODAS",'Catálogo'!$U:$U,'Catálogo'!$Q:$Q),0))="","Cód: "&amp;INDEX('Catálogo'!$A:$A,MATCH($B$3&amp;"|"&amp;148,IF($B$3="TODAS",'Catálogo'!$U:$U,'Catálogo'!$Q:$Q),0)),"Medidas: "&amp;INDEX('Catálogo'!$R:$R,MATCH($B$3&amp;"|"&amp;148,IF($B$3="TODAS",'Catálogo'!$U:$U,'Catálogo'!$Q:$Q),0))&amp;"  ·  Cód: "&amp;INDEX('Catálogo'!$A:$A,MATCH($B$3&amp;"|"&amp;148,IF($B$3="TODAS",'Catálogo'!$U:$U,'Catálogo'!$Q:$Q),0))),"")</f>
      </c>
      <c r="D153" s="42">
        <f>IFERROR(IF($D$3="Mayor",INDEX('Catálogo'!$O:$O,MATCH($B$3&amp;"|"&amp;148,IF($B$3="TODAS",'Catálogo'!$U:$U,'Catálogo'!$Q:$Q),0)),INDEX('Catálogo'!$N:$N,MATCH($B$3&amp;"|"&amp;148,IF($B$3="TODAS",'Catálogo'!$U:$U,'Catálogo'!$Q:$Q),0))),"")</f>
      </c>
    </row>
    <row r="154" ht="90.00" customHeight="1">
      <c r="A154" s="39">
        <f>IFERROR(IF(INDEX('Catálogo'!$M:$M,MATCH($B$3&amp;"|"&amp;149,IF($B$3="TODAS",'Catálogo'!$U:$U,'Catálogo'!$Q:$Q),0))="","",IMAGE(INDEX('Catálogo'!$M:$M,MATCH($B$3&amp;"|"&amp;149,IF($B$3="TODAS",'Catálogo'!$U:$U,'Catálogo'!$Q:$Q),0)),1)),"")</f>
      </c>
      <c r="B154" s="40">
        <f>IFERROR(INDEX('Catálogo'!$B:$B,MATCH($B$3&amp;"|"&amp;149,IF($B$3="TODAS",'Catálogo'!$U:$U,'Catálogo'!$Q:$Q),0)),"")</f>
      </c>
      <c r="C154" s="41">
        <f>IFERROR(IF(INDEX('Catálogo'!$R:$R,MATCH($B$3&amp;"|"&amp;149,IF($B$3="TODAS",'Catálogo'!$U:$U,'Catálogo'!$Q:$Q),0))="","Cód: "&amp;INDEX('Catálogo'!$A:$A,MATCH($B$3&amp;"|"&amp;149,IF($B$3="TODAS",'Catálogo'!$U:$U,'Catálogo'!$Q:$Q),0)),"Medidas: "&amp;INDEX('Catálogo'!$R:$R,MATCH($B$3&amp;"|"&amp;149,IF($B$3="TODAS",'Catálogo'!$U:$U,'Catálogo'!$Q:$Q),0))&amp;"  ·  Cód: "&amp;INDEX('Catálogo'!$A:$A,MATCH($B$3&amp;"|"&amp;149,IF($B$3="TODAS",'Catálogo'!$U:$U,'Catálogo'!$Q:$Q),0))),"")</f>
      </c>
      <c r="D154" s="42">
        <f>IFERROR(IF($D$3="Mayor",INDEX('Catálogo'!$O:$O,MATCH($B$3&amp;"|"&amp;149,IF($B$3="TODAS",'Catálogo'!$U:$U,'Catálogo'!$Q:$Q),0)),INDEX('Catálogo'!$N:$N,MATCH($B$3&amp;"|"&amp;149,IF($B$3="TODAS",'Catálogo'!$U:$U,'Catálogo'!$Q:$Q),0))),"")</f>
      </c>
    </row>
    <row r="155" ht="90.00" customHeight="1">
      <c r="A155" s="39">
        <f>IFERROR(IF(INDEX('Catálogo'!$M:$M,MATCH($B$3&amp;"|"&amp;150,IF($B$3="TODAS",'Catálogo'!$U:$U,'Catálogo'!$Q:$Q),0))="","",IMAGE(INDEX('Catálogo'!$M:$M,MATCH($B$3&amp;"|"&amp;150,IF($B$3="TODAS",'Catálogo'!$U:$U,'Catálogo'!$Q:$Q),0)),1)),"")</f>
      </c>
      <c r="B155" s="40">
        <f>IFERROR(INDEX('Catálogo'!$B:$B,MATCH($B$3&amp;"|"&amp;150,IF($B$3="TODAS",'Catálogo'!$U:$U,'Catálogo'!$Q:$Q),0)),"")</f>
      </c>
      <c r="C155" s="41">
        <f>IFERROR(IF(INDEX('Catálogo'!$R:$R,MATCH($B$3&amp;"|"&amp;150,IF($B$3="TODAS",'Catálogo'!$U:$U,'Catálogo'!$Q:$Q),0))="","Cód: "&amp;INDEX('Catálogo'!$A:$A,MATCH($B$3&amp;"|"&amp;150,IF($B$3="TODAS",'Catálogo'!$U:$U,'Catálogo'!$Q:$Q),0)),"Medidas: "&amp;INDEX('Catálogo'!$R:$R,MATCH($B$3&amp;"|"&amp;150,IF($B$3="TODAS",'Catálogo'!$U:$U,'Catálogo'!$Q:$Q),0))&amp;"  ·  Cód: "&amp;INDEX('Catálogo'!$A:$A,MATCH($B$3&amp;"|"&amp;150,IF($B$3="TODAS",'Catálogo'!$U:$U,'Catálogo'!$Q:$Q),0))),"")</f>
      </c>
      <c r="D155" s="42">
        <f>IFERROR(IF($D$3="Mayor",INDEX('Catálogo'!$O:$O,MATCH($B$3&amp;"|"&amp;150,IF($B$3="TODAS",'Catálogo'!$U:$U,'Catálogo'!$Q:$Q),0)),INDEX('Catálogo'!$N:$N,MATCH($B$3&amp;"|"&amp;150,IF($B$3="TODAS",'Catálogo'!$U:$U,'Catálogo'!$Q:$Q),0))),"")</f>
      </c>
    </row>
    <row r="156" ht="90.00" customHeight="1">
      <c r="A156" s="39">
        <f>IFERROR(IF(INDEX('Catálogo'!$M:$M,MATCH($B$3&amp;"|"&amp;151,IF($B$3="TODAS",'Catálogo'!$U:$U,'Catálogo'!$Q:$Q),0))="","",IMAGE(INDEX('Catálogo'!$M:$M,MATCH($B$3&amp;"|"&amp;151,IF($B$3="TODAS",'Catálogo'!$U:$U,'Catálogo'!$Q:$Q),0)),1)),"")</f>
      </c>
      <c r="B156" s="40">
        <f>IFERROR(INDEX('Catálogo'!$B:$B,MATCH($B$3&amp;"|"&amp;151,IF($B$3="TODAS",'Catálogo'!$U:$U,'Catálogo'!$Q:$Q),0)),"")</f>
      </c>
      <c r="C156" s="41">
        <f>IFERROR(IF(INDEX('Catálogo'!$R:$R,MATCH($B$3&amp;"|"&amp;151,IF($B$3="TODAS",'Catálogo'!$U:$U,'Catálogo'!$Q:$Q),0))="","Cód: "&amp;INDEX('Catálogo'!$A:$A,MATCH($B$3&amp;"|"&amp;151,IF($B$3="TODAS",'Catálogo'!$U:$U,'Catálogo'!$Q:$Q),0)),"Medidas: "&amp;INDEX('Catálogo'!$R:$R,MATCH($B$3&amp;"|"&amp;151,IF($B$3="TODAS",'Catálogo'!$U:$U,'Catálogo'!$Q:$Q),0))&amp;"  ·  Cód: "&amp;INDEX('Catálogo'!$A:$A,MATCH($B$3&amp;"|"&amp;151,IF($B$3="TODAS",'Catálogo'!$U:$U,'Catálogo'!$Q:$Q),0))),"")</f>
      </c>
      <c r="D156" s="42">
        <f>IFERROR(IF($D$3="Mayor",INDEX('Catálogo'!$O:$O,MATCH($B$3&amp;"|"&amp;151,IF($B$3="TODAS",'Catálogo'!$U:$U,'Catálogo'!$Q:$Q),0)),INDEX('Catálogo'!$N:$N,MATCH($B$3&amp;"|"&amp;151,IF($B$3="TODAS",'Catálogo'!$U:$U,'Catálogo'!$Q:$Q),0))),"")</f>
      </c>
    </row>
    <row r="157" ht="90.00" customHeight="1">
      <c r="A157" s="39">
        <f>IFERROR(IF(INDEX('Catálogo'!$M:$M,MATCH($B$3&amp;"|"&amp;152,IF($B$3="TODAS",'Catálogo'!$U:$U,'Catálogo'!$Q:$Q),0))="","",IMAGE(INDEX('Catálogo'!$M:$M,MATCH($B$3&amp;"|"&amp;152,IF($B$3="TODAS",'Catálogo'!$U:$U,'Catálogo'!$Q:$Q),0)),1)),"")</f>
      </c>
      <c r="B157" s="40">
        <f>IFERROR(INDEX('Catálogo'!$B:$B,MATCH($B$3&amp;"|"&amp;152,IF($B$3="TODAS",'Catálogo'!$U:$U,'Catálogo'!$Q:$Q),0)),"")</f>
      </c>
      <c r="C157" s="41">
        <f>IFERROR(IF(INDEX('Catálogo'!$R:$R,MATCH($B$3&amp;"|"&amp;152,IF($B$3="TODAS",'Catálogo'!$U:$U,'Catálogo'!$Q:$Q),0))="","Cód: "&amp;INDEX('Catálogo'!$A:$A,MATCH($B$3&amp;"|"&amp;152,IF($B$3="TODAS",'Catálogo'!$U:$U,'Catálogo'!$Q:$Q),0)),"Medidas: "&amp;INDEX('Catálogo'!$R:$R,MATCH($B$3&amp;"|"&amp;152,IF($B$3="TODAS",'Catálogo'!$U:$U,'Catálogo'!$Q:$Q),0))&amp;"  ·  Cód: "&amp;INDEX('Catálogo'!$A:$A,MATCH($B$3&amp;"|"&amp;152,IF($B$3="TODAS",'Catálogo'!$U:$U,'Catálogo'!$Q:$Q),0))),"")</f>
      </c>
      <c r="D157" s="42">
        <f>IFERROR(IF($D$3="Mayor",INDEX('Catálogo'!$O:$O,MATCH($B$3&amp;"|"&amp;152,IF($B$3="TODAS",'Catálogo'!$U:$U,'Catálogo'!$Q:$Q),0)),INDEX('Catálogo'!$N:$N,MATCH($B$3&amp;"|"&amp;152,IF($B$3="TODAS",'Catálogo'!$U:$U,'Catálogo'!$Q:$Q),0))),"")</f>
      </c>
    </row>
    <row r="158" ht="90.00" customHeight="1">
      <c r="A158" s="39">
        <f>IFERROR(IF(INDEX('Catálogo'!$M:$M,MATCH($B$3&amp;"|"&amp;153,IF($B$3="TODAS",'Catálogo'!$U:$U,'Catálogo'!$Q:$Q),0))="","",IMAGE(INDEX('Catálogo'!$M:$M,MATCH($B$3&amp;"|"&amp;153,IF($B$3="TODAS",'Catálogo'!$U:$U,'Catálogo'!$Q:$Q),0)),1)),"")</f>
      </c>
      <c r="B158" s="40">
        <f>IFERROR(INDEX('Catálogo'!$B:$B,MATCH($B$3&amp;"|"&amp;153,IF($B$3="TODAS",'Catálogo'!$U:$U,'Catálogo'!$Q:$Q),0)),"")</f>
      </c>
      <c r="C158" s="41">
        <f>IFERROR(IF(INDEX('Catálogo'!$R:$R,MATCH($B$3&amp;"|"&amp;153,IF($B$3="TODAS",'Catálogo'!$U:$U,'Catálogo'!$Q:$Q),0))="","Cód: "&amp;INDEX('Catálogo'!$A:$A,MATCH($B$3&amp;"|"&amp;153,IF($B$3="TODAS",'Catálogo'!$U:$U,'Catálogo'!$Q:$Q),0)),"Medidas: "&amp;INDEX('Catálogo'!$R:$R,MATCH($B$3&amp;"|"&amp;153,IF($B$3="TODAS",'Catálogo'!$U:$U,'Catálogo'!$Q:$Q),0))&amp;"  ·  Cód: "&amp;INDEX('Catálogo'!$A:$A,MATCH($B$3&amp;"|"&amp;153,IF($B$3="TODAS",'Catálogo'!$U:$U,'Catálogo'!$Q:$Q),0))),"")</f>
      </c>
      <c r="D158" s="42">
        <f>IFERROR(IF($D$3="Mayor",INDEX('Catálogo'!$O:$O,MATCH($B$3&amp;"|"&amp;153,IF($B$3="TODAS",'Catálogo'!$U:$U,'Catálogo'!$Q:$Q),0)),INDEX('Catálogo'!$N:$N,MATCH($B$3&amp;"|"&amp;153,IF($B$3="TODAS",'Catálogo'!$U:$U,'Catálogo'!$Q:$Q),0))),"")</f>
      </c>
    </row>
    <row r="159" ht="90.00" customHeight="1">
      <c r="A159" s="39">
        <f>IFERROR(IF(INDEX('Catálogo'!$M:$M,MATCH($B$3&amp;"|"&amp;154,IF($B$3="TODAS",'Catálogo'!$U:$U,'Catálogo'!$Q:$Q),0))="","",IMAGE(INDEX('Catálogo'!$M:$M,MATCH($B$3&amp;"|"&amp;154,IF($B$3="TODAS",'Catálogo'!$U:$U,'Catálogo'!$Q:$Q),0)),1)),"")</f>
      </c>
      <c r="B159" s="40">
        <f>IFERROR(INDEX('Catálogo'!$B:$B,MATCH($B$3&amp;"|"&amp;154,IF($B$3="TODAS",'Catálogo'!$U:$U,'Catálogo'!$Q:$Q),0)),"")</f>
      </c>
      <c r="C159" s="41">
        <f>IFERROR(IF(INDEX('Catálogo'!$R:$R,MATCH($B$3&amp;"|"&amp;154,IF($B$3="TODAS",'Catálogo'!$U:$U,'Catálogo'!$Q:$Q),0))="","Cód: "&amp;INDEX('Catálogo'!$A:$A,MATCH($B$3&amp;"|"&amp;154,IF($B$3="TODAS",'Catálogo'!$U:$U,'Catálogo'!$Q:$Q),0)),"Medidas: "&amp;INDEX('Catálogo'!$R:$R,MATCH($B$3&amp;"|"&amp;154,IF($B$3="TODAS",'Catálogo'!$U:$U,'Catálogo'!$Q:$Q),0))&amp;"  ·  Cód: "&amp;INDEX('Catálogo'!$A:$A,MATCH($B$3&amp;"|"&amp;154,IF($B$3="TODAS",'Catálogo'!$U:$U,'Catálogo'!$Q:$Q),0))),"")</f>
      </c>
      <c r="D159" s="42">
        <f>IFERROR(IF($D$3="Mayor",INDEX('Catálogo'!$O:$O,MATCH($B$3&amp;"|"&amp;154,IF($B$3="TODAS",'Catálogo'!$U:$U,'Catálogo'!$Q:$Q),0)),INDEX('Catálogo'!$N:$N,MATCH($B$3&amp;"|"&amp;154,IF($B$3="TODAS",'Catálogo'!$U:$U,'Catálogo'!$Q:$Q),0))),"")</f>
      </c>
    </row>
    <row r="160" ht="90.00" customHeight="1">
      <c r="A160" s="39">
        <f>IFERROR(IF(INDEX('Catálogo'!$M:$M,MATCH($B$3&amp;"|"&amp;155,IF($B$3="TODAS",'Catálogo'!$U:$U,'Catálogo'!$Q:$Q),0))="","",IMAGE(INDEX('Catálogo'!$M:$M,MATCH($B$3&amp;"|"&amp;155,IF($B$3="TODAS",'Catálogo'!$U:$U,'Catálogo'!$Q:$Q),0)),1)),"")</f>
      </c>
      <c r="B160" s="40">
        <f>IFERROR(INDEX('Catálogo'!$B:$B,MATCH($B$3&amp;"|"&amp;155,IF($B$3="TODAS",'Catálogo'!$U:$U,'Catálogo'!$Q:$Q),0)),"")</f>
      </c>
      <c r="C160" s="41">
        <f>IFERROR(IF(INDEX('Catálogo'!$R:$R,MATCH($B$3&amp;"|"&amp;155,IF($B$3="TODAS",'Catálogo'!$U:$U,'Catálogo'!$Q:$Q),0))="","Cód: "&amp;INDEX('Catálogo'!$A:$A,MATCH($B$3&amp;"|"&amp;155,IF($B$3="TODAS",'Catálogo'!$U:$U,'Catálogo'!$Q:$Q),0)),"Medidas: "&amp;INDEX('Catálogo'!$R:$R,MATCH($B$3&amp;"|"&amp;155,IF($B$3="TODAS",'Catálogo'!$U:$U,'Catálogo'!$Q:$Q),0))&amp;"  ·  Cód: "&amp;INDEX('Catálogo'!$A:$A,MATCH($B$3&amp;"|"&amp;155,IF($B$3="TODAS",'Catálogo'!$U:$U,'Catálogo'!$Q:$Q),0))),"")</f>
      </c>
      <c r="D160" s="42">
        <f>IFERROR(IF($D$3="Mayor",INDEX('Catálogo'!$O:$O,MATCH($B$3&amp;"|"&amp;155,IF($B$3="TODAS",'Catálogo'!$U:$U,'Catálogo'!$Q:$Q),0)),INDEX('Catálogo'!$N:$N,MATCH($B$3&amp;"|"&amp;155,IF($B$3="TODAS",'Catálogo'!$U:$U,'Catálogo'!$Q:$Q),0))),"")</f>
      </c>
    </row>
    <row r="161" ht="90.00" customHeight="1">
      <c r="A161" s="39">
        <f>IFERROR(IF(INDEX('Catálogo'!$M:$M,MATCH($B$3&amp;"|"&amp;156,IF($B$3="TODAS",'Catálogo'!$U:$U,'Catálogo'!$Q:$Q),0))="","",IMAGE(INDEX('Catálogo'!$M:$M,MATCH($B$3&amp;"|"&amp;156,IF($B$3="TODAS",'Catálogo'!$U:$U,'Catálogo'!$Q:$Q),0)),1)),"")</f>
      </c>
      <c r="B161" s="40">
        <f>IFERROR(INDEX('Catálogo'!$B:$B,MATCH($B$3&amp;"|"&amp;156,IF($B$3="TODAS",'Catálogo'!$U:$U,'Catálogo'!$Q:$Q),0)),"")</f>
      </c>
      <c r="C161" s="41">
        <f>IFERROR(IF(INDEX('Catálogo'!$R:$R,MATCH($B$3&amp;"|"&amp;156,IF($B$3="TODAS",'Catálogo'!$U:$U,'Catálogo'!$Q:$Q),0))="","Cód: "&amp;INDEX('Catálogo'!$A:$A,MATCH($B$3&amp;"|"&amp;156,IF($B$3="TODAS",'Catálogo'!$U:$U,'Catálogo'!$Q:$Q),0)),"Medidas: "&amp;INDEX('Catálogo'!$R:$R,MATCH($B$3&amp;"|"&amp;156,IF($B$3="TODAS",'Catálogo'!$U:$U,'Catálogo'!$Q:$Q),0))&amp;"  ·  Cód: "&amp;INDEX('Catálogo'!$A:$A,MATCH($B$3&amp;"|"&amp;156,IF($B$3="TODAS",'Catálogo'!$U:$U,'Catálogo'!$Q:$Q),0))),"")</f>
      </c>
      <c r="D161" s="42">
        <f>IFERROR(IF($D$3="Mayor",INDEX('Catálogo'!$O:$O,MATCH($B$3&amp;"|"&amp;156,IF($B$3="TODAS",'Catálogo'!$U:$U,'Catálogo'!$Q:$Q),0)),INDEX('Catálogo'!$N:$N,MATCH($B$3&amp;"|"&amp;156,IF($B$3="TODAS",'Catálogo'!$U:$U,'Catálogo'!$Q:$Q),0))),"")</f>
      </c>
    </row>
    <row r="162" ht="90.00" customHeight="1">
      <c r="A162" s="39">
        <f>IFERROR(IF(INDEX('Catálogo'!$M:$M,MATCH($B$3&amp;"|"&amp;157,IF($B$3="TODAS",'Catálogo'!$U:$U,'Catálogo'!$Q:$Q),0))="","",IMAGE(INDEX('Catálogo'!$M:$M,MATCH($B$3&amp;"|"&amp;157,IF($B$3="TODAS",'Catálogo'!$U:$U,'Catálogo'!$Q:$Q),0)),1)),"")</f>
      </c>
      <c r="B162" s="40">
        <f>IFERROR(INDEX('Catálogo'!$B:$B,MATCH($B$3&amp;"|"&amp;157,IF($B$3="TODAS",'Catálogo'!$U:$U,'Catálogo'!$Q:$Q),0)),"")</f>
      </c>
      <c r="C162" s="41">
        <f>IFERROR(IF(INDEX('Catálogo'!$R:$R,MATCH($B$3&amp;"|"&amp;157,IF($B$3="TODAS",'Catálogo'!$U:$U,'Catálogo'!$Q:$Q),0))="","Cód: "&amp;INDEX('Catálogo'!$A:$A,MATCH($B$3&amp;"|"&amp;157,IF($B$3="TODAS",'Catálogo'!$U:$U,'Catálogo'!$Q:$Q),0)),"Medidas: "&amp;INDEX('Catálogo'!$R:$R,MATCH($B$3&amp;"|"&amp;157,IF($B$3="TODAS",'Catálogo'!$U:$U,'Catálogo'!$Q:$Q),0))&amp;"  ·  Cód: "&amp;INDEX('Catálogo'!$A:$A,MATCH($B$3&amp;"|"&amp;157,IF($B$3="TODAS",'Catálogo'!$U:$U,'Catálogo'!$Q:$Q),0))),"")</f>
      </c>
      <c r="D162" s="42">
        <f>IFERROR(IF($D$3="Mayor",INDEX('Catálogo'!$O:$O,MATCH($B$3&amp;"|"&amp;157,IF($B$3="TODAS",'Catálogo'!$U:$U,'Catálogo'!$Q:$Q),0)),INDEX('Catálogo'!$N:$N,MATCH($B$3&amp;"|"&amp;157,IF($B$3="TODAS",'Catálogo'!$U:$U,'Catálogo'!$Q:$Q),0))),"")</f>
      </c>
    </row>
    <row r="163" ht="90.00" customHeight="1">
      <c r="A163" s="39">
        <f>IFERROR(IF(INDEX('Catálogo'!$M:$M,MATCH($B$3&amp;"|"&amp;158,IF($B$3="TODAS",'Catálogo'!$U:$U,'Catálogo'!$Q:$Q),0))="","",IMAGE(INDEX('Catálogo'!$M:$M,MATCH($B$3&amp;"|"&amp;158,IF($B$3="TODAS",'Catálogo'!$U:$U,'Catálogo'!$Q:$Q),0)),1)),"")</f>
      </c>
      <c r="B163" s="40">
        <f>IFERROR(INDEX('Catálogo'!$B:$B,MATCH($B$3&amp;"|"&amp;158,IF($B$3="TODAS",'Catálogo'!$U:$U,'Catálogo'!$Q:$Q),0)),"")</f>
      </c>
      <c r="C163" s="41">
        <f>IFERROR(IF(INDEX('Catálogo'!$R:$R,MATCH($B$3&amp;"|"&amp;158,IF($B$3="TODAS",'Catálogo'!$U:$U,'Catálogo'!$Q:$Q),0))="","Cód: "&amp;INDEX('Catálogo'!$A:$A,MATCH($B$3&amp;"|"&amp;158,IF($B$3="TODAS",'Catálogo'!$U:$U,'Catálogo'!$Q:$Q),0)),"Medidas: "&amp;INDEX('Catálogo'!$R:$R,MATCH($B$3&amp;"|"&amp;158,IF($B$3="TODAS",'Catálogo'!$U:$U,'Catálogo'!$Q:$Q),0))&amp;"  ·  Cód: "&amp;INDEX('Catálogo'!$A:$A,MATCH($B$3&amp;"|"&amp;158,IF($B$3="TODAS",'Catálogo'!$U:$U,'Catálogo'!$Q:$Q),0))),"")</f>
      </c>
      <c r="D163" s="42">
        <f>IFERROR(IF($D$3="Mayor",INDEX('Catálogo'!$O:$O,MATCH($B$3&amp;"|"&amp;158,IF($B$3="TODAS",'Catálogo'!$U:$U,'Catálogo'!$Q:$Q),0)),INDEX('Catálogo'!$N:$N,MATCH($B$3&amp;"|"&amp;158,IF($B$3="TODAS",'Catálogo'!$U:$U,'Catálogo'!$Q:$Q),0))),"")</f>
      </c>
    </row>
    <row r="164" ht="90.00" customHeight="1">
      <c r="A164" s="39">
        <f>IFERROR(IF(INDEX('Catálogo'!$M:$M,MATCH($B$3&amp;"|"&amp;159,IF($B$3="TODAS",'Catálogo'!$U:$U,'Catálogo'!$Q:$Q),0))="","",IMAGE(INDEX('Catálogo'!$M:$M,MATCH($B$3&amp;"|"&amp;159,IF($B$3="TODAS",'Catálogo'!$U:$U,'Catálogo'!$Q:$Q),0)),1)),"")</f>
      </c>
      <c r="B164" s="40">
        <f>IFERROR(INDEX('Catálogo'!$B:$B,MATCH($B$3&amp;"|"&amp;159,IF($B$3="TODAS",'Catálogo'!$U:$U,'Catálogo'!$Q:$Q),0)),"")</f>
      </c>
      <c r="C164" s="41">
        <f>IFERROR(IF(INDEX('Catálogo'!$R:$R,MATCH($B$3&amp;"|"&amp;159,IF($B$3="TODAS",'Catálogo'!$U:$U,'Catálogo'!$Q:$Q),0))="","Cód: "&amp;INDEX('Catálogo'!$A:$A,MATCH($B$3&amp;"|"&amp;159,IF($B$3="TODAS",'Catálogo'!$U:$U,'Catálogo'!$Q:$Q),0)),"Medidas: "&amp;INDEX('Catálogo'!$R:$R,MATCH($B$3&amp;"|"&amp;159,IF($B$3="TODAS",'Catálogo'!$U:$U,'Catálogo'!$Q:$Q),0))&amp;"  ·  Cód: "&amp;INDEX('Catálogo'!$A:$A,MATCH($B$3&amp;"|"&amp;159,IF($B$3="TODAS",'Catálogo'!$U:$U,'Catálogo'!$Q:$Q),0))),"")</f>
      </c>
      <c r="D164" s="42">
        <f>IFERROR(IF($D$3="Mayor",INDEX('Catálogo'!$O:$O,MATCH($B$3&amp;"|"&amp;159,IF($B$3="TODAS",'Catálogo'!$U:$U,'Catálogo'!$Q:$Q),0)),INDEX('Catálogo'!$N:$N,MATCH($B$3&amp;"|"&amp;159,IF($B$3="TODAS",'Catálogo'!$U:$U,'Catálogo'!$Q:$Q),0))),"")</f>
      </c>
    </row>
    <row r="165" ht="90.00" customHeight="1">
      <c r="A165" s="39">
        <f>IFERROR(IF(INDEX('Catálogo'!$M:$M,MATCH($B$3&amp;"|"&amp;160,IF($B$3="TODAS",'Catálogo'!$U:$U,'Catálogo'!$Q:$Q),0))="","",IMAGE(INDEX('Catálogo'!$M:$M,MATCH($B$3&amp;"|"&amp;160,IF($B$3="TODAS",'Catálogo'!$U:$U,'Catálogo'!$Q:$Q),0)),1)),"")</f>
      </c>
      <c r="B165" s="40">
        <f>IFERROR(INDEX('Catálogo'!$B:$B,MATCH($B$3&amp;"|"&amp;160,IF($B$3="TODAS",'Catálogo'!$U:$U,'Catálogo'!$Q:$Q),0)),"")</f>
      </c>
      <c r="C165" s="41">
        <f>IFERROR(IF(INDEX('Catálogo'!$R:$R,MATCH($B$3&amp;"|"&amp;160,IF($B$3="TODAS",'Catálogo'!$U:$U,'Catálogo'!$Q:$Q),0))="","Cód: "&amp;INDEX('Catálogo'!$A:$A,MATCH($B$3&amp;"|"&amp;160,IF($B$3="TODAS",'Catálogo'!$U:$U,'Catálogo'!$Q:$Q),0)),"Medidas: "&amp;INDEX('Catálogo'!$R:$R,MATCH($B$3&amp;"|"&amp;160,IF($B$3="TODAS",'Catálogo'!$U:$U,'Catálogo'!$Q:$Q),0))&amp;"  ·  Cód: "&amp;INDEX('Catálogo'!$A:$A,MATCH($B$3&amp;"|"&amp;160,IF($B$3="TODAS",'Catálogo'!$U:$U,'Catálogo'!$Q:$Q),0))),"")</f>
      </c>
      <c r="D165" s="42">
        <f>IFERROR(IF($D$3="Mayor",INDEX('Catálogo'!$O:$O,MATCH($B$3&amp;"|"&amp;160,IF($B$3="TODAS",'Catálogo'!$U:$U,'Catálogo'!$Q:$Q),0)),INDEX('Catálogo'!$N:$N,MATCH($B$3&amp;"|"&amp;160,IF($B$3="TODAS",'Catálogo'!$U:$U,'Catálogo'!$Q:$Q),0))),"")</f>
      </c>
    </row>
    <row r="166" ht="90.00" customHeight="1">
      <c r="A166" s="39">
        <f>IFERROR(IF(INDEX('Catálogo'!$M:$M,MATCH($B$3&amp;"|"&amp;161,IF($B$3="TODAS",'Catálogo'!$U:$U,'Catálogo'!$Q:$Q),0))="","",IMAGE(INDEX('Catálogo'!$M:$M,MATCH($B$3&amp;"|"&amp;161,IF($B$3="TODAS",'Catálogo'!$U:$U,'Catálogo'!$Q:$Q),0)),1)),"")</f>
      </c>
      <c r="B166" s="40">
        <f>IFERROR(INDEX('Catálogo'!$B:$B,MATCH($B$3&amp;"|"&amp;161,IF($B$3="TODAS",'Catálogo'!$U:$U,'Catálogo'!$Q:$Q),0)),"")</f>
      </c>
      <c r="C166" s="41">
        <f>IFERROR(IF(INDEX('Catálogo'!$R:$R,MATCH($B$3&amp;"|"&amp;161,IF($B$3="TODAS",'Catálogo'!$U:$U,'Catálogo'!$Q:$Q),0))="","Cód: "&amp;INDEX('Catálogo'!$A:$A,MATCH($B$3&amp;"|"&amp;161,IF($B$3="TODAS",'Catálogo'!$U:$U,'Catálogo'!$Q:$Q),0)),"Medidas: "&amp;INDEX('Catálogo'!$R:$R,MATCH($B$3&amp;"|"&amp;161,IF($B$3="TODAS",'Catálogo'!$U:$U,'Catálogo'!$Q:$Q),0))&amp;"  ·  Cód: "&amp;INDEX('Catálogo'!$A:$A,MATCH($B$3&amp;"|"&amp;161,IF($B$3="TODAS",'Catálogo'!$U:$U,'Catálogo'!$Q:$Q),0))),"")</f>
      </c>
      <c r="D166" s="42">
        <f>IFERROR(IF($D$3="Mayor",INDEX('Catálogo'!$O:$O,MATCH($B$3&amp;"|"&amp;161,IF($B$3="TODAS",'Catálogo'!$U:$U,'Catálogo'!$Q:$Q),0)),INDEX('Catálogo'!$N:$N,MATCH($B$3&amp;"|"&amp;161,IF($B$3="TODAS",'Catálogo'!$U:$U,'Catálogo'!$Q:$Q),0))),"")</f>
      </c>
    </row>
    <row r="167" ht="90.00" customHeight="1">
      <c r="A167" s="39">
        <f>IFERROR(IF(INDEX('Catálogo'!$M:$M,MATCH($B$3&amp;"|"&amp;162,IF($B$3="TODAS",'Catálogo'!$U:$U,'Catálogo'!$Q:$Q),0))="","",IMAGE(INDEX('Catálogo'!$M:$M,MATCH($B$3&amp;"|"&amp;162,IF($B$3="TODAS",'Catálogo'!$U:$U,'Catálogo'!$Q:$Q),0)),1)),"")</f>
      </c>
      <c r="B167" s="40">
        <f>IFERROR(INDEX('Catálogo'!$B:$B,MATCH($B$3&amp;"|"&amp;162,IF($B$3="TODAS",'Catálogo'!$U:$U,'Catálogo'!$Q:$Q),0)),"")</f>
      </c>
      <c r="C167" s="41">
        <f>IFERROR(IF(INDEX('Catálogo'!$R:$R,MATCH($B$3&amp;"|"&amp;162,IF($B$3="TODAS",'Catálogo'!$U:$U,'Catálogo'!$Q:$Q),0))="","Cód: "&amp;INDEX('Catálogo'!$A:$A,MATCH($B$3&amp;"|"&amp;162,IF($B$3="TODAS",'Catálogo'!$U:$U,'Catálogo'!$Q:$Q),0)),"Medidas: "&amp;INDEX('Catálogo'!$R:$R,MATCH($B$3&amp;"|"&amp;162,IF($B$3="TODAS",'Catálogo'!$U:$U,'Catálogo'!$Q:$Q),0))&amp;"  ·  Cód: "&amp;INDEX('Catálogo'!$A:$A,MATCH($B$3&amp;"|"&amp;162,IF($B$3="TODAS",'Catálogo'!$U:$U,'Catálogo'!$Q:$Q),0))),"")</f>
      </c>
      <c r="D167" s="42">
        <f>IFERROR(IF($D$3="Mayor",INDEX('Catálogo'!$O:$O,MATCH($B$3&amp;"|"&amp;162,IF($B$3="TODAS",'Catálogo'!$U:$U,'Catálogo'!$Q:$Q),0)),INDEX('Catálogo'!$N:$N,MATCH($B$3&amp;"|"&amp;162,IF($B$3="TODAS",'Catálogo'!$U:$U,'Catálogo'!$Q:$Q),0))),"")</f>
      </c>
    </row>
    <row r="168" ht="90.00" customHeight="1">
      <c r="A168" s="39">
        <f>IFERROR(IF(INDEX('Catálogo'!$M:$M,MATCH($B$3&amp;"|"&amp;163,IF($B$3="TODAS",'Catálogo'!$U:$U,'Catálogo'!$Q:$Q),0))="","",IMAGE(INDEX('Catálogo'!$M:$M,MATCH($B$3&amp;"|"&amp;163,IF($B$3="TODAS",'Catálogo'!$U:$U,'Catálogo'!$Q:$Q),0)),1)),"")</f>
      </c>
      <c r="B168" s="40">
        <f>IFERROR(INDEX('Catálogo'!$B:$B,MATCH($B$3&amp;"|"&amp;163,IF($B$3="TODAS",'Catálogo'!$U:$U,'Catálogo'!$Q:$Q),0)),"")</f>
      </c>
      <c r="C168" s="41">
        <f>IFERROR(IF(INDEX('Catálogo'!$R:$R,MATCH($B$3&amp;"|"&amp;163,IF($B$3="TODAS",'Catálogo'!$U:$U,'Catálogo'!$Q:$Q),0))="","Cód: "&amp;INDEX('Catálogo'!$A:$A,MATCH($B$3&amp;"|"&amp;163,IF($B$3="TODAS",'Catálogo'!$U:$U,'Catálogo'!$Q:$Q),0)),"Medidas: "&amp;INDEX('Catálogo'!$R:$R,MATCH($B$3&amp;"|"&amp;163,IF($B$3="TODAS",'Catálogo'!$U:$U,'Catálogo'!$Q:$Q),0))&amp;"  ·  Cód: "&amp;INDEX('Catálogo'!$A:$A,MATCH($B$3&amp;"|"&amp;163,IF($B$3="TODAS",'Catálogo'!$U:$U,'Catálogo'!$Q:$Q),0))),"")</f>
      </c>
      <c r="D168" s="42">
        <f>IFERROR(IF($D$3="Mayor",INDEX('Catálogo'!$O:$O,MATCH($B$3&amp;"|"&amp;163,IF($B$3="TODAS",'Catálogo'!$U:$U,'Catálogo'!$Q:$Q),0)),INDEX('Catálogo'!$N:$N,MATCH($B$3&amp;"|"&amp;163,IF($B$3="TODAS",'Catálogo'!$U:$U,'Catálogo'!$Q:$Q),0))),"")</f>
      </c>
    </row>
    <row r="169" ht="90.00" customHeight="1">
      <c r="A169" s="39">
        <f>IFERROR(IF(INDEX('Catálogo'!$M:$M,MATCH($B$3&amp;"|"&amp;164,IF($B$3="TODAS",'Catálogo'!$U:$U,'Catálogo'!$Q:$Q),0))="","",IMAGE(INDEX('Catálogo'!$M:$M,MATCH($B$3&amp;"|"&amp;164,IF($B$3="TODAS",'Catálogo'!$U:$U,'Catálogo'!$Q:$Q),0)),1)),"")</f>
      </c>
      <c r="B169" s="40">
        <f>IFERROR(INDEX('Catálogo'!$B:$B,MATCH($B$3&amp;"|"&amp;164,IF($B$3="TODAS",'Catálogo'!$U:$U,'Catálogo'!$Q:$Q),0)),"")</f>
      </c>
      <c r="C169" s="41">
        <f>IFERROR(IF(INDEX('Catálogo'!$R:$R,MATCH($B$3&amp;"|"&amp;164,IF($B$3="TODAS",'Catálogo'!$U:$U,'Catálogo'!$Q:$Q),0))="","Cód: "&amp;INDEX('Catálogo'!$A:$A,MATCH($B$3&amp;"|"&amp;164,IF($B$3="TODAS",'Catálogo'!$U:$U,'Catálogo'!$Q:$Q),0)),"Medidas: "&amp;INDEX('Catálogo'!$R:$R,MATCH($B$3&amp;"|"&amp;164,IF($B$3="TODAS",'Catálogo'!$U:$U,'Catálogo'!$Q:$Q),0))&amp;"  ·  Cód: "&amp;INDEX('Catálogo'!$A:$A,MATCH($B$3&amp;"|"&amp;164,IF($B$3="TODAS",'Catálogo'!$U:$U,'Catálogo'!$Q:$Q),0))),"")</f>
      </c>
      <c r="D169" s="42">
        <f>IFERROR(IF($D$3="Mayor",INDEX('Catálogo'!$O:$O,MATCH($B$3&amp;"|"&amp;164,IF($B$3="TODAS",'Catálogo'!$U:$U,'Catálogo'!$Q:$Q),0)),INDEX('Catálogo'!$N:$N,MATCH($B$3&amp;"|"&amp;164,IF($B$3="TODAS",'Catálogo'!$U:$U,'Catálogo'!$Q:$Q),0))),"")</f>
      </c>
    </row>
    <row r="170" ht="90.00" customHeight="1">
      <c r="A170" s="39">
        <f>IFERROR(IF(INDEX('Catálogo'!$M:$M,MATCH($B$3&amp;"|"&amp;165,IF($B$3="TODAS",'Catálogo'!$U:$U,'Catálogo'!$Q:$Q),0))="","",IMAGE(INDEX('Catálogo'!$M:$M,MATCH($B$3&amp;"|"&amp;165,IF($B$3="TODAS",'Catálogo'!$U:$U,'Catálogo'!$Q:$Q),0)),1)),"")</f>
      </c>
      <c r="B170" s="40">
        <f>IFERROR(INDEX('Catálogo'!$B:$B,MATCH($B$3&amp;"|"&amp;165,IF($B$3="TODAS",'Catálogo'!$U:$U,'Catálogo'!$Q:$Q),0)),"")</f>
      </c>
      <c r="C170" s="41">
        <f>IFERROR(IF(INDEX('Catálogo'!$R:$R,MATCH($B$3&amp;"|"&amp;165,IF($B$3="TODAS",'Catálogo'!$U:$U,'Catálogo'!$Q:$Q),0))="","Cód: "&amp;INDEX('Catálogo'!$A:$A,MATCH($B$3&amp;"|"&amp;165,IF($B$3="TODAS",'Catálogo'!$U:$U,'Catálogo'!$Q:$Q),0)),"Medidas: "&amp;INDEX('Catálogo'!$R:$R,MATCH($B$3&amp;"|"&amp;165,IF($B$3="TODAS",'Catálogo'!$U:$U,'Catálogo'!$Q:$Q),0))&amp;"  ·  Cód: "&amp;INDEX('Catálogo'!$A:$A,MATCH($B$3&amp;"|"&amp;165,IF($B$3="TODAS",'Catálogo'!$U:$U,'Catálogo'!$Q:$Q),0))),"")</f>
      </c>
      <c r="D170" s="42">
        <f>IFERROR(IF($D$3="Mayor",INDEX('Catálogo'!$O:$O,MATCH($B$3&amp;"|"&amp;165,IF($B$3="TODAS",'Catálogo'!$U:$U,'Catálogo'!$Q:$Q),0)),INDEX('Catálogo'!$N:$N,MATCH($B$3&amp;"|"&amp;165,IF($B$3="TODAS",'Catálogo'!$U:$U,'Catálogo'!$Q:$Q),0))),"")</f>
      </c>
    </row>
    <row r="171" ht="90.00" customHeight="1">
      <c r="A171" s="39">
        <f>IFERROR(IF(INDEX('Catálogo'!$M:$M,MATCH($B$3&amp;"|"&amp;166,IF($B$3="TODAS",'Catálogo'!$U:$U,'Catálogo'!$Q:$Q),0))="","",IMAGE(INDEX('Catálogo'!$M:$M,MATCH($B$3&amp;"|"&amp;166,IF($B$3="TODAS",'Catálogo'!$U:$U,'Catálogo'!$Q:$Q),0)),1)),"")</f>
      </c>
      <c r="B171" s="40">
        <f>IFERROR(INDEX('Catálogo'!$B:$B,MATCH($B$3&amp;"|"&amp;166,IF($B$3="TODAS",'Catálogo'!$U:$U,'Catálogo'!$Q:$Q),0)),"")</f>
      </c>
      <c r="C171" s="41">
        <f>IFERROR(IF(INDEX('Catálogo'!$R:$R,MATCH($B$3&amp;"|"&amp;166,IF($B$3="TODAS",'Catálogo'!$U:$U,'Catálogo'!$Q:$Q),0))="","Cód: "&amp;INDEX('Catálogo'!$A:$A,MATCH($B$3&amp;"|"&amp;166,IF($B$3="TODAS",'Catálogo'!$U:$U,'Catálogo'!$Q:$Q),0)),"Medidas: "&amp;INDEX('Catálogo'!$R:$R,MATCH($B$3&amp;"|"&amp;166,IF($B$3="TODAS",'Catálogo'!$U:$U,'Catálogo'!$Q:$Q),0))&amp;"  ·  Cód: "&amp;INDEX('Catálogo'!$A:$A,MATCH($B$3&amp;"|"&amp;166,IF($B$3="TODAS",'Catálogo'!$U:$U,'Catálogo'!$Q:$Q),0))),"")</f>
      </c>
      <c r="D171" s="42">
        <f>IFERROR(IF($D$3="Mayor",INDEX('Catálogo'!$O:$O,MATCH($B$3&amp;"|"&amp;166,IF($B$3="TODAS",'Catálogo'!$U:$U,'Catálogo'!$Q:$Q),0)),INDEX('Catálogo'!$N:$N,MATCH($B$3&amp;"|"&amp;166,IF($B$3="TODAS",'Catálogo'!$U:$U,'Catálogo'!$Q:$Q),0))),"")</f>
      </c>
    </row>
    <row r="172" ht="90.00" customHeight="1">
      <c r="A172" s="39">
        <f>IFERROR(IF(INDEX('Catálogo'!$M:$M,MATCH($B$3&amp;"|"&amp;167,IF($B$3="TODAS",'Catálogo'!$U:$U,'Catálogo'!$Q:$Q),0))="","",IMAGE(INDEX('Catálogo'!$M:$M,MATCH($B$3&amp;"|"&amp;167,IF($B$3="TODAS",'Catálogo'!$U:$U,'Catálogo'!$Q:$Q),0)),1)),"")</f>
      </c>
      <c r="B172" s="40">
        <f>IFERROR(INDEX('Catálogo'!$B:$B,MATCH($B$3&amp;"|"&amp;167,IF($B$3="TODAS",'Catálogo'!$U:$U,'Catálogo'!$Q:$Q),0)),"")</f>
      </c>
      <c r="C172" s="41">
        <f>IFERROR(IF(INDEX('Catálogo'!$R:$R,MATCH($B$3&amp;"|"&amp;167,IF($B$3="TODAS",'Catálogo'!$U:$U,'Catálogo'!$Q:$Q),0))="","Cód: "&amp;INDEX('Catálogo'!$A:$A,MATCH($B$3&amp;"|"&amp;167,IF($B$3="TODAS",'Catálogo'!$U:$U,'Catálogo'!$Q:$Q),0)),"Medidas: "&amp;INDEX('Catálogo'!$R:$R,MATCH($B$3&amp;"|"&amp;167,IF($B$3="TODAS",'Catálogo'!$U:$U,'Catálogo'!$Q:$Q),0))&amp;"  ·  Cód: "&amp;INDEX('Catálogo'!$A:$A,MATCH($B$3&amp;"|"&amp;167,IF($B$3="TODAS",'Catálogo'!$U:$U,'Catálogo'!$Q:$Q),0))),"")</f>
      </c>
      <c r="D172" s="42">
        <f>IFERROR(IF($D$3="Mayor",INDEX('Catálogo'!$O:$O,MATCH($B$3&amp;"|"&amp;167,IF($B$3="TODAS",'Catálogo'!$U:$U,'Catálogo'!$Q:$Q),0)),INDEX('Catálogo'!$N:$N,MATCH($B$3&amp;"|"&amp;167,IF($B$3="TODAS",'Catálogo'!$U:$U,'Catálogo'!$Q:$Q),0))),"")</f>
      </c>
    </row>
    <row r="173" ht="90.00" customHeight="1">
      <c r="A173" s="39">
        <f>IFERROR(IF(INDEX('Catálogo'!$M:$M,MATCH($B$3&amp;"|"&amp;168,IF($B$3="TODAS",'Catálogo'!$U:$U,'Catálogo'!$Q:$Q),0))="","",IMAGE(INDEX('Catálogo'!$M:$M,MATCH($B$3&amp;"|"&amp;168,IF($B$3="TODAS",'Catálogo'!$U:$U,'Catálogo'!$Q:$Q),0)),1)),"")</f>
      </c>
      <c r="B173" s="40">
        <f>IFERROR(INDEX('Catálogo'!$B:$B,MATCH($B$3&amp;"|"&amp;168,IF($B$3="TODAS",'Catálogo'!$U:$U,'Catálogo'!$Q:$Q),0)),"")</f>
      </c>
      <c r="C173" s="41">
        <f>IFERROR(IF(INDEX('Catálogo'!$R:$R,MATCH($B$3&amp;"|"&amp;168,IF($B$3="TODAS",'Catálogo'!$U:$U,'Catálogo'!$Q:$Q),0))="","Cód: "&amp;INDEX('Catálogo'!$A:$A,MATCH($B$3&amp;"|"&amp;168,IF($B$3="TODAS",'Catálogo'!$U:$U,'Catálogo'!$Q:$Q),0)),"Medidas: "&amp;INDEX('Catálogo'!$R:$R,MATCH($B$3&amp;"|"&amp;168,IF($B$3="TODAS",'Catálogo'!$U:$U,'Catálogo'!$Q:$Q),0))&amp;"  ·  Cód: "&amp;INDEX('Catálogo'!$A:$A,MATCH($B$3&amp;"|"&amp;168,IF($B$3="TODAS",'Catálogo'!$U:$U,'Catálogo'!$Q:$Q),0))),"")</f>
      </c>
      <c r="D173" s="42">
        <f>IFERROR(IF($D$3="Mayor",INDEX('Catálogo'!$O:$O,MATCH($B$3&amp;"|"&amp;168,IF($B$3="TODAS",'Catálogo'!$U:$U,'Catálogo'!$Q:$Q),0)),INDEX('Catálogo'!$N:$N,MATCH($B$3&amp;"|"&amp;168,IF($B$3="TODAS",'Catálogo'!$U:$U,'Catálogo'!$Q:$Q),0))),"")</f>
      </c>
    </row>
    <row r="174" ht="90.00" customHeight="1">
      <c r="A174" s="39">
        <f>IFERROR(IF(INDEX('Catálogo'!$M:$M,MATCH($B$3&amp;"|"&amp;169,IF($B$3="TODAS",'Catálogo'!$U:$U,'Catálogo'!$Q:$Q),0))="","",IMAGE(INDEX('Catálogo'!$M:$M,MATCH($B$3&amp;"|"&amp;169,IF($B$3="TODAS",'Catálogo'!$U:$U,'Catálogo'!$Q:$Q),0)),1)),"")</f>
      </c>
      <c r="B174" s="40">
        <f>IFERROR(INDEX('Catálogo'!$B:$B,MATCH($B$3&amp;"|"&amp;169,IF($B$3="TODAS",'Catálogo'!$U:$U,'Catálogo'!$Q:$Q),0)),"")</f>
      </c>
      <c r="C174" s="41">
        <f>IFERROR(IF(INDEX('Catálogo'!$R:$R,MATCH($B$3&amp;"|"&amp;169,IF($B$3="TODAS",'Catálogo'!$U:$U,'Catálogo'!$Q:$Q),0))="","Cód: "&amp;INDEX('Catálogo'!$A:$A,MATCH($B$3&amp;"|"&amp;169,IF($B$3="TODAS",'Catálogo'!$U:$U,'Catálogo'!$Q:$Q),0)),"Medidas: "&amp;INDEX('Catálogo'!$R:$R,MATCH($B$3&amp;"|"&amp;169,IF($B$3="TODAS",'Catálogo'!$U:$U,'Catálogo'!$Q:$Q),0))&amp;"  ·  Cód: "&amp;INDEX('Catálogo'!$A:$A,MATCH($B$3&amp;"|"&amp;169,IF($B$3="TODAS",'Catálogo'!$U:$U,'Catálogo'!$Q:$Q),0))),"")</f>
      </c>
      <c r="D174" s="42">
        <f>IFERROR(IF($D$3="Mayor",INDEX('Catálogo'!$O:$O,MATCH($B$3&amp;"|"&amp;169,IF($B$3="TODAS",'Catálogo'!$U:$U,'Catálogo'!$Q:$Q),0)),INDEX('Catálogo'!$N:$N,MATCH($B$3&amp;"|"&amp;169,IF($B$3="TODAS",'Catálogo'!$U:$U,'Catálogo'!$Q:$Q),0))),"")</f>
      </c>
    </row>
    <row r="175" ht="90.00" customHeight="1">
      <c r="A175" s="39">
        <f>IFERROR(IF(INDEX('Catálogo'!$M:$M,MATCH($B$3&amp;"|"&amp;170,IF($B$3="TODAS",'Catálogo'!$U:$U,'Catálogo'!$Q:$Q),0))="","",IMAGE(INDEX('Catálogo'!$M:$M,MATCH($B$3&amp;"|"&amp;170,IF($B$3="TODAS",'Catálogo'!$U:$U,'Catálogo'!$Q:$Q),0)),1)),"")</f>
      </c>
      <c r="B175" s="40">
        <f>IFERROR(INDEX('Catálogo'!$B:$B,MATCH($B$3&amp;"|"&amp;170,IF($B$3="TODAS",'Catálogo'!$U:$U,'Catálogo'!$Q:$Q),0)),"")</f>
      </c>
      <c r="C175" s="41">
        <f>IFERROR(IF(INDEX('Catálogo'!$R:$R,MATCH($B$3&amp;"|"&amp;170,IF($B$3="TODAS",'Catálogo'!$U:$U,'Catálogo'!$Q:$Q),0))="","Cód: "&amp;INDEX('Catálogo'!$A:$A,MATCH($B$3&amp;"|"&amp;170,IF($B$3="TODAS",'Catálogo'!$U:$U,'Catálogo'!$Q:$Q),0)),"Medidas: "&amp;INDEX('Catálogo'!$R:$R,MATCH($B$3&amp;"|"&amp;170,IF($B$3="TODAS",'Catálogo'!$U:$U,'Catálogo'!$Q:$Q),0))&amp;"  ·  Cód: "&amp;INDEX('Catálogo'!$A:$A,MATCH($B$3&amp;"|"&amp;170,IF($B$3="TODAS",'Catálogo'!$U:$U,'Catálogo'!$Q:$Q),0))),"")</f>
      </c>
      <c r="D175" s="42">
        <f>IFERROR(IF($D$3="Mayor",INDEX('Catálogo'!$O:$O,MATCH($B$3&amp;"|"&amp;170,IF($B$3="TODAS",'Catálogo'!$U:$U,'Catálogo'!$Q:$Q),0)),INDEX('Catálogo'!$N:$N,MATCH($B$3&amp;"|"&amp;170,IF($B$3="TODAS",'Catálogo'!$U:$U,'Catálogo'!$Q:$Q),0))),"")</f>
      </c>
    </row>
    <row r="176" ht="90.00" customHeight="1">
      <c r="A176" s="39">
        <f>IFERROR(IF(INDEX('Catálogo'!$M:$M,MATCH($B$3&amp;"|"&amp;171,IF($B$3="TODAS",'Catálogo'!$U:$U,'Catálogo'!$Q:$Q),0))="","",IMAGE(INDEX('Catálogo'!$M:$M,MATCH($B$3&amp;"|"&amp;171,IF($B$3="TODAS",'Catálogo'!$U:$U,'Catálogo'!$Q:$Q),0)),1)),"")</f>
      </c>
      <c r="B176" s="40">
        <f>IFERROR(INDEX('Catálogo'!$B:$B,MATCH($B$3&amp;"|"&amp;171,IF($B$3="TODAS",'Catálogo'!$U:$U,'Catálogo'!$Q:$Q),0)),"")</f>
      </c>
      <c r="C176" s="41">
        <f>IFERROR(IF(INDEX('Catálogo'!$R:$R,MATCH($B$3&amp;"|"&amp;171,IF($B$3="TODAS",'Catálogo'!$U:$U,'Catálogo'!$Q:$Q),0))="","Cód: "&amp;INDEX('Catálogo'!$A:$A,MATCH($B$3&amp;"|"&amp;171,IF($B$3="TODAS",'Catálogo'!$U:$U,'Catálogo'!$Q:$Q),0)),"Medidas: "&amp;INDEX('Catálogo'!$R:$R,MATCH($B$3&amp;"|"&amp;171,IF($B$3="TODAS",'Catálogo'!$U:$U,'Catálogo'!$Q:$Q),0))&amp;"  ·  Cód: "&amp;INDEX('Catálogo'!$A:$A,MATCH($B$3&amp;"|"&amp;171,IF($B$3="TODAS",'Catálogo'!$U:$U,'Catálogo'!$Q:$Q),0))),"")</f>
      </c>
      <c r="D176" s="42">
        <f>IFERROR(IF($D$3="Mayor",INDEX('Catálogo'!$O:$O,MATCH($B$3&amp;"|"&amp;171,IF($B$3="TODAS",'Catálogo'!$U:$U,'Catálogo'!$Q:$Q),0)),INDEX('Catálogo'!$N:$N,MATCH($B$3&amp;"|"&amp;171,IF($B$3="TODAS",'Catálogo'!$U:$U,'Catálogo'!$Q:$Q),0))),"")</f>
      </c>
    </row>
    <row r="177" ht="90.00" customHeight="1">
      <c r="A177" s="39">
        <f>IFERROR(IF(INDEX('Catálogo'!$M:$M,MATCH($B$3&amp;"|"&amp;172,IF($B$3="TODAS",'Catálogo'!$U:$U,'Catálogo'!$Q:$Q),0))="","",IMAGE(INDEX('Catálogo'!$M:$M,MATCH($B$3&amp;"|"&amp;172,IF($B$3="TODAS",'Catálogo'!$U:$U,'Catálogo'!$Q:$Q),0)),1)),"")</f>
      </c>
      <c r="B177" s="40">
        <f>IFERROR(INDEX('Catálogo'!$B:$B,MATCH($B$3&amp;"|"&amp;172,IF($B$3="TODAS",'Catálogo'!$U:$U,'Catálogo'!$Q:$Q),0)),"")</f>
      </c>
      <c r="C177" s="41">
        <f>IFERROR(IF(INDEX('Catálogo'!$R:$R,MATCH($B$3&amp;"|"&amp;172,IF($B$3="TODAS",'Catálogo'!$U:$U,'Catálogo'!$Q:$Q),0))="","Cód: "&amp;INDEX('Catálogo'!$A:$A,MATCH($B$3&amp;"|"&amp;172,IF($B$3="TODAS",'Catálogo'!$U:$U,'Catálogo'!$Q:$Q),0)),"Medidas: "&amp;INDEX('Catálogo'!$R:$R,MATCH($B$3&amp;"|"&amp;172,IF($B$3="TODAS",'Catálogo'!$U:$U,'Catálogo'!$Q:$Q),0))&amp;"  ·  Cód: "&amp;INDEX('Catálogo'!$A:$A,MATCH($B$3&amp;"|"&amp;172,IF($B$3="TODAS",'Catálogo'!$U:$U,'Catálogo'!$Q:$Q),0))),"")</f>
      </c>
      <c r="D177" s="42">
        <f>IFERROR(IF($D$3="Mayor",INDEX('Catálogo'!$O:$O,MATCH($B$3&amp;"|"&amp;172,IF($B$3="TODAS",'Catálogo'!$U:$U,'Catálogo'!$Q:$Q),0)),INDEX('Catálogo'!$N:$N,MATCH($B$3&amp;"|"&amp;172,IF($B$3="TODAS",'Catálogo'!$U:$U,'Catálogo'!$Q:$Q),0))),"")</f>
      </c>
    </row>
    <row r="178" ht="90.00" customHeight="1">
      <c r="A178" s="39">
        <f>IFERROR(IF(INDEX('Catálogo'!$M:$M,MATCH($B$3&amp;"|"&amp;173,IF($B$3="TODAS",'Catálogo'!$U:$U,'Catálogo'!$Q:$Q),0))="","",IMAGE(INDEX('Catálogo'!$M:$M,MATCH($B$3&amp;"|"&amp;173,IF($B$3="TODAS",'Catálogo'!$U:$U,'Catálogo'!$Q:$Q),0)),1)),"")</f>
      </c>
      <c r="B178" s="40">
        <f>IFERROR(INDEX('Catálogo'!$B:$B,MATCH($B$3&amp;"|"&amp;173,IF($B$3="TODAS",'Catálogo'!$U:$U,'Catálogo'!$Q:$Q),0)),"")</f>
      </c>
      <c r="C178" s="41">
        <f>IFERROR(IF(INDEX('Catálogo'!$R:$R,MATCH($B$3&amp;"|"&amp;173,IF($B$3="TODAS",'Catálogo'!$U:$U,'Catálogo'!$Q:$Q),0))="","Cód: "&amp;INDEX('Catálogo'!$A:$A,MATCH($B$3&amp;"|"&amp;173,IF($B$3="TODAS",'Catálogo'!$U:$U,'Catálogo'!$Q:$Q),0)),"Medidas: "&amp;INDEX('Catálogo'!$R:$R,MATCH($B$3&amp;"|"&amp;173,IF($B$3="TODAS",'Catálogo'!$U:$U,'Catálogo'!$Q:$Q),0))&amp;"  ·  Cód: "&amp;INDEX('Catálogo'!$A:$A,MATCH($B$3&amp;"|"&amp;173,IF($B$3="TODAS",'Catálogo'!$U:$U,'Catálogo'!$Q:$Q),0))),"")</f>
      </c>
      <c r="D178" s="42">
        <f>IFERROR(IF($D$3="Mayor",INDEX('Catálogo'!$O:$O,MATCH($B$3&amp;"|"&amp;173,IF($B$3="TODAS",'Catálogo'!$U:$U,'Catálogo'!$Q:$Q),0)),INDEX('Catálogo'!$N:$N,MATCH($B$3&amp;"|"&amp;173,IF($B$3="TODAS",'Catálogo'!$U:$U,'Catálogo'!$Q:$Q),0))),"")</f>
      </c>
    </row>
    <row r="179" ht="90.00" customHeight="1">
      <c r="A179" s="39">
        <f>IFERROR(IF(INDEX('Catálogo'!$M:$M,MATCH($B$3&amp;"|"&amp;174,IF($B$3="TODAS",'Catálogo'!$U:$U,'Catálogo'!$Q:$Q),0))="","",IMAGE(INDEX('Catálogo'!$M:$M,MATCH($B$3&amp;"|"&amp;174,IF($B$3="TODAS",'Catálogo'!$U:$U,'Catálogo'!$Q:$Q),0)),1)),"")</f>
      </c>
      <c r="B179" s="40">
        <f>IFERROR(INDEX('Catálogo'!$B:$B,MATCH($B$3&amp;"|"&amp;174,IF($B$3="TODAS",'Catálogo'!$U:$U,'Catálogo'!$Q:$Q),0)),"")</f>
      </c>
      <c r="C179" s="41">
        <f>IFERROR(IF(INDEX('Catálogo'!$R:$R,MATCH($B$3&amp;"|"&amp;174,IF($B$3="TODAS",'Catálogo'!$U:$U,'Catálogo'!$Q:$Q),0))="","Cód: "&amp;INDEX('Catálogo'!$A:$A,MATCH($B$3&amp;"|"&amp;174,IF($B$3="TODAS",'Catálogo'!$U:$U,'Catálogo'!$Q:$Q),0)),"Medidas: "&amp;INDEX('Catálogo'!$R:$R,MATCH($B$3&amp;"|"&amp;174,IF($B$3="TODAS",'Catálogo'!$U:$U,'Catálogo'!$Q:$Q),0))&amp;"  ·  Cód: "&amp;INDEX('Catálogo'!$A:$A,MATCH($B$3&amp;"|"&amp;174,IF($B$3="TODAS",'Catálogo'!$U:$U,'Catálogo'!$Q:$Q),0))),"")</f>
      </c>
      <c r="D179" s="42">
        <f>IFERROR(IF($D$3="Mayor",INDEX('Catálogo'!$O:$O,MATCH($B$3&amp;"|"&amp;174,IF($B$3="TODAS",'Catálogo'!$U:$U,'Catálogo'!$Q:$Q),0)),INDEX('Catálogo'!$N:$N,MATCH($B$3&amp;"|"&amp;174,IF($B$3="TODAS",'Catálogo'!$U:$U,'Catálogo'!$Q:$Q),0))),"")</f>
      </c>
    </row>
    <row r="180" ht="90.00" customHeight="1">
      <c r="A180" s="39">
        <f>IFERROR(IF(INDEX('Catálogo'!$M:$M,MATCH($B$3&amp;"|"&amp;175,IF($B$3="TODAS",'Catálogo'!$U:$U,'Catálogo'!$Q:$Q),0))="","",IMAGE(INDEX('Catálogo'!$M:$M,MATCH($B$3&amp;"|"&amp;175,IF($B$3="TODAS",'Catálogo'!$U:$U,'Catálogo'!$Q:$Q),0)),1)),"")</f>
      </c>
      <c r="B180" s="40">
        <f>IFERROR(INDEX('Catálogo'!$B:$B,MATCH($B$3&amp;"|"&amp;175,IF($B$3="TODAS",'Catálogo'!$U:$U,'Catálogo'!$Q:$Q),0)),"")</f>
      </c>
      <c r="C180" s="41">
        <f>IFERROR(IF(INDEX('Catálogo'!$R:$R,MATCH($B$3&amp;"|"&amp;175,IF($B$3="TODAS",'Catálogo'!$U:$U,'Catálogo'!$Q:$Q),0))="","Cód: "&amp;INDEX('Catálogo'!$A:$A,MATCH($B$3&amp;"|"&amp;175,IF($B$3="TODAS",'Catálogo'!$U:$U,'Catálogo'!$Q:$Q),0)),"Medidas: "&amp;INDEX('Catálogo'!$R:$R,MATCH($B$3&amp;"|"&amp;175,IF($B$3="TODAS",'Catálogo'!$U:$U,'Catálogo'!$Q:$Q),0))&amp;"  ·  Cód: "&amp;INDEX('Catálogo'!$A:$A,MATCH($B$3&amp;"|"&amp;175,IF($B$3="TODAS",'Catálogo'!$U:$U,'Catálogo'!$Q:$Q),0))),"")</f>
      </c>
      <c r="D180" s="42">
        <f>IFERROR(IF($D$3="Mayor",INDEX('Catálogo'!$O:$O,MATCH($B$3&amp;"|"&amp;175,IF($B$3="TODAS",'Catálogo'!$U:$U,'Catálogo'!$Q:$Q),0)),INDEX('Catálogo'!$N:$N,MATCH($B$3&amp;"|"&amp;175,IF($B$3="TODAS",'Catálogo'!$U:$U,'Catálogo'!$Q:$Q),0))),"")</f>
      </c>
    </row>
    <row r="181" ht="90.00" customHeight="1">
      <c r="A181" s="39">
        <f>IFERROR(IF(INDEX('Catálogo'!$M:$M,MATCH($B$3&amp;"|"&amp;176,IF($B$3="TODAS",'Catálogo'!$U:$U,'Catálogo'!$Q:$Q),0))="","",IMAGE(INDEX('Catálogo'!$M:$M,MATCH($B$3&amp;"|"&amp;176,IF($B$3="TODAS",'Catálogo'!$U:$U,'Catálogo'!$Q:$Q),0)),1)),"")</f>
      </c>
      <c r="B181" s="40">
        <f>IFERROR(INDEX('Catálogo'!$B:$B,MATCH($B$3&amp;"|"&amp;176,IF($B$3="TODAS",'Catálogo'!$U:$U,'Catálogo'!$Q:$Q),0)),"")</f>
      </c>
      <c r="C181" s="41">
        <f>IFERROR(IF(INDEX('Catálogo'!$R:$R,MATCH($B$3&amp;"|"&amp;176,IF($B$3="TODAS",'Catálogo'!$U:$U,'Catálogo'!$Q:$Q),0))="","Cód: "&amp;INDEX('Catálogo'!$A:$A,MATCH($B$3&amp;"|"&amp;176,IF($B$3="TODAS",'Catálogo'!$U:$U,'Catálogo'!$Q:$Q),0)),"Medidas: "&amp;INDEX('Catálogo'!$R:$R,MATCH($B$3&amp;"|"&amp;176,IF($B$3="TODAS",'Catálogo'!$U:$U,'Catálogo'!$Q:$Q),0))&amp;"  ·  Cód: "&amp;INDEX('Catálogo'!$A:$A,MATCH($B$3&amp;"|"&amp;176,IF($B$3="TODAS",'Catálogo'!$U:$U,'Catálogo'!$Q:$Q),0))),"")</f>
      </c>
      <c r="D181" s="42">
        <f>IFERROR(IF($D$3="Mayor",INDEX('Catálogo'!$O:$O,MATCH($B$3&amp;"|"&amp;176,IF($B$3="TODAS",'Catálogo'!$U:$U,'Catálogo'!$Q:$Q),0)),INDEX('Catálogo'!$N:$N,MATCH($B$3&amp;"|"&amp;176,IF($B$3="TODAS",'Catálogo'!$U:$U,'Catálogo'!$Q:$Q),0))),"")</f>
      </c>
    </row>
    <row r="182" ht="90.00" customHeight="1">
      <c r="A182" s="39">
        <f>IFERROR(IF(INDEX('Catálogo'!$M:$M,MATCH($B$3&amp;"|"&amp;177,IF($B$3="TODAS",'Catálogo'!$U:$U,'Catálogo'!$Q:$Q),0))="","",IMAGE(INDEX('Catálogo'!$M:$M,MATCH($B$3&amp;"|"&amp;177,IF($B$3="TODAS",'Catálogo'!$U:$U,'Catálogo'!$Q:$Q),0)),1)),"")</f>
      </c>
      <c r="B182" s="40">
        <f>IFERROR(INDEX('Catálogo'!$B:$B,MATCH($B$3&amp;"|"&amp;177,IF($B$3="TODAS",'Catálogo'!$U:$U,'Catálogo'!$Q:$Q),0)),"")</f>
      </c>
      <c r="C182" s="41">
        <f>IFERROR(IF(INDEX('Catálogo'!$R:$R,MATCH($B$3&amp;"|"&amp;177,IF($B$3="TODAS",'Catálogo'!$U:$U,'Catálogo'!$Q:$Q),0))="","Cód: "&amp;INDEX('Catálogo'!$A:$A,MATCH($B$3&amp;"|"&amp;177,IF($B$3="TODAS",'Catálogo'!$U:$U,'Catálogo'!$Q:$Q),0)),"Medidas: "&amp;INDEX('Catálogo'!$R:$R,MATCH($B$3&amp;"|"&amp;177,IF($B$3="TODAS",'Catálogo'!$U:$U,'Catálogo'!$Q:$Q),0))&amp;"  ·  Cód: "&amp;INDEX('Catálogo'!$A:$A,MATCH($B$3&amp;"|"&amp;177,IF($B$3="TODAS",'Catálogo'!$U:$U,'Catálogo'!$Q:$Q),0))),"")</f>
      </c>
      <c r="D182" s="42">
        <f>IFERROR(IF($D$3="Mayor",INDEX('Catálogo'!$O:$O,MATCH($B$3&amp;"|"&amp;177,IF($B$3="TODAS",'Catálogo'!$U:$U,'Catálogo'!$Q:$Q),0)),INDEX('Catálogo'!$N:$N,MATCH($B$3&amp;"|"&amp;177,IF($B$3="TODAS",'Catálogo'!$U:$U,'Catálogo'!$Q:$Q),0))),"")</f>
      </c>
    </row>
    <row r="183" ht="90.00" customHeight="1">
      <c r="A183" s="39">
        <f>IFERROR(IF(INDEX('Catálogo'!$M:$M,MATCH($B$3&amp;"|"&amp;178,IF($B$3="TODAS",'Catálogo'!$U:$U,'Catálogo'!$Q:$Q),0))="","",IMAGE(INDEX('Catálogo'!$M:$M,MATCH($B$3&amp;"|"&amp;178,IF($B$3="TODAS",'Catálogo'!$U:$U,'Catálogo'!$Q:$Q),0)),1)),"")</f>
      </c>
      <c r="B183" s="40">
        <f>IFERROR(INDEX('Catálogo'!$B:$B,MATCH($B$3&amp;"|"&amp;178,IF($B$3="TODAS",'Catálogo'!$U:$U,'Catálogo'!$Q:$Q),0)),"")</f>
      </c>
      <c r="C183" s="41">
        <f>IFERROR(IF(INDEX('Catálogo'!$R:$R,MATCH($B$3&amp;"|"&amp;178,IF($B$3="TODAS",'Catálogo'!$U:$U,'Catálogo'!$Q:$Q),0))="","Cód: "&amp;INDEX('Catálogo'!$A:$A,MATCH($B$3&amp;"|"&amp;178,IF($B$3="TODAS",'Catálogo'!$U:$U,'Catálogo'!$Q:$Q),0)),"Medidas: "&amp;INDEX('Catálogo'!$R:$R,MATCH($B$3&amp;"|"&amp;178,IF($B$3="TODAS",'Catálogo'!$U:$U,'Catálogo'!$Q:$Q),0))&amp;"  ·  Cód: "&amp;INDEX('Catálogo'!$A:$A,MATCH($B$3&amp;"|"&amp;178,IF($B$3="TODAS",'Catálogo'!$U:$U,'Catálogo'!$Q:$Q),0))),"")</f>
      </c>
      <c r="D183" s="42">
        <f>IFERROR(IF($D$3="Mayor",INDEX('Catálogo'!$O:$O,MATCH($B$3&amp;"|"&amp;178,IF($B$3="TODAS",'Catálogo'!$U:$U,'Catálogo'!$Q:$Q),0)),INDEX('Catálogo'!$N:$N,MATCH($B$3&amp;"|"&amp;178,IF($B$3="TODAS",'Catálogo'!$U:$U,'Catálogo'!$Q:$Q),0))),"")</f>
      </c>
    </row>
    <row r="184" ht="90.00" customHeight="1">
      <c r="A184" s="39">
        <f>IFERROR(IF(INDEX('Catálogo'!$M:$M,MATCH($B$3&amp;"|"&amp;179,IF($B$3="TODAS",'Catálogo'!$U:$U,'Catálogo'!$Q:$Q),0))="","",IMAGE(INDEX('Catálogo'!$M:$M,MATCH($B$3&amp;"|"&amp;179,IF($B$3="TODAS",'Catálogo'!$U:$U,'Catálogo'!$Q:$Q),0)),1)),"")</f>
      </c>
      <c r="B184" s="40">
        <f>IFERROR(INDEX('Catálogo'!$B:$B,MATCH($B$3&amp;"|"&amp;179,IF($B$3="TODAS",'Catálogo'!$U:$U,'Catálogo'!$Q:$Q),0)),"")</f>
      </c>
      <c r="C184" s="41">
        <f>IFERROR(IF(INDEX('Catálogo'!$R:$R,MATCH($B$3&amp;"|"&amp;179,IF($B$3="TODAS",'Catálogo'!$U:$U,'Catálogo'!$Q:$Q),0))="","Cód: "&amp;INDEX('Catálogo'!$A:$A,MATCH($B$3&amp;"|"&amp;179,IF($B$3="TODAS",'Catálogo'!$U:$U,'Catálogo'!$Q:$Q),0)),"Medidas: "&amp;INDEX('Catálogo'!$R:$R,MATCH($B$3&amp;"|"&amp;179,IF($B$3="TODAS",'Catálogo'!$U:$U,'Catálogo'!$Q:$Q),0))&amp;"  ·  Cód: "&amp;INDEX('Catálogo'!$A:$A,MATCH($B$3&amp;"|"&amp;179,IF($B$3="TODAS",'Catálogo'!$U:$U,'Catálogo'!$Q:$Q),0))),"")</f>
      </c>
      <c r="D184" s="42">
        <f>IFERROR(IF($D$3="Mayor",INDEX('Catálogo'!$O:$O,MATCH($B$3&amp;"|"&amp;179,IF($B$3="TODAS",'Catálogo'!$U:$U,'Catálogo'!$Q:$Q),0)),INDEX('Catálogo'!$N:$N,MATCH($B$3&amp;"|"&amp;179,IF($B$3="TODAS",'Catálogo'!$U:$U,'Catálogo'!$Q:$Q),0))),"")</f>
      </c>
    </row>
    <row r="185" ht="90.00" customHeight="1">
      <c r="A185" s="39">
        <f>IFERROR(IF(INDEX('Catálogo'!$M:$M,MATCH($B$3&amp;"|"&amp;180,IF($B$3="TODAS",'Catálogo'!$U:$U,'Catálogo'!$Q:$Q),0))="","",IMAGE(INDEX('Catálogo'!$M:$M,MATCH($B$3&amp;"|"&amp;180,IF($B$3="TODAS",'Catálogo'!$U:$U,'Catálogo'!$Q:$Q),0)),1)),"")</f>
      </c>
      <c r="B185" s="40">
        <f>IFERROR(INDEX('Catálogo'!$B:$B,MATCH($B$3&amp;"|"&amp;180,IF($B$3="TODAS",'Catálogo'!$U:$U,'Catálogo'!$Q:$Q),0)),"")</f>
      </c>
      <c r="C185" s="41">
        <f>IFERROR(IF(INDEX('Catálogo'!$R:$R,MATCH($B$3&amp;"|"&amp;180,IF($B$3="TODAS",'Catálogo'!$U:$U,'Catálogo'!$Q:$Q),0))="","Cód: "&amp;INDEX('Catálogo'!$A:$A,MATCH($B$3&amp;"|"&amp;180,IF($B$3="TODAS",'Catálogo'!$U:$U,'Catálogo'!$Q:$Q),0)),"Medidas: "&amp;INDEX('Catálogo'!$R:$R,MATCH($B$3&amp;"|"&amp;180,IF($B$3="TODAS",'Catálogo'!$U:$U,'Catálogo'!$Q:$Q),0))&amp;"  ·  Cód: "&amp;INDEX('Catálogo'!$A:$A,MATCH($B$3&amp;"|"&amp;180,IF($B$3="TODAS",'Catálogo'!$U:$U,'Catálogo'!$Q:$Q),0))),"")</f>
      </c>
      <c r="D185" s="42">
        <f>IFERROR(IF($D$3="Mayor",INDEX('Catálogo'!$O:$O,MATCH($B$3&amp;"|"&amp;180,IF($B$3="TODAS",'Catálogo'!$U:$U,'Catálogo'!$Q:$Q),0)),INDEX('Catálogo'!$N:$N,MATCH($B$3&amp;"|"&amp;180,IF($B$3="TODAS",'Catálogo'!$U:$U,'Catálogo'!$Q:$Q),0))),"")</f>
      </c>
    </row>
    <row r="186" ht="90.00" customHeight="1">
      <c r="A186" s="39">
        <f>IFERROR(IF(INDEX('Catálogo'!$M:$M,MATCH($B$3&amp;"|"&amp;181,IF($B$3="TODAS",'Catálogo'!$U:$U,'Catálogo'!$Q:$Q),0))="","",IMAGE(INDEX('Catálogo'!$M:$M,MATCH($B$3&amp;"|"&amp;181,IF($B$3="TODAS",'Catálogo'!$U:$U,'Catálogo'!$Q:$Q),0)),1)),"")</f>
      </c>
      <c r="B186" s="40">
        <f>IFERROR(INDEX('Catálogo'!$B:$B,MATCH($B$3&amp;"|"&amp;181,IF($B$3="TODAS",'Catálogo'!$U:$U,'Catálogo'!$Q:$Q),0)),"")</f>
      </c>
      <c r="C186" s="41">
        <f>IFERROR(IF(INDEX('Catálogo'!$R:$R,MATCH($B$3&amp;"|"&amp;181,IF($B$3="TODAS",'Catálogo'!$U:$U,'Catálogo'!$Q:$Q),0))="","Cód: "&amp;INDEX('Catálogo'!$A:$A,MATCH($B$3&amp;"|"&amp;181,IF($B$3="TODAS",'Catálogo'!$U:$U,'Catálogo'!$Q:$Q),0)),"Medidas: "&amp;INDEX('Catálogo'!$R:$R,MATCH($B$3&amp;"|"&amp;181,IF($B$3="TODAS",'Catálogo'!$U:$U,'Catálogo'!$Q:$Q),0))&amp;"  ·  Cód: "&amp;INDEX('Catálogo'!$A:$A,MATCH($B$3&amp;"|"&amp;181,IF($B$3="TODAS",'Catálogo'!$U:$U,'Catálogo'!$Q:$Q),0))),"")</f>
      </c>
      <c r="D186" s="42">
        <f>IFERROR(IF($D$3="Mayor",INDEX('Catálogo'!$O:$O,MATCH($B$3&amp;"|"&amp;181,IF($B$3="TODAS",'Catálogo'!$U:$U,'Catálogo'!$Q:$Q),0)),INDEX('Catálogo'!$N:$N,MATCH($B$3&amp;"|"&amp;181,IF($B$3="TODAS",'Catálogo'!$U:$U,'Catálogo'!$Q:$Q),0))),"")</f>
      </c>
    </row>
    <row r="187" ht="90.00" customHeight="1">
      <c r="A187" s="39">
        <f>IFERROR(IF(INDEX('Catálogo'!$M:$M,MATCH($B$3&amp;"|"&amp;182,IF($B$3="TODAS",'Catálogo'!$U:$U,'Catálogo'!$Q:$Q),0))="","",IMAGE(INDEX('Catálogo'!$M:$M,MATCH($B$3&amp;"|"&amp;182,IF($B$3="TODAS",'Catálogo'!$U:$U,'Catálogo'!$Q:$Q),0)),1)),"")</f>
      </c>
      <c r="B187" s="40">
        <f>IFERROR(INDEX('Catálogo'!$B:$B,MATCH($B$3&amp;"|"&amp;182,IF($B$3="TODAS",'Catálogo'!$U:$U,'Catálogo'!$Q:$Q),0)),"")</f>
      </c>
      <c r="C187" s="41">
        <f>IFERROR(IF(INDEX('Catálogo'!$R:$R,MATCH($B$3&amp;"|"&amp;182,IF($B$3="TODAS",'Catálogo'!$U:$U,'Catálogo'!$Q:$Q),0))="","Cód: "&amp;INDEX('Catálogo'!$A:$A,MATCH($B$3&amp;"|"&amp;182,IF($B$3="TODAS",'Catálogo'!$U:$U,'Catálogo'!$Q:$Q),0)),"Medidas: "&amp;INDEX('Catálogo'!$R:$R,MATCH($B$3&amp;"|"&amp;182,IF($B$3="TODAS",'Catálogo'!$U:$U,'Catálogo'!$Q:$Q),0))&amp;"  ·  Cód: "&amp;INDEX('Catálogo'!$A:$A,MATCH($B$3&amp;"|"&amp;182,IF($B$3="TODAS",'Catálogo'!$U:$U,'Catálogo'!$Q:$Q),0))),"")</f>
      </c>
      <c r="D187" s="42">
        <f>IFERROR(IF($D$3="Mayor",INDEX('Catálogo'!$O:$O,MATCH($B$3&amp;"|"&amp;182,IF($B$3="TODAS",'Catálogo'!$U:$U,'Catálogo'!$Q:$Q),0)),INDEX('Catálogo'!$N:$N,MATCH($B$3&amp;"|"&amp;182,IF($B$3="TODAS",'Catálogo'!$U:$U,'Catálogo'!$Q:$Q),0))),"")</f>
      </c>
    </row>
    <row r="188" ht="90.00" customHeight="1">
      <c r="A188" s="39">
        <f>IFERROR(IF(INDEX('Catálogo'!$M:$M,MATCH($B$3&amp;"|"&amp;183,IF($B$3="TODAS",'Catálogo'!$U:$U,'Catálogo'!$Q:$Q),0))="","",IMAGE(INDEX('Catálogo'!$M:$M,MATCH($B$3&amp;"|"&amp;183,IF($B$3="TODAS",'Catálogo'!$U:$U,'Catálogo'!$Q:$Q),0)),1)),"")</f>
      </c>
      <c r="B188" s="40">
        <f>IFERROR(INDEX('Catálogo'!$B:$B,MATCH($B$3&amp;"|"&amp;183,IF($B$3="TODAS",'Catálogo'!$U:$U,'Catálogo'!$Q:$Q),0)),"")</f>
      </c>
      <c r="C188" s="41">
        <f>IFERROR(IF(INDEX('Catálogo'!$R:$R,MATCH($B$3&amp;"|"&amp;183,IF($B$3="TODAS",'Catálogo'!$U:$U,'Catálogo'!$Q:$Q),0))="","Cód: "&amp;INDEX('Catálogo'!$A:$A,MATCH($B$3&amp;"|"&amp;183,IF($B$3="TODAS",'Catálogo'!$U:$U,'Catálogo'!$Q:$Q),0)),"Medidas: "&amp;INDEX('Catálogo'!$R:$R,MATCH($B$3&amp;"|"&amp;183,IF($B$3="TODAS",'Catálogo'!$U:$U,'Catálogo'!$Q:$Q),0))&amp;"  ·  Cód: "&amp;INDEX('Catálogo'!$A:$A,MATCH($B$3&amp;"|"&amp;183,IF($B$3="TODAS",'Catálogo'!$U:$U,'Catálogo'!$Q:$Q),0))),"")</f>
      </c>
      <c r="D188" s="42">
        <f>IFERROR(IF($D$3="Mayor",INDEX('Catálogo'!$O:$O,MATCH($B$3&amp;"|"&amp;183,IF($B$3="TODAS",'Catálogo'!$U:$U,'Catálogo'!$Q:$Q),0)),INDEX('Catálogo'!$N:$N,MATCH($B$3&amp;"|"&amp;183,IF($B$3="TODAS",'Catálogo'!$U:$U,'Catálogo'!$Q:$Q),0))),"")</f>
      </c>
    </row>
    <row r="189" ht="90.00" customHeight="1">
      <c r="A189" s="39">
        <f>IFERROR(IF(INDEX('Catálogo'!$M:$M,MATCH($B$3&amp;"|"&amp;184,IF($B$3="TODAS",'Catálogo'!$U:$U,'Catálogo'!$Q:$Q),0))="","",IMAGE(INDEX('Catálogo'!$M:$M,MATCH($B$3&amp;"|"&amp;184,IF($B$3="TODAS",'Catálogo'!$U:$U,'Catálogo'!$Q:$Q),0)),1)),"")</f>
      </c>
      <c r="B189" s="40">
        <f>IFERROR(INDEX('Catálogo'!$B:$B,MATCH($B$3&amp;"|"&amp;184,IF($B$3="TODAS",'Catálogo'!$U:$U,'Catálogo'!$Q:$Q),0)),"")</f>
      </c>
      <c r="C189" s="41">
        <f>IFERROR(IF(INDEX('Catálogo'!$R:$R,MATCH($B$3&amp;"|"&amp;184,IF($B$3="TODAS",'Catálogo'!$U:$U,'Catálogo'!$Q:$Q),0))="","Cód: "&amp;INDEX('Catálogo'!$A:$A,MATCH($B$3&amp;"|"&amp;184,IF($B$3="TODAS",'Catálogo'!$U:$U,'Catálogo'!$Q:$Q),0)),"Medidas: "&amp;INDEX('Catálogo'!$R:$R,MATCH($B$3&amp;"|"&amp;184,IF($B$3="TODAS",'Catálogo'!$U:$U,'Catálogo'!$Q:$Q),0))&amp;"  ·  Cód: "&amp;INDEX('Catálogo'!$A:$A,MATCH($B$3&amp;"|"&amp;184,IF($B$3="TODAS",'Catálogo'!$U:$U,'Catálogo'!$Q:$Q),0))),"")</f>
      </c>
      <c r="D189" s="42">
        <f>IFERROR(IF($D$3="Mayor",INDEX('Catálogo'!$O:$O,MATCH($B$3&amp;"|"&amp;184,IF($B$3="TODAS",'Catálogo'!$U:$U,'Catálogo'!$Q:$Q),0)),INDEX('Catálogo'!$N:$N,MATCH($B$3&amp;"|"&amp;184,IF($B$3="TODAS",'Catálogo'!$U:$U,'Catálogo'!$Q:$Q),0))),"")</f>
      </c>
    </row>
    <row r="190" ht="90.00" customHeight="1">
      <c r="A190" s="39">
        <f>IFERROR(IF(INDEX('Catálogo'!$M:$M,MATCH($B$3&amp;"|"&amp;185,IF($B$3="TODAS",'Catálogo'!$U:$U,'Catálogo'!$Q:$Q),0))="","",IMAGE(INDEX('Catálogo'!$M:$M,MATCH($B$3&amp;"|"&amp;185,IF($B$3="TODAS",'Catálogo'!$U:$U,'Catálogo'!$Q:$Q),0)),1)),"")</f>
      </c>
      <c r="B190" s="40">
        <f>IFERROR(INDEX('Catálogo'!$B:$B,MATCH($B$3&amp;"|"&amp;185,IF($B$3="TODAS",'Catálogo'!$U:$U,'Catálogo'!$Q:$Q),0)),"")</f>
      </c>
      <c r="C190" s="41">
        <f>IFERROR(IF(INDEX('Catálogo'!$R:$R,MATCH($B$3&amp;"|"&amp;185,IF($B$3="TODAS",'Catálogo'!$U:$U,'Catálogo'!$Q:$Q),0))="","Cód: "&amp;INDEX('Catálogo'!$A:$A,MATCH($B$3&amp;"|"&amp;185,IF($B$3="TODAS",'Catálogo'!$U:$U,'Catálogo'!$Q:$Q),0)),"Medidas: "&amp;INDEX('Catálogo'!$R:$R,MATCH($B$3&amp;"|"&amp;185,IF($B$3="TODAS",'Catálogo'!$U:$U,'Catálogo'!$Q:$Q),0))&amp;"  ·  Cód: "&amp;INDEX('Catálogo'!$A:$A,MATCH($B$3&amp;"|"&amp;185,IF($B$3="TODAS",'Catálogo'!$U:$U,'Catálogo'!$Q:$Q),0))),"")</f>
      </c>
      <c r="D190" s="42">
        <f>IFERROR(IF($D$3="Mayor",INDEX('Catálogo'!$O:$O,MATCH($B$3&amp;"|"&amp;185,IF($B$3="TODAS",'Catálogo'!$U:$U,'Catálogo'!$Q:$Q),0)),INDEX('Catálogo'!$N:$N,MATCH($B$3&amp;"|"&amp;185,IF($B$3="TODAS",'Catálogo'!$U:$U,'Catálogo'!$Q:$Q),0))),"")</f>
      </c>
    </row>
    <row r="191" ht="90.00" customHeight="1">
      <c r="A191" s="39">
        <f>IFERROR(IF(INDEX('Catálogo'!$M:$M,MATCH($B$3&amp;"|"&amp;186,IF($B$3="TODAS",'Catálogo'!$U:$U,'Catálogo'!$Q:$Q),0))="","",IMAGE(INDEX('Catálogo'!$M:$M,MATCH($B$3&amp;"|"&amp;186,IF($B$3="TODAS",'Catálogo'!$U:$U,'Catálogo'!$Q:$Q),0)),1)),"")</f>
      </c>
      <c r="B191" s="40">
        <f>IFERROR(INDEX('Catálogo'!$B:$B,MATCH($B$3&amp;"|"&amp;186,IF($B$3="TODAS",'Catálogo'!$U:$U,'Catálogo'!$Q:$Q),0)),"")</f>
      </c>
      <c r="C191" s="41">
        <f>IFERROR(IF(INDEX('Catálogo'!$R:$R,MATCH($B$3&amp;"|"&amp;186,IF($B$3="TODAS",'Catálogo'!$U:$U,'Catálogo'!$Q:$Q),0))="","Cód: "&amp;INDEX('Catálogo'!$A:$A,MATCH($B$3&amp;"|"&amp;186,IF($B$3="TODAS",'Catálogo'!$U:$U,'Catálogo'!$Q:$Q),0)),"Medidas: "&amp;INDEX('Catálogo'!$R:$R,MATCH($B$3&amp;"|"&amp;186,IF($B$3="TODAS",'Catálogo'!$U:$U,'Catálogo'!$Q:$Q),0))&amp;"  ·  Cód: "&amp;INDEX('Catálogo'!$A:$A,MATCH($B$3&amp;"|"&amp;186,IF($B$3="TODAS",'Catálogo'!$U:$U,'Catálogo'!$Q:$Q),0))),"")</f>
      </c>
      <c r="D191" s="42">
        <f>IFERROR(IF($D$3="Mayor",INDEX('Catálogo'!$O:$O,MATCH($B$3&amp;"|"&amp;186,IF($B$3="TODAS",'Catálogo'!$U:$U,'Catálogo'!$Q:$Q),0)),INDEX('Catálogo'!$N:$N,MATCH($B$3&amp;"|"&amp;186,IF($B$3="TODAS",'Catálogo'!$U:$U,'Catálogo'!$Q:$Q),0))),"")</f>
      </c>
    </row>
    <row r="192" ht="90.00" customHeight="1">
      <c r="A192" s="39">
        <f>IFERROR(IF(INDEX('Catálogo'!$M:$M,MATCH($B$3&amp;"|"&amp;187,IF($B$3="TODAS",'Catálogo'!$U:$U,'Catálogo'!$Q:$Q),0))="","",IMAGE(INDEX('Catálogo'!$M:$M,MATCH($B$3&amp;"|"&amp;187,IF($B$3="TODAS",'Catálogo'!$U:$U,'Catálogo'!$Q:$Q),0)),1)),"")</f>
      </c>
      <c r="B192" s="40">
        <f>IFERROR(INDEX('Catálogo'!$B:$B,MATCH($B$3&amp;"|"&amp;187,IF($B$3="TODAS",'Catálogo'!$U:$U,'Catálogo'!$Q:$Q),0)),"")</f>
      </c>
      <c r="C192" s="41">
        <f>IFERROR(IF(INDEX('Catálogo'!$R:$R,MATCH($B$3&amp;"|"&amp;187,IF($B$3="TODAS",'Catálogo'!$U:$U,'Catálogo'!$Q:$Q),0))="","Cód: "&amp;INDEX('Catálogo'!$A:$A,MATCH($B$3&amp;"|"&amp;187,IF($B$3="TODAS",'Catálogo'!$U:$U,'Catálogo'!$Q:$Q),0)),"Medidas: "&amp;INDEX('Catálogo'!$R:$R,MATCH($B$3&amp;"|"&amp;187,IF($B$3="TODAS",'Catálogo'!$U:$U,'Catálogo'!$Q:$Q),0))&amp;"  ·  Cód: "&amp;INDEX('Catálogo'!$A:$A,MATCH($B$3&amp;"|"&amp;187,IF($B$3="TODAS",'Catálogo'!$U:$U,'Catálogo'!$Q:$Q),0))),"")</f>
      </c>
      <c r="D192" s="42">
        <f>IFERROR(IF($D$3="Mayor",INDEX('Catálogo'!$O:$O,MATCH($B$3&amp;"|"&amp;187,IF($B$3="TODAS",'Catálogo'!$U:$U,'Catálogo'!$Q:$Q),0)),INDEX('Catálogo'!$N:$N,MATCH($B$3&amp;"|"&amp;187,IF($B$3="TODAS",'Catálogo'!$U:$U,'Catálogo'!$Q:$Q),0))),"")</f>
      </c>
    </row>
    <row r="193" ht="90.00" customHeight="1">
      <c r="A193" s="39">
        <f>IFERROR(IF(INDEX('Catálogo'!$M:$M,MATCH($B$3&amp;"|"&amp;188,IF($B$3="TODAS",'Catálogo'!$U:$U,'Catálogo'!$Q:$Q),0))="","",IMAGE(INDEX('Catálogo'!$M:$M,MATCH($B$3&amp;"|"&amp;188,IF($B$3="TODAS",'Catálogo'!$U:$U,'Catálogo'!$Q:$Q),0)),1)),"")</f>
      </c>
      <c r="B193" s="40">
        <f>IFERROR(INDEX('Catálogo'!$B:$B,MATCH($B$3&amp;"|"&amp;188,IF($B$3="TODAS",'Catálogo'!$U:$U,'Catálogo'!$Q:$Q),0)),"")</f>
      </c>
      <c r="C193" s="41">
        <f>IFERROR(IF(INDEX('Catálogo'!$R:$R,MATCH($B$3&amp;"|"&amp;188,IF($B$3="TODAS",'Catálogo'!$U:$U,'Catálogo'!$Q:$Q),0))="","Cód: "&amp;INDEX('Catálogo'!$A:$A,MATCH($B$3&amp;"|"&amp;188,IF($B$3="TODAS",'Catálogo'!$U:$U,'Catálogo'!$Q:$Q),0)),"Medidas: "&amp;INDEX('Catálogo'!$R:$R,MATCH($B$3&amp;"|"&amp;188,IF($B$3="TODAS",'Catálogo'!$U:$U,'Catálogo'!$Q:$Q),0))&amp;"  ·  Cód: "&amp;INDEX('Catálogo'!$A:$A,MATCH($B$3&amp;"|"&amp;188,IF($B$3="TODAS",'Catálogo'!$U:$U,'Catálogo'!$Q:$Q),0))),"")</f>
      </c>
      <c r="D193" s="42">
        <f>IFERROR(IF($D$3="Mayor",INDEX('Catálogo'!$O:$O,MATCH($B$3&amp;"|"&amp;188,IF($B$3="TODAS",'Catálogo'!$U:$U,'Catálogo'!$Q:$Q),0)),INDEX('Catálogo'!$N:$N,MATCH($B$3&amp;"|"&amp;188,IF($B$3="TODAS",'Catálogo'!$U:$U,'Catálogo'!$Q:$Q),0))),"")</f>
      </c>
    </row>
    <row r="194" ht="90.00" customHeight="1">
      <c r="A194" s="39">
        <f>IFERROR(IF(INDEX('Catálogo'!$M:$M,MATCH($B$3&amp;"|"&amp;189,IF($B$3="TODAS",'Catálogo'!$U:$U,'Catálogo'!$Q:$Q),0))="","",IMAGE(INDEX('Catálogo'!$M:$M,MATCH($B$3&amp;"|"&amp;189,IF($B$3="TODAS",'Catálogo'!$U:$U,'Catálogo'!$Q:$Q),0)),1)),"")</f>
      </c>
      <c r="B194" s="40">
        <f>IFERROR(INDEX('Catálogo'!$B:$B,MATCH($B$3&amp;"|"&amp;189,IF($B$3="TODAS",'Catálogo'!$U:$U,'Catálogo'!$Q:$Q),0)),"")</f>
      </c>
      <c r="C194" s="41">
        <f>IFERROR(IF(INDEX('Catálogo'!$R:$R,MATCH($B$3&amp;"|"&amp;189,IF($B$3="TODAS",'Catálogo'!$U:$U,'Catálogo'!$Q:$Q),0))="","Cód: "&amp;INDEX('Catálogo'!$A:$A,MATCH($B$3&amp;"|"&amp;189,IF($B$3="TODAS",'Catálogo'!$U:$U,'Catálogo'!$Q:$Q),0)),"Medidas: "&amp;INDEX('Catálogo'!$R:$R,MATCH($B$3&amp;"|"&amp;189,IF($B$3="TODAS",'Catálogo'!$U:$U,'Catálogo'!$Q:$Q),0))&amp;"  ·  Cód: "&amp;INDEX('Catálogo'!$A:$A,MATCH($B$3&amp;"|"&amp;189,IF($B$3="TODAS",'Catálogo'!$U:$U,'Catálogo'!$Q:$Q),0))),"")</f>
      </c>
      <c r="D194" s="42">
        <f>IFERROR(IF($D$3="Mayor",INDEX('Catálogo'!$O:$O,MATCH($B$3&amp;"|"&amp;189,IF($B$3="TODAS",'Catálogo'!$U:$U,'Catálogo'!$Q:$Q),0)),INDEX('Catálogo'!$N:$N,MATCH($B$3&amp;"|"&amp;189,IF($B$3="TODAS",'Catálogo'!$U:$U,'Catálogo'!$Q:$Q),0))),"")</f>
      </c>
    </row>
    <row r="195" ht="90.00" customHeight="1">
      <c r="A195" s="39">
        <f>IFERROR(IF(INDEX('Catálogo'!$M:$M,MATCH($B$3&amp;"|"&amp;190,IF($B$3="TODAS",'Catálogo'!$U:$U,'Catálogo'!$Q:$Q),0))="","",IMAGE(INDEX('Catálogo'!$M:$M,MATCH($B$3&amp;"|"&amp;190,IF($B$3="TODAS",'Catálogo'!$U:$U,'Catálogo'!$Q:$Q),0)),1)),"")</f>
      </c>
      <c r="B195" s="40">
        <f>IFERROR(INDEX('Catálogo'!$B:$B,MATCH($B$3&amp;"|"&amp;190,IF($B$3="TODAS",'Catálogo'!$U:$U,'Catálogo'!$Q:$Q),0)),"")</f>
      </c>
      <c r="C195" s="41">
        <f>IFERROR(IF(INDEX('Catálogo'!$R:$R,MATCH($B$3&amp;"|"&amp;190,IF($B$3="TODAS",'Catálogo'!$U:$U,'Catálogo'!$Q:$Q),0))="","Cód: "&amp;INDEX('Catálogo'!$A:$A,MATCH($B$3&amp;"|"&amp;190,IF($B$3="TODAS",'Catálogo'!$U:$U,'Catálogo'!$Q:$Q),0)),"Medidas: "&amp;INDEX('Catálogo'!$R:$R,MATCH($B$3&amp;"|"&amp;190,IF($B$3="TODAS",'Catálogo'!$U:$U,'Catálogo'!$Q:$Q),0))&amp;"  ·  Cód: "&amp;INDEX('Catálogo'!$A:$A,MATCH($B$3&amp;"|"&amp;190,IF($B$3="TODAS",'Catálogo'!$U:$U,'Catálogo'!$Q:$Q),0))),"")</f>
      </c>
      <c r="D195" s="42">
        <f>IFERROR(IF($D$3="Mayor",INDEX('Catálogo'!$O:$O,MATCH($B$3&amp;"|"&amp;190,IF($B$3="TODAS",'Catálogo'!$U:$U,'Catálogo'!$Q:$Q),0)),INDEX('Catálogo'!$N:$N,MATCH($B$3&amp;"|"&amp;190,IF($B$3="TODAS",'Catálogo'!$U:$U,'Catálogo'!$Q:$Q),0))),"")</f>
      </c>
    </row>
    <row r="196" ht="90.00" customHeight="1">
      <c r="A196" s="39">
        <f>IFERROR(IF(INDEX('Catálogo'!$M:$M,MATCH($B$3&amp;"|"&amp;191,IF($B$3="TODAS",'Catálogo'!$U:$U,'Catálogo'!$Q:$Q),0))="","",IMAGE(INDEX('Catálogo'!$M:$M,MATCH($B$3&amp;"|"&amp;191,IF($B$3="TODAS",'Catálogo'!$U:$U,'Catálogo'!$Q:$Q),0)),1)),"")</f>
      </c>
      <c r="B196" s="40">
        <f>IFERROR(INDEX('Catálogo'!$B:$B,MATCH($B$3&amp;"|"&amp;191,IF($B$3="TODAS",'Catálogo'!$U:$U,'Catálogo'!$Q:$Q),0)),"")</f>
      </c>
      <c r="C196" s="41">
        <f>IFERROR(IF(INDEX('Catálogo'!$R:$R,MATCH($B$3&amp;"|"&amp;191,IF($B$3="TODAS",'Catálogo'!$U:$U,'Catálogo'!$Q:$Q),0))="","Cód: "&amp;INDEX('Catálogo'!$A:$A,MATCH($B$3&amp;"|"&amp;191,IF($B$3="TODAS",'Catálogo'!$U:$U,'Catálogo'!$Q:$Q),0)),"Medidas: "&amp;INDEX('Catálogo'!$R:$R,MATCH($B$3&amp;"|"&amp;191,IF($B$3="TODAS",'Catálogo'!$U:$U,'Catálogo'!$Q:$Q),0))&amp;"  ·  Cód: "&amp;INDEX('Catálogo'!$A:$A,MATCH($B$3&amp;"|"&amp;191,IF($B$3="TODAS",'Catálogo'!$U:$U,'Catálogo'!$Q:$Q),0))),"")</f>
      </c>
      <c r="D196" s="42">
        <f>IFERROR(IF($D$3="Mayor",INDEX('Catálogo'!$O:$O,MATCH($B$3&amp;"|"&amp;191,IF($B$3="TODAS",'Catálogo'!$U:$U,'Catálogo'!$Q:$Q),0)),INDEX('Catálogo'!$N:$N,MATCH($B$3&amp;"|"&amp;191,IF($B$3="TODAS",'Catálogo'!$U:$U,'Catálogo'!$Q:$Q),0))),"")</f>
      </c>
    </row>
    <row r="197" ht="90.00" customHeight="1">
      <c r="A197" s="39">
        <f>IFERROR(IF(INDEX('Catálogo'!$M:$M,MATCH($B$3&amp;"|"&amp;192,IF($B$3="TODAS",'Catálogo'!$U:$U,'Catálogo'!$Q:$Q),0))="","",IMAGE(INDEX('Catálogo'!$M:$M,MATCH($B$3&amp;"|"&amp;192,IF($B$3="TODAS",'Catálogo'!$U:$U,'Catálogo'!$Q:$Q),0)),1)),"")</f>
      </c>
      <c r="B197" s="40">
        <f>IFERROR(INDEX('Catálogo'!$B:$B,MATCH($B$3&amp;"|"&amp;192,IF($B$3="TODAS",'Catálogo'!$U:$U,'Catálogo'!$Q:$Q),0)),"")</f>
      </c>
      <c r="C197" s="41">
        <f>IFERROR(IF(INDEX('Catálogo'!$R:$R,MATCH($B$3&amp;"|"&amp;192,IF($B$3="TODAS",'Catálogo'!$U:$U,'Catálogo'!$Q:$Q),0))="","Cód: "&amp;INDEX('Catálogo'!$A:$A,MATCH($B$3&amp;"|"&amp;192,IF($B$3="TODAS",'Catálogo'!$U:$U,'Catálogo'!$Q:$Q),0)),"Medidas: "&amp;INDEX('Catálogo'!$R:$R,MATCH($B$3&amp;"|"&amp;192,IF($B$3="TODAS",'Catálogo'!$U:$U,'Catálogo'!$Q:$Q),0))&amp;"  ·  Cód: "&amp;INDEX('Catálogo'!$A:$A,MATCH($B$3&amp;"|"&amp;192,IF($B$3="TODAS",'Catálogo'!$U:$U,'Catálogo'!$Q:$Q),0))),"")</f>
      </c>
      <c r="D197" s="42">
        <f>IFERROR(IF($D$3="Mayor",INDEX('Catálogo'!$O:$O,MATCH($B$3&amp;"|"&amp;192,IF($B$3="TODAS",'Catálogo'!$U:$U,'Catálogo'!$Q:$Q),0)),INDEX('Catálogo'!$N:$N,MATCH($B$3&amp;"|"&amp;192,IF($B$3="TODAS",'Catálogo'!$U:$U,'Catálogo'!$Q:$Q),0))),"")</f>
      </c>
    </row>
    <row r="198" ht="90.00" customHeight="1">
      <c r="A198" s="39">
        <f>IFERROR(IF(INDEX('Catálogo'!$M:$M,MATCH($B$3&amp;"|"&amp;193,IF($B$3="TODAS",'Catálogo'!$U:$U,'Catálogo'!$Q:$Q),0))="","",IMAGE(INDEX('Catálogo'!$M:$M,MATCH($B$3&amp;"|"&amp;193,IF($B$3="TODAS",'Catálogo'!$U:$U,'Catálogo'!$Q:$Q),0)),1)),"")</f>
      </c>
      <c r="B198" s="40">
        <f>IFERROR(INDEX('Catálogo'!$B:$B,MATCH($B$3&amp;"|"&amp;193,IF($B$3="TODAS",'Catálogo'!$U:$U,'Catálogo'!$Q:$Q),0)),"")</f>
      </c>
      <c r="C198" s="41">
        <f>IFERROR(IF(INDEX('Catálogo'!$R:$R,MATCH($B$3&amp;"|"&amp;193,IF($B$3="TODAS",'Catálogo'!$U:$U,'Catálogo'!$Q:$Q),0))="","Cód: "&amp;INDEX('Catálogo'!$A:$A,MATCH($B$3&amp;"|"&amp;193,IF($B$3="TODAS",'Catálogo'!$U:$U,'Catálogo'!$Q:$Q),0)),"Medidas: "&amp;INDEX('Catálogo'!$R:$R,MATCH($B$3&amp;"|"&amp;193,IF($B$3="TODAS",'Catálogo'!$U:$U,'Catálogo'!$Q:$Q),0))&amp;"  ·  Cód: "&amp;INDEX('Catálogo'!$A:$A,MATCH($B$3&amp;"|"&amp;193,IF($B$3="TODAS",'Catálogo'!$U:$U,'Catálogo'!$Q:$Q),0))),"")</f>
      </c>
      <c r="D198" s="42">
        <f>IFERROR(IF($D$3="Mayor",INDEX('Catálogo'!$O:$O,MATCH($B$3&amp;"|"&amp;193,IF($B$3="TODAS",'Catálogo'!$U:$U,'Catálogo'!$Q:$Q),0)),INDEX('Catálogo'!$N:$N,MATCH($B$3&amp;"|"&amp;193,IF($B$3="TODAS",'Catálogo'!$U:$U,'Catálogo'!$Q:$Q),0))),"")</f>
      </c>
    </row>
    <row r="199" ht="90.00" customHeight="1">
      <c r="A199" s="39">
        <f>IFERROR(IF(INDEX('Catálogo'!$M:$M,MATCH($B$3&amp;"|"&amp;194,IF($B$3="TODAS",'Catálogo'!$U:$U,'Catálogo'!$Q:$Q),0))="","",IMAGE(INDEX('Catálogo'!$M:$M,MATCH($B$3&amp;"|"&amp;194,IF($B$3="TODAS",'Catálogo'!$U:$U,'Catálogo'!$Q:$Q),0)),1)),"")</f>
      </c>
      <c r="B199" s="40">
        <f>IFERROR(INDEX('Catálogo'!$B:$B,MATCH($B$3&amp;"|"&amp;194,IF($B$3="TODAS",'Catálogo'!$U:$U,'Catálogo'!$Q:$Q),0)),"")</f>
      </c>
      <c r="C199" s="41">
        <f>IFERROR(IF(INDEX('Catálogo'!$R:$R,MATCH($B$3&amp;"|"&amp;194,IF($B$3="TODAS",'Catálogo'!$U:$U,'Catálogo'!$Q:$Q),0))="","Cód: "&amp;INDEX('Catálogo'!$A:$A,MATCH($B$3&amp;"|"&amp;194,IF($B$3="TODAS",'Catálogo'!$U:$U,'Catálogo'!$Q:$Q),0)),"Medidas: "&amp;INDEX('Catálogo'!$R:$R,MATCH($B$3&amp;"|"&amp;194,IF($B$3="TODAS",'Catálogo'!$U:$U,'Catálogo'!$Q:$Q),0))&amp;"  ·  Cód: "&amp;INDEX('Catálogo'!$A:$A,MATCH($B$3&amp;"|"&amp;194,IF($B$3="TODAS",'Catálogo'!$U:$U,'Catálogo'!$Q:$Q),0))),"")</f>
      </c>
      <c r="D199" s="42">
        <f>IFERROR(IF($D$3="Mayor",INDEX('Catálogo'!$O:$O,MATCH($B$3&amp;"|"&amp;194,IF($B$3="TODAS",'Catálogo'!$U:$U,'Catálogo'!$Q:$Q),0)),INDEX('Catálogo'!$N:$N,MATCH($B$3&amp;"|"&amp;194,IF($B$3="TODAS",'Catálogo'!$U:$U,'Catálogo'!$Q:$Q),0))),"")</f>
      </c>
    </row>
    <row r="200" ht="90.00" customHeight="1">
      <c r="A200" s="39">
        <f>IFERROR(IF(INDEX('Catálogo'!$M:$M,MATCH($B$3&amp;"|"&amp;195,IF($B$3="TODAS",'Catálogo'!$U:$U,'Catálogo'!$Q:$Q),0))="","",IMAGE(INDEX('Catálogo'!$M:$M,MATCH($B$3&amp;"|"&amp;195,IF($B$3="TODAS",'Catálogo'!$U:$U,'Catálogo'!$Q:$Q),0)),1)),"")</f>
      </c>
      <c r="B200" s="40">
        <f>IFERROR(INDEX('Catálogo'!$B:$B,MATCH($B$3&amp;"|"&amp;195,IF($B$3="TODAS",'Catálogo'!$U:$U,'Catálogo'!$Q:$Q),0)),"")</f>
      </c>
      <c r="C200" s="41">
        <f>IFERROR(IF(INDEX('Catálogo'!$R:$R,MATCH($B$3&amp;"|"&amp;195,IF($B$3="TODAS",'Catálogo'!$U:$U,'Catálogo'!$Q:$Q),0))="","Cód: "&amp;INDEX('Catálogo'!$A:$A,MATCH($B$3&amp;"|"&amp;195,IF($B$3="TODAS",'Catálogo'!$U:$U,'Catálogo'!$Q:$Q),0)),"Medidas: "&amp;INDEX('Catálogo'!$R:$R,MATCH($B$3&amp;"|"&amp;195,IF($B$3="TODAS",'Catálogo'!$U:$U,'Catálogo'!$Q:$Q),0))&amp;"  ·  Cód: "&amp;INDEX('Catálogo'!$A:$A,MATCH($B$3&amp;"|"&amp;195,IF($B$3="TODAS",'Catálogo'!$U:$U,'Catálogo'!$Q:$Q),0))),"")</f>
      </c>
      <c r="D200" s="42">
        <f>IFERROR(IF($D$3="Mayor",INDEX('Catálogo'!$O:$O,MATCH($B$3&amp;"|"&amp;195,IF($B$3="TODAS",'Catálogo'!$U:$U,'Catálogo'!$Q:$Q),0)),INDEX('Catálogo'!$N:$N,MATCH($B$3&amp;"|"&amp;195,IF($B$3="TODAS",'Catálogo'!$U:$U,'Catálogo'!$Q:$Q),0))),"")</f>
      </c>
    </row>
    <row r="201" ht="90.00" customHeight="1">
      <c r="A201" s="39">
        <f>IFERROR(IF(INDEX('Catálogo'!$M:$M,MATCH($B$3&amp;"|"&amp;196,IF($B$3="TODAS",'Catálogo'!$U:$U,'Catálogo'!$Q:$Q),0))="","",IMAGE(INDEX('Catálogo'!$M:$M,MATCH($B$3&amp;"|"&amp;196,IF($B$3="TODAS",'Catálogo'!$U:$U,'Catálogo'!$Q:$Q),0)),1)),"")</f>
      </c>
      <c r="B201" s="40">
        <f>IFERROR(INDEX('Catálogo'!$B:$B,MATCH($B$3&amp;"|"&amp;196,IF($B$3="TODAS",'Catálogo'!$U:$U,'Catálogo'!$Q:$Q),0)),"")</f>
      </c>
      <c r="C201" s="41">
        <f>IFERROR(IF(INDEX('Catálogo'!$R:$R,MATCH($B$3&amp;"|"&amp;196,IF($B$3="TODAS",'Catálogo'!$U:$U,'Catálogo'!$Q:$Q),0))="","Cód: "&amp;INDEX('Catálogo'!$A:$A,MATCH($B$3&amp;"|"&amp;196,IF($B$3="TODAS",'Catálogo'!$U:$U,'Catálogo'!$Q:$Q),0)),"Medidas: "&amp;INDEX('Catálogo'!$R:$R,MATCH($B$3&amp;"|"&amp;196,IF($B$3="TODAS",'Catálogo'!$U:$U,'Catálogo'!$Q:$Q),0))&amp;"  ·  Cód: "&amp;INDEX('Catálogo'!$A:$A,MATCH($B$3&amp;"|"&amp;196,IF($B$3="TODAS",'Catálogo'!$U:$U,'Catálogo'!$Q:$Q),0))),"")</f>
      </c>
      <c r="D201" s="42">
        <f>IFERROR(IF($D$3="Mayor",INDEX('Catálogo'!$O:$O,MATCH($B$3&amp;"|"&amp;196,IF($B$3="TODAS",'Catálogo'!$U:$U,'Catálogo'!$Q:$Q),0)),INDEX('Catálogo'!$N:$N,MATCH($B$3&amp;"|"&amp;196,IF($B$3="TODAS",'Catálogo'!$U:$U,'Catálogo'!$Q:$Q),0))),"")</f>
      </c>
    </row>
    <row r="202" ht="90.00" customHeight="1">
      <c r="A202" s="39">
        <f>IFERROR(IF(INDEX('Catálogo'!$M:$M,MATCH($B$3&amp;"|"&amp;197,IF($B$3="TODAS",'Catálogo'!$U:$U,'Catálogo'!$Q:$Q),0))="","",IMAGE(INDEX('Catálogo'!$M:$M,MATCH($B$3&amp;"|"&amp;197,IF($B$3="TODAS",'Catálogo'!$U:$U,'Catálogo'!$Q:$Q),0)),1)),"")</f>
      </c>
      <c r="B202" s="40">
        <f>IFERROR(INDEX('Catálogo'!$B:$B,MATCH($B$3&amp;"|"&amp;197,IF($B$3="TODAS",'Catálogo'!$U:$U,'Catálogo'!$Q:$Q),0)),"")</f>
      </c>
      <c r="C202" s="41">
        <f>IFERROR(IF(INDEX('Catálogo'!$R:$R,MATCH($B$3&amp;"|"&amp;197,IF($B$3="TODAS",'Catálogo'!$U:$U,'Catálogo'!$Q:$Q),0))="","Cód: "&amp;INDEX('Catálogo'!$A:$A,MATCH($B$3&amp;"|"&amp;197,IF($B$3="TODAS",'Catálogo'!$U:$U,'Catálogo'!$Q:$Q),0)),"Medidas: "&amp;INDEX('Catálogo'!$R:$R,MATCH($B$3&amp;"|"&amp;197,IF($B$3="TODAS",'Catálogo'!$U:$U,'Catálogo'!$Q:$Q),0))&amp;"  ·  Cód: "&amp;INDEX('Catálogo'!$A:$A,MATCH($B$3&amp;"|"&amp;197,IF($B$3="TODAS",'Catálogo'!$U:$U,'Catálogo'!$Q:$Q),0))),"")</f>
      </c>
      <c r="D202" s="42">
        <f>IFERROR(IF($D$3="Mayor",INDEX('Catálogo'!$O:$O,MATCH($B$3&amp;"|"&amp;197,IF($B$3="TODAS",'Catálogo'!$U:$U,'Catálogo'!$Q:$Q),0)),INDEX('Catálogo'!$N:$N,MATCH($B$3&amp;"|"&amp;197,IF($B$3="TODAS",'Catálogo'!$U:$U,'Catálogo'!$Q:$Q),0))),"")</f>
      </c>
    </row>
    <row r="203" ht="90.00" customHeight="1">
      <c r="A203" s="39">
        <f>IFERROR(IF(INDEX('Catálogo'!$M:$M,MATCH($B$3&amp;"|"&amp;198,IF($B$3="TODAS",'Catálogo'!$U:$U,'Catálogo'!$Q:$Q),0))="","",IMAGE(INDEX('Catálogo'!$M:$M,MATCH($B$3&amp;"|"&amp;198,IF($B$3="TODAS",'Catálogo'!$U:$U,'Catálogo'!$Q:$Q),0)),1)),"")</f>
      </c>
      <c r="B203" s="40">
        <f>IFERROR(INDEX('Catálogo'!$B:$B,MATCH($B$3&amp;"|"&amp;198,IF($B$3="TODAS",'Catálogo'!$U:$U,'Catálogo'!$Q:$Q),0)),"")</f>
      </c>
      <c r="C203" s="41">
        <f>IFERROR(IF(INDEX('Catálogo'!$R:$R,MATCH($B$3&amp;"|"&amp;198,IF($B$3="TODAS",'Catálogo'!$U:$U,'Catálogo'!$Q:$Q),0))="","Cód: "&amp;INDEX('Catálogo'!$A:$A,MATCH($B$3&amp;"|"&amp;198,IF($B$3="TODAS",'Catálogo'!$U:$U,'Catálogo'!$Q:$Q),0)),"Medidas: "&amp;INDEX('Catálogo'!$R:$R,MATCH($B$3&amp;"|"&amp;198,IF($B$3="TODAS",'Catálogo'!$U:$U,'Catálogo'!$Q:$Q),0))&amp;"  ·  Cód: "&amp;INDEX('Catálogo'!$A:$A,MATCH($B$3&amp;"|"&amp;198,IF($B$3="TODAS",'Catálogo'!$U:$U,'Catálogo'!$Q:$Q),0))),"")</f>
      </c>
      <c r="D203" s="42">
        <f>IFERROR(IF($D$3="Mayor",INDEX('Catálogo'!$O:$O,MATCH($B$3&amp;"|"&amp;198,IF($B$3="TODAS",'Catálogo'!$U:$U,'Catálogo'!$Q:$Q),0)),INDEX('Catálogo'!$N:$N,MATCH($B$3&amp;"|"&amp;198,IF($B$3="TODAS",'Catálogo'!$U:$U,'Catálogo'!$Q:$Q),0))),"")</f>
      </c>
    </row>
    <row r="204" ht="90.00" customHeight="1">
      <c r="A204" s="39">
        <f>IFERROR(IF(INDEX('Catálogo'!$M:$M,MATCH($B$3&amp;"|"&amp;199,IF($B$3="TODAS",'Catálogo'!$U:$U,'Catálogo'!$Q:$Q),0))="","",IMAGE(INDEX('Catálogo'!$M:$M,MATCH($B$3&amp;"|"&amp;199,IF($B$3="TODAS",'Catálogo'!$U:$U,'Catálogo'!$Q:$Q),0)),1)),"")</f>
      </c>
      <c r="B204" s="40">
        <f>IFERROR(INDEX('Catálogo'!$B:$B,MATCH($B$3&amp;"|"&amp;199,IF($B$3="TODAS",'Catálogo'!$U:$U,'Catálogo'!$Q:$Q),0)),"")</f>
      </c>
      <c r="C204" s="41">
        <f>IFERROR(IF(INDEX('Catálogo'!$R:$R,MATCH($B$3&amp;"|"&amp;199,IF($B$3="TODAS",'Catálogo'!$U:$U,'Catálogo'!$Q:$Q),0))="","Cód: "&amp;INDEX('Catálogo'!$A:$A,MATCH($B$3&amp;"|"&amp;199,IF($B$3="TODAS",'Catálogo'!$U:$U,'Catálogo'!$Q:$Q),0)),"Medidas: "&amp;INDEX('Catálogo'!$R:$R,MATCH($B$3&amp;"|"&amp;199,IF($B$3="TODAS",'Catálogo'!$U:$U,'Catálogo'!$Q:$Q),0))&amp;"  ·  Cód: "&amp;INDEX('Catálogo'!$A:$A,MATCH($B$3&amp;"|"&amp;199,IF($B$3="TODAS",'Catálogo'!$U:$U,'Catálogo'!$Q:$Q),0))),"")</f>
      </c>
      <c r="D204" s="42">
        <f>IFERROR(IF($D$3="Mayor",INDEX('Catálogo'!$O:$O,MATCH($B$3&amp;"|"&amp;199,IF($B$3="TODAS",'Catálogo'!$U:$U,'Catálogo'!$Q:$Q),0)),INDEX('Catálogo'!$N:$N,MATCH($B$3&amp;"|"&amp;199,IF($B$3="TODAS",'Catálogo'!$U:$U,'Catálogo'!$Q:$Q),0))),"")</f>
      </c>
    </row>
    <row r="205" ht="90.00" customHeight="1">
      <c r="A205" s="39">
        <f>IFERROR(IF(INDEX('Catálogo'!$M:$M,MATCH($B$3&amp;"|"&amp;200,IF($B$3="TODAS",'Catálogo'!$U:$U,'Catálogo'!$Q:$Q),0))="","",IMAGE(INDEX('Catálogo'!$M:$M,MATCH($B$3&amp;"|"&amp;200,IF($B$3="TODAS",'Catálogo'!$U:$U,'Catálogo'!$Q:$Q),0)),1)),"")</f>
      </c>
      <c r="B205" s="40">
        <f>IFERROR(INDEX('Catálogo'!$B:$B,MATCH($B$3&amp;"|"&amp;200,IF($B$3="TODAS",'Catálogo'!$U:$U,'Catálogo'!$Q:$Q),0)),"")</f>
      </c>
      <c r="C205" s="41">
        <f>IFERROR(IF(INDEX('Catálogo'!$R:$R,MATCH($B$3&amp;"|"&amp;200,IF($B$3="TODAS",'Catálogo'!$U:$U,'Catálogo'!$Q:$Q),0))="","Cód: "&amp;INDEX('Catálogo'!$A:$A,MATCH($B$3&amp;"|"&amp;200,IF($B$3="TODAS",'Catálogo'!$U:$U,'Catálogo'!$Q:$Q),0)),"Medidas: "&amp;INDEX('Catálogo'!$R:$R,MATCH($B$3&amp;"|"&amp;200,IF($B$3="TODAS",'Catálogo'!$U:$U,'Catálogo'!$Q:$Q),0))&amp;"  ·  Cód: "&amp;INDEX('Catálogo'!$A:$A,MATCH($B$3&amp;"|"&amp;200,IF($B$3="TODAS",'Catálogo'!$U:$U,'Catálogo'!$Q:$Q),0))),"")</f>
      </c>
      <c r="D205" s="42">
        <f>IFERROR(IF($D$3="Mayor",INDEX('Catálogo'!$O:$O,MATCH($B$3&amp;"|"&amp;200,IF($B$3="TODAS",'Catálogo'!$U:$U,'Catálogo'!$Q:$Q),0)),INDEX('Catálogo'!$N:$N,MATCH($B$3&amp;"|"&amp;200,IF($B$3="TODAS",'Catálogo'!$U:$U,'Catálogo'!$Q:$Q),0))),"")</f>
      </c>
    </row>
  </sheetData>
  <mergeCells count="2">
    <mergeCell ref="A1:D1"/>
    <mergeCell ref="A2:D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0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Medios de pago / Tarjetas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Transferencia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Tarjeta Visa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Tarjeta Mastercard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Tarjeta Crédito 1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Tarjeta Crédito 2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Nequi / Daviplata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Crédito proveedor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</row>
    <row r="16">
      <c r="D16" s="20"/>
      <c r="E16" s="21"/>
      <c r="L16" s="9">
        <f>IF($D15="","",$D15)</f>
      </c>
      <c r="N16" s="20"/>
    </row>
    <row r="17">
      <c r="D17" s="20"/>
      <c r="E17" s="21"/>
      <c r="L17" s="9">
        <f>IF($D16="","",$D16)</f>
      </c>
      <c r="N17" s="20"/>
    </row>
    <row r="18">
      <c r="D18" s="20"/>
      <c r="E18" s="21"/>
      <c r="L18" s="9">
        <f>IF($D17="","",$D17)</f>
      </c>
      <c r="N18" s="20"/>
    </row>
    <row r="19">
      <c r="D19" s="20"/>
      <c r="E19" s="21"/>
      <c r="L19" s="9">
        <f>IF($D18="","",$D18)</f>
      </c>
      <c r="N19" s="20"/>
    </row>
    <row r="20">
      <c r="D20" s="20"/>
      <c r="E20" s="21"/>
      <c r="L20" s="9">
        <f>IF($D19="","",$D19)</f>
      </c>
      <c r="N20" s="20"/>
    </row>
    <row r="21">
      <c r="D21" s="20"/>
      <c r="E21" s="21"/>
      <c r="L21" s="9">
        <f>IF($D20="","",$D20)</f>
      </c>
    </row>
    <row r="22">
      <c r="D22" s="20"/>
      <c r="E22" s="21"/>
      <c r="L22" s="9">
        <f>IF($D21="","",$D21)</f>
      </c>
    </row>
    <row r="23">
      <c r="D23" s="20"/>
      <c r="E23" s="21"/>
      <c r="L23" s="9">
        <f>IF($D22="","",$D22)</f>
      </c>
    </row>
    <row r="24">
      <c r="D24" s="20"/>
      <c r="E24" s="21"/>
      <c r="L24" s="9">
        <f>IF($D23="","",$D23)</f>
      </c>
    </row>
    <row r="25">
      <c r="D25" s="20"/>
      <c r="E25" s="21"/>
      <c r="L25" s="9">
        <f>IF($D24="","",$D24)</f>
      </c>
    </row>
    <row r="26">
      <c r="D26" s="20"/>
      <c r="E26" s="21"/>
      <c r="L26" s="9">
        <f>IF($D25="","",$D25)</f>
      </c>
    </row>
    <row r="27">
      <c r="D27" s="20"/>
      <c r="E27" s="21"/>
      <c r="L27" s="9">
        <f>IF($D26="","",$D26)</f>
      </c>
    </row>
    <row r="28">
      <c r="D28" s="20"/>
      <c r="E28" s="21"/>
      <c r="L28" s="9">
        <f>IF($D27="","",$D27)</f>
      </c>
    </row>
    <row r="29">
      <c r="D29" s="20"/>
      <c r="E29" s="21"/>
      <c r="L29" s="9">
        <f>IF($D28="","",$D28)</f>
      </c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