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Billeteras" sheetId="6" r:id="rId6"/>
    <sheet name="Tarjetas" sheetId="7" r:id="rId7"/>
    <sheet name="Movimientos" sheetId="8" r:id="rId8"/>
    <sheet name="Pagos Tarjeta" sheetId="9" r:id="rId9"/>
    <sheet name="Traslados" sheetId="10" r:id="rId10"/>
    <sheet name="Ajustes" sheetId="11" r:id="rId11"/>
    <sheet name="Préstamos" sheetId="12" r:id="rId12"/>
    <sheet name="Abonos Préstamos" sheetId="13" r:id="rId13"/>
    <sheet name="Inventario" sheetId="14" r:id="rId14"/>
    <sheet name="Clientes" sheetId="15" r:id="rId15"/>
    <sheet name="Factura" sheetId="16" r:id="rId16"/>
    <sheet name="Catálogo Venta" sheetId="17" r:id="rId17"/>
    <sheet name="Config" sheetId="18" r:id="rId18"/>
  </sheets>
  <definedNames>
    <definedName name="_xlnm.Print_Area" localSheetId="15">'Factura'!$A$1:$F$33</definedName>
    <definedName name="_xlnm.Print_Area" localSheetId="16">'Catálogo Venta'!$A$1:$E$120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DEUDA TOTAL EN TARJETAS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SUM('Tarjetas'!$D$3:$D$10)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  <col min="22" max="22" width="14.00" customWidth="1"/>
    <col min="23" max="23" width="13.00" customWidth="1"/>
    <col min="24" max="24" width="14.00" customWidth="1"/>
    <col min="25" max="25" width="30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  <c r="V1" s="1" t="inlineStr">
        <is>
          <t xml:space="preserve">Fecha 1ª Compra</t>
        </is>
      </c>
      <c r="W1" s="1" t="inlineStr">
        <is>
          <t xml:space="preserve">Días en Bodega</t>
        </is>
      </c>
      <c r="X1" s="1" t="inlineStr">
        <is>
          <t xml:space="preserve">Vendidas (total)</t>
        </is>
      </c>
      <c r="Y1" s="1" t="inlineStr">
        <is>
          <t xml:space="preserve">Reabastecer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  <c r="V2" s="14">
        <f>IF($A2="","",IFERROR(IF(COUNTIF('Compras'!$B:$B,$A2)=0,"",MINIFS('Compras'!$A:$A,'Compras'!$B:$B,$A2)),""))</f>
      </c>
      <c r="W2" s="17">
        <f>IF(OR($A2="",$V2=""),"",TODAY()-$V2)</f>
      </c>
      <c r="X2" s="17">
        <f>IF($A2="","",SUMIF('Ventas'!$D:$D,$A2,'Ventas'!$F:$F))</f>
      </c>
      <c r="Y2" s="19">
        <f>IF($A2="","",IF(AND($X2&gt;=3,$W2&lt;&gt;"",$W2&lt;=15),"🔥 Se vende rápido — REABASTECE",IF($K2="Agotado","🔴 Agotado — reabastece",IF($K2="Stock bajo","🟠 Stock bajo","✅ Ok"))))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  <c r="V3" s="14">
        <f>IF($A3="","",IFERROR(IF(COUNTIF('Compras'!$B:$B,$A3)=0,"",MINIFS('Compras'!$A:$A,'Compras'!$B:$B,$A3)),""))</f>
      </c>
      <c r="W3" s="17">
        <f>IF(OR($A3="",$V3=""),"",TODAY()-$V3)</f>
      </c>
      <c r="X3" s="17">
        <f>IF($A3="","",SUMIF('Ventas'!$D:$D,$A3,'Ventas'!$F:$F))</f>
      </c>
      <c r="Y3" s="19">
        <f>IF($A3="","",IF(AND($X3&gt;=3,$W3&lt;&gt;"",$W3&lt;=15),"🔥 Se vende rápido — REABASTECE",IF($K3="Agotado","🔴 Agotado — reabastece",IF($K3="Stock bajo","🟠 Stock bajo","✅ Ok"))))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  <c r="V4" s="14">
        <f>IF($A4="","",IFERROR(IF(COUNTIF('Compras'!$B:$B,$A4)=0,"",MINIFS('Compras'!$A:$A,'Compras'!$B:$B,$A4)),""))</f>
      </c>
      <c r="W4" s="17">
        <f>IF(OR($A4="",$V4=""),"",TODAY()-$V4)</f>
      </c>
      <c r="X4" s="17">
        <f>IF($A4="","",SUMIF('Ventas'!$D:$D,$A4,'Ventas'!$F:$F))</f>
      </c>
      <c r="Y4" s="19">
        <f>IF($A4="","",IF(AND($X4&gt;=3,$W4&lt;&gt;"",$W4&lt;=15),"🔥 Se vende rápido — REABASTECE",IF($K4="Agotado","🔴 Agotado — reabastece",IF($K4="Stock bajo","🟠 Stock bajo","✅ Ok"))))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  <c r="V5" s="14">
        <f>IF($A5="","",IFERROR(IF(COUNTIF('Compras'!$B:$B,$A5)=0,"",MINIFS('Compras'!$A:$A,'Compras'!$B:$B,$A5)),""))</f>
      </c>
      <c r="W5" s="17">
        <f>IF(OR($A5="",$V5=""),"",TODAY()-$V5)</f>
      </c>
      <c r="X5" s="17">
        <f>IF($A5="","",SUMIF('Ventas'!$D:$D,$A5,'Ventas'!$F:$F))</f>
      </c>
      <c r="Y5" s="19">
        <f>IF($A5="","",IF(AND($X5&gt;=3,$W5&lt;&gt;"",$W5&lt;=15),"🔥 Se vende rápido — REABASTECE",IF($K5="Agotado","🔴 Agotado — reabastece",IF($K5="Stock bajo","🟠 Stock bajo","✅ Ok"))))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  <c r="V6" s="14">
        <f>IF($A6="","",IFERROR(IF(COUNTIF('Compras'!$B:$B,$A6)=0,"",MINIFS('Compras'!$A:$A,'Compras'!$B:$B,$A6)),""))</f>
      </c>
      <c r="W6" s="17">
        <f>IF(OR($A6="",$V6=""),"",TODAY()-$V6)</f>
      </c>
      <c r="X6" s="17">
        <f>IF($A6="","",SUMIF('Ventas'!$D:$D,$A6,'Ventas'!$F:$F))</f>
      </c>
      <c r="Y6" s="19">
        <f>IF($A6="","",IF(AND($X6&gt;=3,$W6&lt;&gt;"",$W6&lt;=15),"🔥 Se vende rápido — REABASTECE",IF($K6="Agotado","🔴 Agotado — reabastece",IF($K6="Stock bajo","🟠 Stock bajo","✅ Ok"))))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  <c r="V7" s="14">
        <f>IF($A7="","",IFERROR(IF(COUNTIF('Compras'!$B:$B,$A7)=0,"",MINIFS('Compras'!$A:$A,'Compras'!$B:$B,$A7)),""))</f>
      </c>
      <c r="W7" s="17">
        <f>IF(OR($A7="",$V7=""),"",TODAY()-$V7)</f>
      </c>
      <c r="X7" s="17">
        <f>IF($A7="","",SUMIF('Ventas'!$D:$D,$A7,'Ventas'!$F:$F))</f>
      </c>
      <c r="Y7" s="19">
        <f>IF($A7="","",IF(AND($X7&gt;=3,$W7&lt;&gt;"",$W7&lt;=15),"🔥 Se vende rápido — REABASTECE",IF($K7="Agotado","🔴 Agotado — reabastece",IF($K7="Stock bajo","🟠 Stock bajo","✅ Ok"))))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  <c r="V8" s="14">
        <f>IF($A8="","",IFERROR(IF(COUNTIF('Compras'!$B:$B,$A8)=0,"",MINIFS('Compras'!$A:$A,'Compras'!$B:$B,$A8)),""))</f>
      </c>
      <c r="W8" s="17">
        <f>IF(OR($A8="",$V8=""),"",TODAY()-$V8)</f>
      </c>
      <c r="X8" s="17">
        <f>IF($A8="","",SUMIF('Ventas'!$D:$D,$A8,'Ventas'!$F:$F))</f>
      </c>
      <c r="Y8" s="19">
        <f>IF($A8="","",IF(AND($X8&gt;=3,$W8&lt;&gt;"",$W8&lt;=15),"🔥 Se vende rápido — REABASTECE",IF($K8="Agotado","🔴 Agotado — reabastece",IF($K8="Stock bajo","🟠 Stock bajo","✅ Ok"))))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  <c r="V9" s="14">
        <f>IF($A9="","",IFERROR(IF(COUNTIF('Compras'!$B:$B,$A9)=0,"",MINIFS('Compras'!$A:$A,'Compras'!$B:$B,$A9)),""))</f>
      </c>
      <c r="W9" s="17">
        <f>IF(OR($A9="",$V9=""),"",TODAY()-$V9)</f>
      </c>
      <c r="X9" s="17">
        <f>IF($A9="","",SUMIF('Ventas'!$D:$D,$A9,'Ventas'!$F:$F))</f>
      </c>
      <c r="Y9" s="19">
        <f>IF($A9="","",IF(AND($X9&gt;=3,$W9&lt;&gt;"",$W9&lt;=15),"🔥 Se vende rápido — REABASTECE",IF($K9="Agotado","🔴 Agotado — reabastece",IF($K9="Stock bajo","🟠 Stock bajo","✅ Ok"))))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  <c r="V10" s="14">
        <f>IF($A10="","",IFERROR(IF(COUNTIF('Compras'!$B:$B,$A10)=0,"",MINIFS('Compras'!$A:$A,'Compras'!$B:$B,$A10)),""))</f>
      </c>
      <c r="W10" s="17">
        <f>IF(OR($A10="",$V10=""),"",TODAY()-$V10)</f>
      </c>
      <c r="X10" s="17">
        <f>IF($A10="","",SUMIF('Ventas'!$D:$D,$A10,'Ventas'!$F:$F))</f>
      </c>
      <c r="Y10" s="19">
        <f>IF($A10="","",IF(AND($X10&gt;=3,$W10&lt;&gt;"",$W10&lt;=15),"🔥 Se vende rápido — REABASTECE",IF($K10="Agotado","🔴 Agotado — reabastece",IF($K10="Stock bajo","🟠 Stock bajo","✅ Ok"))))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  <c r="V11" s="14">
        <f>IF($A11="","",IFERROR(IF(COUNTIF('Compras'!$B:$B,$A11)=0,"",MINIFS('Compras'!$A:$A,'Compras'!$B:$B,$A11)),""))</f>
      </c>
      <c r="W11" s="17">
        <f>IF(OR($A11="",$V11=""),"",TODAY()-$V11)</f>
      </c>
      <c r="X11" s="17">
        <f>IF($A11="","",SUMIF('Ventas'!$D:$D,$A11,'Ventas'!$F:$F))</f>
      </c>
      <c r="Y11" s="19">
        <f>IF($A11="","",IF(AND($X11&gt;=3,$W11&lt;&gt;"",$W11&lt;=15),"🔥 Se vende rápido — REABASTECE",IF($K11="Agotado","🔴 Agotado — reabastece",IF($K11="Stock bajo","🟠 Stock bajo","✅ Ok"))))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  <c r="V12" s="14">
        <f>IF($A12="","",IFERROR(IF(COUNTIF('Compras'!$B:$B,$A12)=0,"",MINIFS('Compras'!$A:$A,'Compras'!$B:$B,$A12)),""))</f>
      </c>
      <c r="W12" s="17">
        <f>IF(OR($A12="",$V12=""),"",TODAY()-$V12)</f>
      </c>
      <c r="X12" s="17">
        <f>IF($A12="","",SUMIF('Ventas'!$D:$D,$A12,'Ventas'!$F:$F))</f>
      </c>
      <c r="Y12" s="19">
        <f>IF($A12="","",IF(AND($X12&gt;=3,$W12&lt;&gt;"",$W12&lt;=15),"🔥 Se vende rápido — REABASTECE",IF($K12="Agotado","🔴 Agotado — reabastece",IF($K12="Stock bajo","🟠 Stock bajo","✅ Ok"))))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  <c r="V13" s="14">
        <f>IF($A13="","",IFERROR(IF(COUNTIF('Compras'!$B:$B,$A13)=0,"",MINIFS('Compras'!$A:$A,'Compras'!$B:$B,$A13)),""))</f>
      </c>
      <c r="W13" s="17">
        <f>IF(OR($A13="",$V13=""),"",TODAY()-$V13)</f>
      </c>
      <c r="X13" s="17">
        <f>IF($A13="","",SUMIF('Ventas'!$D:$D,$A13,'Ventas'!$F:$F))</f>
      </c>
      <c r="Y13" s="19">
        <f>IF($A13="","",IF(AND($X13&gt;=3,$W13&lt;&gt;"",$W13&lt;=15),"🔥 Se vende rápido — REABASTECE",IF($K13="Agotado","🔴 Agotado — reabastece",IF($K13="Stock bajo","🟠 Stock bajo","✅ Ok"))))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  <c r="V14" s="14">
        <f>IF($A14="","",IFERROR(IF(COUNTIF('Compras'!$B:$B,$A14)=0,"",MINIFS('Compras'!$A:$A,'Compras'!$B:$B,$A14)),""))</f>
      </c>
      <c r="W14" s="17">
        <f>IF(OR($A14="",$V14=""),"",TODAY()-$V14)</f>
      </c>
      <c r="X14" s="17">
        <f>IF($A14="","",SUMIF('Ventas'!$D:$D,$A14,'Ventas'!$F:$F))</f>
      </c>
      <c r="Y14" s="19">
        <f>IF($A14="","",IF(AND($X14&gt;=3,$W14&lt;&gt;"",$W14&lt;=15),"🔥 Se vende rápido — REABASTECE",IF($K14="Agotado","🔴 Agotado — reabastece",IF($K14="Stock bajo","🟠 Stock bajo","✅ Ok"))))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  <c r="V15" s="14">
        <f>IF($A15="","",IFERROR(IF(COUNTIF('Compras'!$B:$B,$A15)=0,"",MINIFS('Compras'!$A:$A,'Compras'!$B:$B,$A15)),""))</f>
      </c>
      <c r="W15" s="17">
        <f>IF(OR($A15="",$V15=""),"",TODAY()-$V15)</f>
      </c>
      <c r="X15" s="17">
        <f>IF($A15="","",SUMIF('Ventas'!$D:$D,$A15,'Ventas'!$F:$F))</f>
      </c>
      <c r="Y15" s="19">
        <f>IF($A15="","",IF(AND($X15&gt;=3,$W15&lt;&gt;"",$W15&lt;=15),"🔥 Se vende rápido — REABASTECE",IF($K15="Agotado","🔴 Agotado — reabastece",IF($K15="Stock bajo","🟠 Stock bajo","✅ Ok"))))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  <c r="V16" s="14">
        <f>IF($A16="","",IFERROR(IF(COUNTIF('Compras'!$B:$B,$A16)=0,"",MINIFS('Compras'!$A:$A,'Compras'!$B:$B,$A16)),""))</f>
      </c>
      <c r="W16" s="17">
        <f>IF(OR($A16="",$V16=""),"",TODAY()-$V16)</f>
      </c>
      <c r="X16" s="17">
        <f>IF($A16="","",SUMIF('Ventas'!$D:$D,$A16,'Ventas'!$F:$F))</f>
      </c>
      <c r="Y16" s="19">
        <f>IF($A16="","",IF(AND($X16&gt;=3,$W16&lt;&gt;"",$W16&lt;=15),"🔥 Se vende rápido — REABASTECE",IF($K16="Agotado","🔴 Agotado — reabastece",IF($K16="Stock bajo","🟠 Stock bajo","✅ Ok"))))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  <c r="V17" s="14">
        <f>IF($A17="","",IFERROR(IF(COUNTIF('Compras'!$B:$B,$A17)=0,"",MINIFS('Compras'!$A:$A,'Compras'!$B:$B,$A17)),""))</f>
      </c>
      <c r="W17" s="17">
        <f>IF(OR($A17="",$V17=""),"",TODAY()-$V17)</f>
      </c>
      <c r="X17" s="17">
        <f>IF($A17="","",SUMIF('Ventas'!$D:$D,$A17,'Ventas'!$F:$F))</f>
      </c>
      <c r="Y17" s="19">
        <f>IF($A17="","",IF(AND($X17&gt;=3,$W17&lt;&gt;"",$W17&lt;=15),"🔥 Se vende rápido — REABASTECE",IF($K17="Agotado","🔴 Agotado — reabastece",IF($K17="Stock bajo","🟠 Stock bajo","✅ Ok"))))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  <c r="V18" s="14">
        <f>IF($A18="","",IFERROR(IF(COUNTIF('Compras'!$B:$B,$A18)=0,"",MINIFS('Compras'!$A:$A,'Compras'!$B:$B,$A18)),""))</f>
      </c>
      <c r="W18" s="17">
        <f>IF(OR($A18="",$V18=""),"",TODAY()-$V18)</f>
      </c>
      <c r="X18" s="17">
        <f>IF($A18="","",SUMIF('Ventas'!$D:$D,$A18,'Ventas'!$F:$F))</f>
      </c>
      <c r="Y18" s="19">
        <f>IF($A18="","",IF(AND($X18&gt;=3,$W18&lt;&gt;"",$W18&lt;=15),"🔥 Se vende rápido — REABASTECE",IF($K18="Agotado","🔴 Agotado — reabastece",IF($K18="Stock bajo","🟠 Stock bajo","✅ Ok"))))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  <c r="V19" s="14">
        <f>IF($A19="","",IFERROR(IF(COUNTIF('Compras'!$B:$B,$A19)=0,"",MINIFS('Compras'!$A:$A,'Compras'!$B:$B,$A19)),""))</f>
      </c>
      <c r="W19" s="17">
        <f>IF(OR($A19="",$V19=""),"",TODAY()-$V19)</f>
      </c>
      <c r="X19" s="17">
        <f>IF($A19="","",SUMIF('Ventas'!$D:$D,$A19,'Ventas'!$F:$F))</f>
      </c>
      <c r="Y19" s="19">
        <f>IF($A19="","",IF(AND($X19&gt;=3,$W19&lt;&gt;"",$W19&lt;=15),"🔥 Se vende rápido — REABASTECE",IF($K19="Agotado","🔴 Agotado — reabastece",IF($K19="Stock bajo","🟠 Stock bajo","✅ Ok"))))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  <c r="V20" s="14">
        <f>IF($A20="","",IFERROR(IF(COUNTIF('Compras'!$B:$B,$A20)=0,"",MINIFS('Compras'!$A:$A,'Compras'!$B:$B,$A20)),""))</f>
      </c>
      <c r="W20" s="17">
        <f>IF(OR($A20="",$V20=""),"",TODAY()-$V20)</f>
      </c>
      <c r="X20" s="17">
        <f>IF($A20="","",SUMIF('Ventas'!$D:$D,$A20,'Ventas'!$F:$F))</f>
      </c>
      <c r="Y20" s="19">
        <f>IF($A20="","",IF(AND($X20&gt;=3,$W20&lt;&gt;"",$W20&lt;=15),"🔥 Se vende rápido — REABASTECE",IF($K20="Agotado","🔴 Agotado — reabastece",IF($K20="Stock bajo","🟠 Stock bajo","✅ Ok"))))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  <c r="V21" s="14">
        <f>IF($A21="","",IFERROR(IF(COUNTIF('Compras'!$B:$B,$A21)=0,"",MINIFS('Compras'!$A:$A,'Compras'!$B:$B,$A21)),""))</f>
      </c>
      <c r="W21" s="17">
        <f>IF(OR($A21="",$V21=""),"",TODAY()-$V21)</f>
      </c>
      <c r="X21" s="17">
        <f>IF($A21="","",SUMIF('Ventas'!$D:$D,$A21,'Ventas'!$F:$F))</f>
      </c>
      <c r="Y21" s="19">
        <f>IF($A21="","",IF(AND($X21&gt;=3,$W21&lt;&gt;"",$W21&lt;=15),"🔥 Se vende rápido — REABASTECE",IF($K21="Agotado","🔴 Agotado — reabastece",IF($K21="Stock bajo","🟠 Stock bajo","✅ Ok"))))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  <c r="V22" s="14">
        <f>IF($A22="","",IFERROR(IF(COUNTIF('Compras'!$B:$B,$A22)=0,"",MINIFS('Compras'!$A:$A,'Compras'!$B:$B,$A22)),""))</f>
      </c>
      <c r="W22" s="17">
        <f>IF(OR($A22="",$V22=""),"",TODAY()-$V22)</f>
      </c>
      <c r="X22" s="17">
        <f>IF($A22="","",SUMIF('Ventas'!$D:$D,$A22,'Ventas'!$F:$F))</f>
      </c>
      <c r="Y22" s="19">
        <f>IF($A22="","",IF(AND($X22&gt;=3,$W22&lt;&gt;"",$W22&lt;=15),"🔥 Se vende rápido — REABASTECE",IF($K22="Agotado","🔴 Agotado — reabastece",IF($K22="Stock bajo","🟠 Stock bajo","✅ Ok"))))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  <c r="V23" s="14">
        <f>IF($A23="","",IFERROR(IF(COUNTIF('Compras'!$B:$B,$A23)=0,"",MINIFS('Compras'!$A:$A,'Compras'!$B:$B,$A23)),""))</f>
      </c>
      <c r="W23" s="17">
        <f>IF(OR($A23="",$V23=""),"",TODAY()-$V23)</f>
      </c>
      <c r="X23" s="17">
        <f>IF($A23="","",SUMIF('Ventas'!$D:$D,$A23,'Ventas'!$F:$F))</f>
      </c>
      <c r="Y23" s="19">
        <f>IF($A23="","",IF(AND($X23&gt;=3,$W23&lt;&gt;"",$W23&lt;=15),"🔥 Se vende rápido — REABASTECE",IF($K23="Agotado","🔴 Agotado — reabastece",IF($K23="Stock bajo","🟠 Stock bajo","✅ Ok"))))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  <c r="V24" s="14">
        <f>IF($A24="","",IFERROR(IF(COUNTIF('Compras'!$B:$B,$A24)=0,"",MINIFS('Compras'!$A:$A,'Compras'!$B:$B,$A24)),""))</f>
      </c>
      <c r="W24" s="17">
        <f>IF(OR($A24="",$V24=""),"",TODAY()-$V24)</f>
      </c>
      <c r="X24" s="17">
        <f>IF($A24="","",SUMIF('Ventas'!$D:$D,$A24,'Ventas'!$F:$F))</f>
      </c>
      <c r="Y24" s="19">
        <f>IF($A24="","",IF(AND($X24&gt;=3,$W24&lt;&gt;"",$W24&lt;=15),"🔥 Se vende rápido — REABASTECE",IF($K24="Agotado","🔴 Agotado — reabastece",IF($K24="Stock bajo","🟠 Stock bajo","✅ Ok"))))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  <c r="V25" s="14">
        <f>IF($A25="","",IFERROR(IF(COUNTIF('Compras'!$B:$B,$A25)=0,"",MINIFS('Compras'!$A:$A,'Compras'!$B:$B,$A25)),""))</f>
      </c>
      <c r="W25" s="17">
        <f>IF(OR($A25="",$V25=""),"",TODAY()-$V25)</f>
      </c>
      <c r="X25" s="17">
        <f>IF($A25="","",SUMIF('Ventas'!$D:$D,$A25,'Ventas'!$F:$F))</f>
      </c>
      <c r="Y25" s="19">
        <f>IF($A25="","",IF(AND($X25&gt;=3,$W25&lt;&gt;"",$W25&lt;=15),"🔥 Se vende rápido — REABASTECE",IF($K25="Agotado","🔴 Agotado — reabastece",IF($K25="Stock bajo","🟠 Stock bajo","✅ Ok"))))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  <c r="V26" s="14">
        <f>IF($A26="","",IFERROR(IF(COUNTIF('Compras'!$B:$B,$A26)=0,"",MINIFS('Compras'!$A:$A,'Compras'!$B:$B,$A26)),""))</f>
      </c>
      <c r="W26" s="17">
        <f>IF(OR($A26="",$V26=""),"",TODAY()-$V26)</f>
      </c>
      <c r="X26" s="17">
        <f>IF($A26="","",SUMIF('Ventas'!$D:$D,$A26,'Ventas'!$F:$F))</f>
      </c>
      <c r="Y26" s="19">
        <f>IF($A26="","",IF(AND($X26&gt;=3,$W26&lt;&gt;"",$W26&lt;=15),"🔥 Se vende rápido — REABASTECE",IF($K26="Agotado","🔴 Agotado — reabastece",IF($K26="Stock bajo","🟠 Stock bajo","✅ Ok"))))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  <c r="V27" s="14">
        <f>IF($A27="","",IFERROR(IF(COUNTIF('Compras'!$B:$B,$A27)=0,"",MINIFS('Compras'!$A:$A,'Compras'!$B:$B,$A27)),""))</f>
      </c>
      <c r="W27" s="17">
        <f>IF(OR($A27="",$V27=""),"",TODAY()-$V27)</f>
      </c>
      <c r="X27" s="17">
        <f>IF($A27="","",SUMIF('Ventas'!$D:$D,$A27,'Ventas'!$F:$F))</f>
      </c>
      <c r="Y27" s="19">
        <f>IF($A27="","",IF(AND($X27&gt;=3,$W27&lt;&gt;"",$W27&lt;=15),"🔥 Se vende rápido — REABASTECE",IF($K27="Agotado","🔴 Agotado — reabastece",IF($K27="Stock bajo","🟠 Stock bajo","✅ Ok"))))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  <c r="V28" s="14">
        <f>IF($A28="","",IFERROR(IF(COUNTIF('Compras'!$B:$B,$A28)=0,"",MINIFS('Compras'!$A:$A,'Compras'!$B:$B,$A28)),""))</f>
      </c>
      <c r="W28" s="17">
        <f>IF(OR($A28="",$V28=""),"",TODAY()-$V28)</f>
      </c>
      <c r="X28" s="17">
        <f>IF($A28="","",SUMIF('Ventas'!$D:$D,$A28,'Ventas'!$F:$F))</f>
      </c>
      <c r="Y28" s="19">
        <f>IF($A28="","",IF(AND($X28&gt;=3,$W28&lt;&gt;"",$W28&lt;=15),"🔥 Se vende rápido — REABASTECE",IF($K28="Agotado","🔴 Agotado — reabastece",IF($K28="Stock bajo","🟠 Stock bajo","✅ Ok"))))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  <c r="V29" s="14">
        <f>IF($A29="","",IFERROR(IF(COUNTIF('Compras'!$B:$B,$A29)=0,"",MINIFS('Compras'!$A:$A,'Compras'!$B:$B,$A29)),""))</f>
      </c>
      <c r="W29" s="17">
        <f>IF(OR($A29="",$V29=""),"",TODAY()-$V29)</f>
      </c>
      <c r="X29" s="17">
        <f>IF($A29="","",SUMIF('Ventas'!$D:$D,$A29,'Ventas'!$F:$F))</f>
      </c>
      <c r="Y29" s="19">
        <f>IF($A29="","",IF(AND($X29&gt;=3,$W29&lt;&gt;"",$W29&lt;=15),"🔥 Se vende rápido — REABASTECE",IF($K29="Agotado","🔴 Agotado — reabastece",IF($K29="Stock bajo","🟠 Stock bajo","✅ Ok"))))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  <c r="V30" s="14">
        <f>IF($A30="","",IFERROR(IF(COUNTIF('Compras'!$B:$B,$A30)=0,"",MINIFS('Compras'!$A:$A,'Compras'!$B:$B,$A30)),""))</f>
      </c>
      <c r="W30" s="17">
        <f>IF(OR($A30="",$V30=""),"",TODAY()-$V30)</f>
      </c>
      <c r="X30" s="17">
        <f>IF($A30="","",SUMIF('Ventas'!$D:$D,$A30,'Ventas'!$F:$F))</f>
      </c>
      <c r="Y30" s="19">
        <f>IF($A30="","",IF(AND($X30&gt;=3,$W30&lt;&gt;"",$W30&lt;=15),"🔥 Se vende rápido — REABASTECE",IF($K30="Agotado","🔴 Agotado — reabastece",IF($K30="Stock bajo","🟠 Stock bajo","✅ Ok"))))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  <c r="V31" s="14">
        <f>IF($A31="","",IFERROR(IF(COUNTIF('Compras'!$B:$B,$A31)=0,"",MINIFS('Compras'!$A:$A,'Compras'!$B:$B,$A31)),""))</f>
      </c>
      <c r="W31" s="17">
        <f>IF(OR($A31="",$V31=""),"",TODAY()-$V31)</f>
      </c>
      <c r="X31" s="17">
        <f>IF($A31="","",SUMIF('Ventas'!$D:$D,$A31,'Ventas'!$F:$F))</f>
      </c>
      <c r="Y31" s="19">
        <f>IF($A31="","",IF(AND($X31&gt;=3,$W31&lt;&gt;"",$W31&lt;=15),"🔥 Se vende rápido — REABASTECE",IF($K31="Agotado","🔴 Agotado — reabastece",IF($K31="Stock bajo","🟠 Stock bajo","✅ Ok"))))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  <c r="V32" s="14">
        <f>IF($A32="","",IFERROR(IF(COUNTIF('Compras'!$B:$B,$A32)=0,"",MINIFS('Compras'!$A:$A,'Compras'!$B:$B,$A32)),""))</f>
      </c>
      <c r="W32" s="17">
        <f>IF(OR($A32="",$V32=""),"",TODAY()-$V32)</f>
      </c>
      <c r="X32" s="17">
        <f>IF($A32="","",SUMIF('Ventas'!$D:$D,$A32,'Ventas'!$F:$F))</f>
      </c>
      <c r="Y32" s="19">
        <f>IF($A32="","",IF(AND($X32&gt;=3,$W32&lt;&gt;"",$W32&lt;=15),"🔥 Se vende rápido — REABASTECE",IF($K32="Agotado","🔴 Agotado — reabastece",IF($K32="Stock bajo","🟠 Stock bajo","✅ Ok"))))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  <c r="V33" s="14">
        <f>IF($A33="","",IFERROR(IF(COUNTIF('Compras'!$B:$B,$A33)=0,"",MINIFS('Compras'!$A:$A,'Compras'!$B:$B,$A33)),""))</f>
      </c>
      <c r="W33" s="17">
        <f>IF(OR($A33="",$V33=""),"",TODAY()-$V33)</f>
      </c>
      <c r="X33" s="17">
        <f>IF($A33="","",SUMIF('Ventas'!$D:$D,$A33,'Ventas'!$F:$F))</f>
      </c>
      <c r="Y33" s="19">
        <f>IF($A33="","",IF(AND($X33&gt;=3,$W33&lt;&gt;"",$W33&lt;=15),"🔥 Se vende rápido — REABASTECE",IF($K33="Agotado","🔴 Agotado — reabastece",IF($K33="Stock bajo","🟠 Stock bajo","✅ Ok"))))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  <c r="V34" s="14">
        <f>IF($A34="","",IFERROR(IF(COUNTIF('Compras'!$B:$B,$A34)=0,"",MINIFS('Compras'!$A:$A,'Compras'!$B:$B,$A34)),""))</f>
      </c>
      <c r="W34" s="17">
        <f>IF(OR($A34="",$V34=""),"",TODAY()-$V34)</f>
      </c>
      <c r="X34" s="17">
        <f>IF($A34="","",SUMIF('Ventas'!$D:$D,$A34,'Ventas'!$F:$F))</f>
      </c>
      <c r="Y34" s="19">
        <f>IF($A34="","",IF(AND($X34&gt;=3,$W34&lt;&gt;"",$W34&lt;=15),"🔥 Se vende rápido — REABASTECE",IF($K34="Agotado","🔴 Agotado — reabastece",IF($K34="Stock bajo","🟠 Stock bajo","✅ Ok"))))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  <c r="V35" s="14">
        <f>IF($A35="","",IFERROR(IF(COUNTIF('Compras'!$B:$B,$A35)=0,"",MINIFS('Compras'!$A:$A,'Compras'!$B:$B,$A35)),""))</f>
      </c>
      <c r="W35" s="17">
        <f>IF(OR($A35="",$V35=""),"",TODAY()-$V35)</f>
      </c>
      <c r="X35" s="17">
        <f>IF($A35="","",SUMIF('Ventas'!$D:$D,$A35,'Ventas'!$F:$F))</f>
      </c>
      <c r="Y35" s="19">
        <f>IF($A35="","",IF(AND($X35&gt;=3,$W35&lt;&gt;"",$W35&lt;=15),"🔥 Se vende rápido — REABASTECE",IF($K35="Agotado","🔴 Agotado — reabastece",IF($K35="Stock bajo","🟠 Stock bajo","✅ Ok"))))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  <c r="V36" s="14">
        <f>IF($A36="","",IFERROR(IF(COUNTIF('Compras'!$B:$B,$A36)=0,"",MINIFS('Compras'!$A:$A,'Compras'!$B:$B,$A36)),""))</f>
      </c>
      <c r="W36" s="17">
        <f>IF(OR($A36="",$V36=""),"",TODAY()-$V36)</f>
      </c>
      <c r="X36" s="17">
        <f>IF($A36="","",SUMIF('Ventas'!$D:$D,$A36,'Ventas'!$F:$F))</f>
      </c>
      <c r="Y36" s="19">
        <f>IF($A36="","",IF(AND($X36&gt;=3,$W36&lt;&gt;"",$W36&lt;=15),"🔥 Se vende rápido — REABASTECE",IF($K36="Agotado","🔴 Agotado — reabastece",IF($K36="Stock bajo","🟠 Stock bajo","✅ Ok"))))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  <c r="V37" s="14">
        <f>IF($A37="","",IFERROR(IF(COUNTIF('Compras'!$B:$B,$A37)=0,"",MINIFS('Compras'!$A:$A,'Compras'!$B:$B,$A37)),""))</f>
      </c>
      <c r="W37" s="17">
        <f>IF(OR($A37="",$V37=""),"",TODAY()-$V37)</f>
      </c>
      <c r="X37" s="17">
        <f>IF($A37="","",SUMIF('Ventas'!$D:$D,$A37,'Ventas'!$F:$F))</f>
      </c>
      <c r="Y37" s="19">
        <f>IF($A37="","",IF(AND($X37&gt;=3,$W37&lt;&gt;"",$W37&lt;=15),"🔥 Se vende rápido — REABASTECE",IF($K37="Agotado","🔴 Agotado — reabastece",IF($K37="Stock bajo","🟠 Stock bajo","✅ Ok"))))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  <c r="V38" s="14">
        <f>IF($A38="","",IFERROR(IF(COUNTIF('Compras'!$B:$B,$A38)=0,"",MINIFS('Compras'!$A:$A,'Compras'!$B:$B,$A38)),""))</f>
      </c>
      <c r="W38" s="17">
        <f>IF(OR($A38="",$V38=""),"",TODAY()-$V38)</f>
      </c>
      <c r="X38" s="17">
        <f>IF($A38="","",SUMIF('Ventas'!$D:$D,$A38,'Ventas'!$F:$F))</f>
      </c>
      <c r="Y38" s="19">
        <f>IF($A38="","",IF(AND($X38&gt;=3,$W38&lt;&gt;"",$W38&lt;=15),"🔥 Se vende rápido — REABASTECE",IF($K38="Agotado","🔴 Agotado — reabastece",IF($K38="Stock bajo","🟠 Stock bajo","✅ Ok"))))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  <c r="V39" s="14">
        <f>IF($A39="","",IFERROR(IF(COUNTIF('Compras'!$B:$B,$A39)=0,"",MINIFS('Compras'!$A:$A,'Compras'!$B:$B,$A39)),""))</f>
      </c>
      <c r="W39" s="17">
        <f>IF(OR($A39="",$V39=""),"",TODAY()-$V39)</f>
      </c>
      <c r="X39" s="17">
        <f>IF($A39="","",SUMIF('Ventas'!$D:$D,$A39,'Ventas'!$F:$F))</f>
      </c>
      <c r="Y39" s="19">
        <f>IF($A39="","",IF(AND($X39&gt;=3,$W39&lt;&gt;"",$W39&lt;=15),"🔥 Se vende rápido — REABASTECE",IF($K39="Agotado","🔴 Agotado — reabastece",IF($K39="Stock bajo","🟠 Stock bajo","✅ Ok"))))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  <c r="V40" s="14">
        <f>IF($A40="","",IFERROR(IF(COUNTIF('Compras'!$B:$B,$A40)=0,"",MINIFS('Compras'!$A:$A,'Compras'!$B:$B,$A40)),""))</f>
      </c>
      <c r="W40" s="17">
        <f>IF(OR($A40="",$V40=""),"",TODAY()-$V40)</f>
      </c>
      <c r="X40" s="17">
        <f>IF($A40="","",SUMIF('Ventas'!$D:$D,$A40,'Ventas'!$F:$F))</f>
      </c>
      <c r="Y40" s="19">
        <f>IF($A40="","",IF(AND($X40&gt;=3,$W40&lt;&gt;"",$W40&lt;=15),"🔥 Se vende rápido — REABASTECE",IF($K40="Agotado","🔴 Agotado — reabastece",IF($K40="Stock bajo","🟠 Stock bajo","✅ Ok"))))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  <c r="V41" s="14">
        <f>IF($A41="","",IFERROR(IF(COUNTIF('Compras'!$B:$B,$A41)=0,"",MINIFS('Compras'!$A:$A,'Compras'!$B:$B,$A41)),""))</f>
      </c>
      <c r="W41" s="17">
        <f>IF(OR($A41="",$V41=""),"",TODAY()-$V41)</f>
      </c>
      <c r="X41" s="17">
        <f>IF($A41="","",SUMIF('Ventas'!$D:$D,$A41,'Ventas'!$F:$F))</f>
      </c>
      <c r="Y41" s="19">
        <f>IF($A41="","",IF(AND($X41&gt;=3,$W41&lt;&gt;"",$W41&lt;=15),"🔥 Se vende rápido — REABASTECE",IF($K41="Agotado","🔴 Agotado — reabastece",IF($K41="Stock bajo","🟠 Stock bajo","✅ Ok"))))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  <c r="V42" s="14">
        <f>IF($A42="","",IFERROR(IF(COUNTIF('Compras'!$B:$B,$A42)=0,"",MINIFS('Compras'!$A:$A,'Compras'!$B:$B,$A42)),""))</f>
      </c>
      <c r="W42" s="17">
        <f>IF(OR($A42="",$V42=""),"",TODAY()-$V42)</f>
      </c>
      <c r="X42" s="17">
        <f>IF($A42="","",SUMIF('Ventas'!$D:$D,$A42,'Ventas'!$F:$F))</f>
      </c>
      <c r="Y42" s="19">
        <f>IF($A42="","",IF(AND($X42&gt;=3,$W42&lt;&gt;"",$W42&lt;=15),"🔥 Se vende rápido — REABASTECE",IF($K42="Agotado","🔴 Agotado — reabastece",IF($K42="Stock bajo","🟠 Stock bajo","✅ Ok"))))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  <c r="V43" s="14">
        <f>IF($A43="","",IFERROR(IF(COUNTIF('Compras'!$B:$B,$A43)=0,"",MINIFS('Compras'!$A:$A,'Compras'!$B:$B,$A43)),""))</f>
      </c>
      <c r="W43" s="17">
        <f>IF(OR($A43="",$V43=""),"",TODAY()-$V43)</f>
      </c>
      <c r="X43" s="17">
        <f>IF($A43="","",SUMIF('Ventas'!$D:$D,$A43,'Ventas'!$F:$F))</f>
      </c>
      <c r="Y43" s="19">
        <f>IF($A43="","",IF(AND($X43&gt;=3,$W43&lt;&gt;"",$W43&lt;=15),"🔥 Se vende rápido — REABASTECE",IF($K43="Agotado","🔴 Agotado — reabastece",IF($K43="Stock bajo","🟠 Stock bajo","✅ Ok"))))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  <c r="V44" s="14">
        <f>IF($A44="","",IFERROR(IF(COUNTIF('Compras'!$B:$B,$A44)=0,"",MINIFS('Compras'!$A:$A,'Compras'!$B:$B,$A44)),""))</f>
      </c>
      <c r="W44" s="17">
        <f>IF(OR($A44="",$V44=""),"",TODAY()-$V44)</f>
      </c>
      <c r="X44" s="17">
        <f>IF($A44="","",SUMIF('Ventas'!$D:$D,$A44,'Ventas'!$F:$F))</f>
      </c>
      <c r="Y44" s="19">
        <f>IF($A44="","",IF(AND($X44&gt;=3,$W44&lt;&gt;"",$W44&lt;=15),"🔥 Se vende rápido — REABASTECE",IF($K44="Agotado","🔴 Agotado — reabastece",IF($K44="Stock bajo","🟠 Stock bajo","✅ Ok"))))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  <c r="V45" s="14">
        <f>IF($A45="","",IFERROR(IF(COUNTIF('Compras'!$B:$B,$A45)=0,"",MINIFS('Compras'!$A:$A,'Compras'!$B:$B,$A45)),""))</f>
      </c>
      <c r="W45" s="17">
        <f>IF(OR($A45="",$V45=""),"",TODAY()-$V45)</f>
      </c>
      <c r="X45" s="17">
        <f>IF($A45="","",SUMIF('Ventas'!$D:$D,$A45,'Ventas'!$F:$F))</f>
      </c>
      <c r="Y45" s="19">
        <f>IF($A45="","",IF(AND($X45&gt;=3,$W45&lt;&gt;"",$W45&lt;=15),"🔥 Se vende rápido — REABASTECE",IF($K45="Agotado","🔴 Agotado — reabastece",IF($K45="Stock bajo","🟠 Stock bajo","✅ Ok"))))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  <c r="V46" s="14">
        <f>IF($A46="","",IFERROR(IF(COUNTIF('Compras'!$B:$B,$A46)=0,"",MINIFS('Compras'!$A:$A,'Compras'!$B:$B,$A46)),""))</f>
      </c>
      <c r="W46" s="17">
        <f>IF(OR($A46="",$V46=""),"",TODAY()-$V46)</f>
      </c>
      <c r="X46" s="17">
        <f>IF($A46="","",SUMIF('Ventas'!$D:$D,$A46,'Ventas'!$F:$F))</f>
      </c>
      <c r="Y46" s="19">
        <f>IF($A46="","",IF(AND($X46&gt;=3,$W46&lt;&gt;"",$W46&lt;=15),"🔥 Se vende rápido — REABASTECE",IF($K46="Agotado","🔴 Agotado — reabastece",IF($K46="Stock bajo","🟠 Stock bajo","✅ Ok"))))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  <c r="V47" s="14">
        <f>IF($A47="","",IFERROR(IF(COUNTIF('Compras'!$B:$B,$A47)=0,"",MINIFS('Compras'!$A:$A,'Compras'!$B:$B,$A47)),""))</f>
      </c>
      <c r="W47" s="17">
        <f>IF(OR($A47="",$V47=""),"",TODAY()-$V47)</f>
      </c>
      <c r="X47" s="17">
        <f>IF($A47="","",SUMIF('Ventas'!$D:$D,$A47,'Ventas'!$F:$F))</f>
      </c>
      <c r="Y47" s="19">
        <f>IF($A47="","",IF(AND($X47&gt;=3,$W47&lt;&gt;"",$W47&lt;=15),"🔥 Se vende rápido — REABASTECE",IF($K47="Agotado","🔴 Agotado — reabastece",IF($K47="Stock bajo","🟠 Stock bajo","✅ Ok"))))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  <c r="V48" s="14">
        <f>IF($A48="","",IFERROR(IF(COUNTIF('Compras'!$B:$B,$A48)=0,"",MINIFS('Compras'!$A:$A,'Compras'!$B:$B,$A48)),""))</f>
      </c>
      <c r="W48" s="17">
        <f>IF(OR($A48="",$V48=""),"",TODAY()-$V48)</f>
      </c>
      <c r="X48" s="17">
        <f>IF($A48="","",SUMIF('Ventas'!$D:$D,$A48,'Ventas'!$F:$F))</f>
      </c>
      <c r="Y48" s="19">
        <f>IF($A48="","",IF(AND($X48&gt;=3,$W48&lt;&gt;"",$W48&lt;=15),"🔥 Se vende rápido — REABASTECE",IF($K48="Agotado","🔴 Agotado — reabastece",IF($K48="Stock bajo","🟠 Stock bajo","✅ Ok"))))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  <c r="V49" s="14">
        <f>IF($A49="","",IFERROR(IF(COUNTIF('Compras'!$B:$B,$A49)=0,"",MINIFS('Compras'!$A:$A,'Compras'!$B:$B,$A49)),""))</f>
      </c>
      <c r="W49" s="17">
        <f>IF(OR($A49="",$V49=""),"",TODAY()-$V49)</f>
      </c>
      <c r="X49" s="17">
        <f>IF($A49="","",SUMIF('Ventas'!$D:$D,$A49,'Ventas'!$F:$F))</f>
      </c>
      <c r="Y49" s="19">
        <f>IF($A49="","",IF(AND($X49&gt;=3,$W49&lt;&gt;"",$W49&lt;=15),"🔥 Se vende rápido — REABASTECE",IF($K49="Agotado","🔴 Agotado — reabastece",IF($K49="Stock bajo","🟠 Stock bajo","✅ Ok"))))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  <c r="V50" s="14">
        <f>IF($A50="","",IFERROR(IF(COUNTIF('Compras'!$B:$B,$A50)=0,"",MINIFS('Compras'!$A:$A,'Compras'!$B:$B,$A50)),""))</f>
      </c>
      <c r="W50" s="17">
        <f>IF(OR($A50="",$V50=""),"",TODAY()-$V50)</f>
      </c>
      <c r="X50" s="17">
        <f>IF($A50="","",SUMIF('Ventas'!$D:$D,$A50,'Ventas'!$F:$F))</f>
      </c>
      <c r="Y50" s="19">
        <f>IF($A50="","",IF(AND($X50&gt;=3,$W50&lt;&gt;"",$W50&lt;=15),"🔥 Se vende rápido — REABASTECE",IF($K50="Agotado","🔴 Agotado — reabastece",IF($K50="Stock bajo","🟠 Stock bajo","✅ Ok"))))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  <c r="V51" s="14">
        <f>IF($A51="","",IFERROR(IF(COUNTIF('Compras'!$B:$B,$A51)=0,"",MINIFS('Compras'!$A:$A,'Compras'!$B:$B,$A51)),""))</f>
      </c>
      <c r="W51" s="17">
        <f>IF(OR($A51="",$V51=""),"",TODAY()-$V51)</f>
      </c>
      <c r="X51" s="17">
        <f>IF($A51="","",SUMIF('Ventas'!$D:$D,$A51,'Ventas'!$F:$F))</f>
      </c>
      <c r="Y51" s="19">
        <f>IF($A51="","",IF(AND($X51&gt;=3,$W51&lt;&gt;"",$W51&lt;=15),"🔥 Se vende rápido — REABASTECE",IF($K51="Agotado","🔴 Agotado — reabastece",IF($K51="Stock bajo","🟠 Stock bajo","✅ Ok"))))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  <c r="V52" s="14">
        <f>IF($A52="","",IFERROR(IF(COUNTIF('Compras'!$B:$B,$A52)=0,"",MINIFS('Compras'!$A:$A,'Compras'!$B:$B,$A52)),""))</f>
      </c>
      <c r="W52" s="17">
        <f>IF(OR($A52="",$V52=""),"",TODAY()-$V52)</f>
      </c>
      <c r="X52" s="17">
        <f>IF($A52="","",SUMIF('Ventas'!$D:$D,$A52,'Ventas'!$F:$F))</f>
      </c>
      <c r="Y52" s="19">
        <f>IF($A52="","",IF(AND($X52&gt;=3,$W52&lt;&gt;"",$W52&lt;=15),"🔥 Se vende rápido — REABASTECE",IF($K52="Agotado","🔴 Agotado — reabastece",IF($K52="Stock bajo","🟠 Stock bajo","✅ Ok"))))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  <c r="V53" s="14">
        <f>IF($A53="","",IFERROR(IF(COUNTIF('Compras'!$B:$B,$A53)=0,"",MINIFS('Compras'!$A:$A,'Compras'!$B:$B,$A53)),""))</f>
      </c>
      <c r="W53" s="17">
        <f>IF(OR($A53="",$V53=""),"",TODAY()-$V53)</f>
      </c>
      <c r="X53" s="17">
        <f>IF($A53="","",SUMIF('Ventas'!$D:$D,$A53,'Ventas'!$F:$F))</f>
      </c>
      <c r="Y53" s="19">
        <f>IF($A53="","",IF(AND($X53&gt;=3,$W53&lt;&gt;"",$W53&lt;=15),"🔥 Se vende rápido — REABASTECE",IF($K53="Agotado","🔴 Agotado — reabastece",IF($K53="Stock bajo","🟠 Stock bajo","✅ Ok"))))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  <c r="V54" s="14">
        <f>IF($A54="","",IFERROR(IF(COUNTIF('Compras'!$B:$B,$A54)=0,"",MINIFS('Compras'!$A:$A,'Compras'!$B:$B,$A54)),""))</f>
      </c>
      <c r="W54" s="17">
        <f>IF(OR($A54="",$V54=""),"",TODAY()-$V54)</f>
      </c>
      <c r="X54" s="17">
        <f>IF($A54="","",SUMIF('Ventas'!$D:$D,$A54,'Ventas'!$F:$F))</f>
      </c>
      <c r="Y54" s="19">
        <f>IF($A54="","",IF(AND($X54&gt;=3,$W54&lt;&gt;"",$W54&lt;=15),"🔥 Se vende rápido — REABASTECE",IF($K54="Agotado","🔴 Agotado — reabastece",IF($K54="Stock bajo","🟠 Stock bajo","✅ Ok"))))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  <c r="V55" s="14">
        <f>IF($A55="","",IFERROR(IF(COUNTIF('Compras'!$B:$B,$A55)=0,"",MINIFS('Compras'!$A:$A,'Compras'!$B:$B,$A55)),""))</f>
      </c>
      <c r="W55" s="17">
        <f>IF(OR($A55="",$V55=""),"",TODAY()-$V55)</f>
      </c>
      <c r="X55" s="17">
        <f>IF($A55="","",SUMIF('Ventas'!$D:$D,$A55,'Ventas'!$F:$F))</f>
      </c>
      <c r="Y55" s="19">
        <f>IF($A55="","",IF(AND($X55&gt;=3,$W55&lt;&gt;"",$W55&lt;=15),"🔥 Se vende rápido — REABASTECE",IF($K55="Agotado","🔴 Agotado — reabastece",IF($K55="Stock bajo","🟠 Stock bajo","✅ Ok"))))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  <c r="V56" s="14">
        <f>IF($A56="","",IFERROR(IF(COUNTIF('Compras'!$B:$B,$A56)=0,"",MINIFS('Compras'!$A:$A,'Compras'!$B:$B,$A56)),""))</f>
      </c>
      <c r="W56" s="17">
        <f>IF(OR($A56="",$V56=""),"",TODAY()-$V56)</f>
      </c>
      <c r="X56" s="17">
        <f>IF($A56="","",SUMIF('Ventas'!$D:$D,$A56,'Ventas'!$F:$F))</f>
      </c>
      <c r="Y56" s="19">
        <f>IF($A56="","",IF(AND($X56&gt;=3,$W56&lt;&gt;"",$W56&lt;=15),"🔥 Se vende rápido — REABASTECE",IF($K56="Agotado","🔴 Agotado — reabastece",IF($K56="Stock bajo","🟠 Stock bajo","✅ Ok"))))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  <c r="V57" s="14">
        <f>IF($A57="","",IFERROR(IF(COUNTIF('Compras'!$B:$B,$A57)=0,"",MINIFS('Compras'!$A:$A,'Compras'!$B:$B,$A57)),""))</f>
      </c>
      <c r="W57" s="17">
        <f>IF(OR($A57="",$V57=""),"",TODAY()-$V57)</f>
      </c>
      <c r="X57" s="17">
        <f>IF($A57="","",SUMIF('Ventas'!$D:$D,$A57,'Ventas'!$F:$F))</f>
      </c>
      <c r="Y57" s="19">
        <f>IF($A57="","",IF(AND($X57&gt;=3,$W57&lt;&gt;"",$W57&lt;=15),"🔥 Se vende rápido — REABASTECE",IF($K57="Agotado","🔴 Agotado — reabastece",IF($K57="Stock bajo","🟠 Stock bajo","✅ Ok"))))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  <c r="V58" s="14">
        <f>IF($A58="","",IFERROR(IF(COUNTIF('Compras'!$B:$B,$A58)=0,"",MINIFS('Compras'!$A:$A,'Compras'!$B:$B,$A58)),""))</f>
      </c>
      <c r="W58" s="17">
        <f>IF(OR($A58="",$V58=""),"",TODAY()-$V58)</f>
      </c>
      <c r="X58" s="17">
        <f>IF($A58="","",SUMIF('Ventas'!$D:$D,$A58,'Ventas'!$F:$F))</f>
      </c>
      <c r="Y58" s="19">
        <f>IF($A58="","",IF(AND($X58&gt;=3,$W58&lt;&gt;"",$W58&lt;=15),"🔥 Se vende rápido — REABASTECE",IF($K58="Agotado","🔴 Agotado — reabastece",IF($K58="Stock bajo","🟠 Stock bajo","✅ Ok"))))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  <c r="V59" s="14">
        <f>IF($A59="","",IFERROR(IF(COUNTIF('Compras'!$B:$B,$A59)=0,"",MINIFS('Compras'!$A:$A,'Compras'!$B:$B,$A59)),""))</f>
      </c>
      <c r="W59" s="17">
        <f>IF(OR($A59="",$V59=""),"",TODAY()-$V59)</f>
      </c>
      <c r="X59" s="17">
        <f>IF($A59="","",SUMIF('Ventas'!$D:$D,$A59,'Ventas'!$F:$F))</f>
      </c>
      <c r="Y59" s="19">
        <f>IF($A59="","",IF(AND($X59&gt;=3,$W59&lt;&gt;"",$W59&lt;=15),"🔥 Se vende rápido — REABASTECE",IF($K59="Agotado","🔴 Agotado — reabastece",IF($K59="Stock bajo","🟠 Stock bajo","✅ Ok"))))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  <c r="V60" s="14">
        <f>IF($A60="","",IFERROR(IF(COUNTIF('Compras'!$B:$B,$A60)=0,"",MINIFS('Compras'!$A:$A,'Compras'!$B:$B,$A60)),""))</f>
      </c>
      <c r="W60" s="17">
        <f>IF(OR($A60="",$V60=""),"",TODAY()-$V60)</f>
      </c>
      <c r="X60" s="17">
        <f>IF($A60="","",SUMIF('Ventas'!$D:$D,$A60,'Ventas'!$F:$F))</f>
      </c>
      <c r="Y60" s="19">
        <f>IF($A60="","",IF(AND($X60&gt;=3,$W60&lt;&gt;"",$W60&lt;=15),"🔥 Se vende rápido — REABASTECE",IF($K60="Agotado","🔴 Agotado — reabastece",IF($K60="Stock bajo","🟠 Stock bajo","✅ Ok"))))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  <c r="V61" s="14">
        <f>IF($A61="","",IFERROR(IF(COUNTIF('Compras'!$B:$B,$A61)=0,"",MINIFS('Compras'!$A:$A,'Compras'!$B:$B,$A61)),""))</f>
      </c>
      <c r="W61" s="17">
        <f>IF(OR($A61="",$V61=""),"",TODAY()-$V61)</f>
      </c>
      <c r="X61" s="17">
        <f>IF($A61="","",SUMIF('Ventas'!$D:$D,$A61,'Ventas'!$F:$F))</f>
      </c>
      <c r="Y61" s="19">
        <f>IF($A61="","",IF(AND($X61&gt;=3,$W61&lt;&gt;"",$W61&lt;=15),"🔥 Se vende rápido — REABASTECE",IF($K61="Agotado","🔴 Agotado — reabastece",IF($K61="Stock bajo","🟠 Stock bajo","✅ Ok"))))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  <c r="V62" s="14">
        <f>IF($A62="","",IFERROR(IF(COUNTIF('Compras'!$B:$B,$A62)=0,"",MINIFS('Compras'!$A:$A,'Compras'!$B:$B,$A62)),""))</f>
      </c>
      <c r="W62" s="17">
        <f>IF(OR($A62="",$V62=""),"",TODAY()-$V62)</f>
      </c>
      <c r="X62" s="17">
        <f>IF($A62="","",SUMIF('Ventas'!$D:$D,$A62,'Ventas'!$F:$F))</f>
      </c>
      <c r="Y62" s="19">
        <f>IF($A62="","",IF(AND($X62&gt;=3,$W62&lt;&gt;"",$W62&lt;=15),"🔥 Se vende rápido — REABASTECE",IF($K62="Agotado","🔴 Agotado — reabastece",IF($K62="Stock bajo","🟠 Stock bajo","✅ Ok"))))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  <c r="V63" s="14">
        <f>IF($A63="","",IFERROR(IF(COUNTIF('Compras'!$B:$B,$A63)=0,"",MINIFS('Compras'!$A:$A,'Compras'!$B:$B,$A63)),""))</f>
      </c>
      <c r="W63" s="17">
        <f>IF(OR($A63="",$V63=""),"",TODAY()-$V63)</f>
      </c>
      <c r="X63" s="17">
        <f>IF($A63="","",SUMIF('Ventas'!$D:$D,$A63,'Ventas'!$F:$F))</f>
      </c>
      <c r="Y63" s="19">
        <f>IF($A63="","",IF(AND($X63&gt;=3,$W63&lt;&gt;"",$W63&lt;=15),"🔥 Se vende rápido — REABASTECE",IF($K63="Agotado","🔴 Agotado — reabastece",IF($K63="Stock bajo","🟠 Stock bajo","✅ Ok"))))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  <c r="V64" s="14">
        <f>IF($A64="","",IFERROR(IF(COUNTIF('Compras'!$B:$B,$A64)=0,"",MINIFS('Compras'!$A:$A,'Compras'!$B:$B,$A64)),""))</f>
      </c>
      <c r="W64" s="17">
        <f>IF(OR($A64="",$V64=""),"",TODAY()-$V64)</f>
      </c>
      <c r="X64" s="17">
        <f>IF($A64="","",SUMIF('Ventas'!$D:$D,$A64,'Ventas'!$F:$F))</f>
      </c>
      <c r="Y64" s="19">
        <f>IF($A64="","",IF(AND($X64&gt;=3,$W64&lt;&gt;"",$W64&lt;=15),"🔥 Se vende rápido — REABASTECE",IF($K64="Agotado","🔴 Agotado — reabastece",IF($K64="Stock bajo","🟠 Stock bajo","✅ Ok"))))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  <c r="V65" s="14">
        <f>IF($A65="","",IFERROR(IF(COUNTIF('Compras'!$B:$B,$A65)=0,"",MINIFS('Compras'!$A:$A,'Compras'!$B:$B,$A65)),""))</f>
      </c>
      <c r="W65" s="17">
        <f>IF(OR($A65="",$V65=""),"",TODAY()-$V65)</f>
      </c>
      <c r="X65" s="17">
        <f>IF($A65="","",SUMIF('Ventas'!$D:$D,$A65,'Ventas'!$F:$F))</f>
      </c>
      <c r="Y65" s="19">
        <f>IF($A65="","",IF(AND($X65&gt;=3,$W65&lt;&gt;"",$W65&lt;=15),"🔥 Se vende rápido — REABASTECE",IF($K65="Agotado","🔴 Agotado — reabastece",IF($K65="Stock bajo","🟠 Stock bajo","✅ Ok"))))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  <c r="V66" s="14">
        <f>IF($A66="","",IFERROR(IF(COUNTIF('Compras'!$B:$B,$A66)=0,"",MINIFS('Compras'!$A:$A,'Compras'!$B:$B,$A66)),""))</f>
      </c>
      <c r="W66" s="17">
        <f>IF(OR($A66="",$V66=""),"",TODAY()-$V66)</f>
      </c>
      <c r="X66" s="17">
        <f>IF($A66="","",SUMIF('Ventas'!$D:$D,$A66,'Ventas'!$F:$F))</f>
      </c>
      <c r="Y66" s="19">
        <f>IF($A66="","",IF(AND($X66&gt;=3,$W66&lt;&gt;"",$W66&lt;=15),"🔥 Se vende rápido — REABASTECE",IF($K66="Agotado","🔴 Agotado — reabastece",IF($K66="Stock bajo","🟠 Stock bajo","✅ Ok"))))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  <c r="V67" s="14">
        <f>IF($A67="","",IFERROR(IF(COUNTIF('Compras'!$B:$B,$A67)=0,"",MINIFS('Compras'!$A:$A,'Compras'!$B:$B,$A67)),""))</f>
      </c>
      <c r="W67" s="17">
        <f>IF(OR($A67="",$V67=""),"",TODAY()-$V67)</f>
      </c>
      <c r="X67" s="17">
        <f>IF($A67="","",SUMIF('Ventas'!$D:$D,$A67,'Ventas'!$F:$F))</f>
      </c>
      <c r="Y67" s="19">
        <f>IF($A67="","",IF(AND($X67&gt;=3,$W67&lt;&gt;"",$W67&lt;=15),"🔥 Se vende rápido — REABASTECE",IF($K67="Agotado","🔴 Agotado — reabastece",IF($K67="Stock bajo","🟠 Stock bajo","✅ Ok"))))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  <c r="V68" s="14">
        <f>IF($A68="","",IFERROR(IF(COUNTIF('Compras'!$B:$B,$A68)=0,"",MINIFS('Compras'!$A:$A,'Compras'!$B:$B,$A68)),""))</f>
      </c>
      <c r="W68" s="17">
        <f>IF(OR($A68="",$V68=""),"",TODAY()-$V68)</f>
      </c>
      <c r="X68" s="17">
        <f>IF($A68="","",SUMIF('Ventas'!$D:$D,$A68,'Ventas'!$F:$F))</f>
      </c>
      <c r="Y68" s="19">
        <f>IF($A68="","",IF(AND($X68&gt;=3,$W68&lt;&gt;"",$W68&lt;=15),"🔥 Se vende rápido — REABASTECE",IF($K68="Agotado","🔴 Agotado — reabastece",IF($K68="Stock bajo","🟠 Stock bajo","✅ Ok"))))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  <c r="V69" s="14">
        <f>IF($A69="","",IFERROR(IF(COUNTIF('Compras'!$B:$B,$A69)=0,"",MINIFS('Compras'!$A:$A,'Compras'!$B:$B,$A69)),""))</f>
      </c>
      <c r="W69" s="17">
        <f>IF(OR($A69="",$V69=""),"",TODAY()-$V69)</f>
      </c>
      <c r="X69" s="17">
        <f>IF($A69="","",SUMIF('Ventas'!$D:$D,$A69,'Ventas'!$F:$F))</f>
      </c>
      <c r="Y69" s="19">
        <f>IF($A69="","",IF(AND($X69&gt;=3,$W69&lt;&gt;"",$W69&lt;=15),"🔥 Se vende rápido — REABASTECE",IF($K69="Agotado","🔴 Agotado — reabastece",IF($K69="Stock bajo","🟠 Stock bajo","✅ Ok"))))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  <c r="V70" s="14">
        <f>IF($A70="","",IFERROR(IF(COUNTIF('Compras'!$B:$B,$A70)=0,"",MINIFS('Compras'!$A:$A,'Compras'!$B:$B,$A70)),""))</f>
      </c>
      <c r="W70" s="17">
        <f>IF(OR($A70="",$V70=""),"",TODAY()-$V70)</f>
      </c>
      <c r="X70" s="17">
        <f>IF($A70="","",SUMIF('Ventas'!$D:$D,$A70,'Ventas'!$F:$F))</f>
      </c>
      <c r="Y70" s="19">
        <f>IF($A70="","",IF(AND($X70&gt;=3,$W70&lt;&gt;"",$W70&lt;=15),"🔥 Se vende rápido — REABASTECE",IF($K70="Agotado","🔴 Agotado — reabastece",IF($K70="Stock bajo","🟠 Stock bajo","✅ Ok"))))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  <c r="V71" s="14">
        <f>IF($A71="","",IFERROR(IF(COUNTIF('Compras'!$B:$B,$A71)=0,"",MINIFS('Compras'!$A:$A,'Compras'!$B:$B,$A71)),""))</f>
      </c>
      <c r="W71" s="17">
        <f>IF(OR($A71="",$V71=""),"",TODAY()-$V71)</f>
      </c>
      <c r="X71" s="17">
        <f>IF($A71="","",SUMIF('Ventas'!$D:$D,$A71,'Ventas'!$F:$F))</f>
      </c>
      <c r="Y71" s="19">
        <f>IF($A71="","",IF(AND($X71&gt;=3,$W71&lt;&gt;"",$W71&lt;=15),"🔥 Se vende rápido — REABASTECE",IF($K71="Agotado","🔴 Agotado — reabastece",IF($K71="Stock bajo","🟠 Stock bajo","✅ Ok"))))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  <c r="V72" s="14">
        <f>IF($A72="","",IFERROR(IF(COUNTIF('Compras'!$B:$B,$A72)=0,"",MINIFS('Compras'!$A:$A,'Compras'!$B:$B,$A72)),""))</f>
      </c>
      <c r="W72" s="17">
        <f>IF(OR($A72="",$V72=""),"",TODAY()-$V72)</f>
      </c>
      <c r="X72" s="17">
        <f>IF($A72="","",SUMIF('Ventas'!$D:$D,$A72,'Ventas'!$F:$F))</f>
      </c>
      <c r="Y72" s="19">
        <f>IF($A72="","",IF(AND($X72&gt;=3,$W72&lt;&gt;"",$W72&lt;=15),"🔥 Se vende rápido — REABASTECE",IF($K72="Agotado","🔴 Agotado — reabastece",IF($K72="Stock bajo","🟠 Stock bajo","✅ Ok"))))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  <c r="V73" s="14">
        <f>IF($A73="","",IFERROR(IF(COUNTIF('Compras'!$B:$B,$A73)=0,"",MINIFS('Compras'!$A:$A,'Compras'!$B:$B,$A73)),""))</f>
      </c>
      <c r="W73" s="17">
        <f>IF(OR($A73="",$V73=""),"",TODAY()-$V73)</f>
      </c>
      <c r="X73" s="17">
        <f>IF($A73="","",SUMIF('Ventas'!$D:$D,$A73,'Ventas'!$F:$F))</f>
      </c>
      <c r="Y73" s="19">
        <f>IF($A73="","",IF(AND($X73&gt;=3,$W73&lt;&gt;"",$W73&lt;=15),"🔥 Se vende rápido — REABASTECE",IF($K73="Agotado","🔴 Agotado — reabastece",IF($K73="Stock bajo","🟠 Stock bajo","✅ Ok"))))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  <c r="V74" s="14">
        <f>IF($A74="","",IFERROR(IF(COUNTIF('Compras'!$B:$B,$A74)=0,"",MINIFS('Compras'!$A:$A,'Compras'!$B:$B,$A74)),""))</f>
      </c>
      <c r="W74" s="17">
        <f>IF(OR($A74="",$V74=""),"",TODAY()-$V74)</f>
      </c>
      <c r="X74" s="17">
        <f>IF($A74="","",SUMIF('Ventas'!$D:$D,$A74,'Ventas'!$F:$F))</f>
      </c>
      <c r="Y74" s="19">
        <f>IF($A74="","",IF(AND($X74&gt;=3,$W74&lt;&gt;"",$W74&lt;=15),"🔥 Se vende rápido — REABASTECE",IF($K74="Agotado","🔴 Agotado — reabastece",IF($K74="Stock bajo","🟠 Stock bajo","✅ Ok"))))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  <c r="V75" s="14">
        <f>IF($A75="","",IFERROR(IF(COUNTIF('Compras'!$B:$B,$A75)=0,"",MINIFS('Compras'!$A:$A,'Compras'!$B:$B,$A75)),""))</f>
      </c>
      <c r="W75" s="17">
        <f>IF(OR($A75="",$V75=""),"",TODAY()-$V75)</f>
      </c>
      <c r="X75" s="17">
        <f>IF($A75="","",SUMIF('Ventas'!$D:$D,$A75,'Ventas'!$F:$F))</f>
      </c>
      <c r="Y75" s="19">
        <f>IF($A75="","",IF(AND($X75&gt;=3,$W75&lt;&gt;"",$W75&lt;=15),"🔥 Se vende rápido — REABASTECE",IF($K75="Agotado","🔴 Agotado — reabastece",IF($K75="Stock bajo","🟠 Stock bajo","✅ Ok"))))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  <c r="V76" s="14">
        <f>IF($A76="","",IFERROR(IF(COUNTIF('Compras'!$B:$B,$A76)=0,"",MINIFS('Compras'!$A:$A,'Compras'!$B:$B,$A76)),""))</f>
      </c>
      <c r="W76" s="17">
        <f>IF(OR($A76="",$V76=""),"",TODAY()-$V76)</f>
      </c>
      <c r="X76" s="17">
        <f>IF($A76="","",SUMIF('Ventas'!$D:$D,$A76,'Ventas'!$F:$F))</f>
      </c>
      <c r="Y76" s="19">
        <f>IF($A76="","",IF(AND($X76&gt;=3,$W76&lt;&gt;"",$W76&lt;=15),"🔥 Se vende rápido — REABASTECE",IF($K76="Agotado","🔴 Agotado — reabastece",IF($K76="Stock bajo","🟠 Stock bajo","✅ Ok"))))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  <c r="V77" s="14">
        <f>IF($A77="","",IFERROR(IF(COUNTIF('Compras'!$B:$B,$A77)=0,"",MINIFS('Compras'!$A:$A,'Compras'!$B:$B,$A77)),""))</f>
      </c>
      <c r="W77" s="17">
        <f>IF(OR($A77="",$V77=""),"",TODAY()-$V77)</f>
      </c>
      <c r="X77" s="17">
        <f>IF($A77="","",SUMIF('Ventas'!$D:$D,$A77,'Ventas'!$F:$F))</f>
      </c>
      <c r="Y77" s="19">
        <f>IF($A77="","",IF(AND($X77&gt;=3,$W77&lt;&gt;"",$W77&lt;=15),"🔥 Se vende rápido — REABASTECE",IF($K77="Agotado","🔴 Agotado — reabastece",IF($K77="Stock bajo","🟠 Stock bajo","✅ Ok"))))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  <c r="V78" s="14">
        <f>IF($A78="","",IFERROR(IF(COUNTIF('Compras'!$B:$B,$A78)=0,"",MINIFS('Compras'!$A:$A,'Compras'!$B:$B,$A78)),""))</f>
      </c>
      <c r="W78" s="17">
        <f>IF(OR($A78="",$V78=""),"",TODAY()-$V78)</f>
      </c>
      <c r="X78" s="17">
        <f>IF($A78="","",SUMIF('Ventas'!$D:$D,$A78,'Ventas'!$F:$F))</f>
      </c>
      <c r="Y78" s="19">
        <f>IF($A78="","",IF(AND($X78&gt;=3,$W78&lt;&gt;"",$W78&lt;=15),"🔥 Se vende rápido — REABASTECE",IF($K78="Agotado","🔴 Agotado — reabastece",IF($K78="Stock bajo","🟠 Stock bajo","✅ Ok"))))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  <c r="V79" s="14">
        <f>IF($A79="","",IFERROR(IF(COUNTIF('Compras'!$B:$B,$A79)=0,"",MINIFS('Compras'!$A:$A,'Compras'!$B:$B,$A79)),""))</f>
      </c>
      <c r="W79" s="17">
        <f>IF(OR($A79="",$V79=""),"",TODAY()-$V79)</f>
      </c>
      <c r="X79" s="17">
        <f>IF($A79="","",SUMIF('Ventas'!$D:$D,$A79,'Ventas'!$F:$F))</f>
      </c>
      <c r="Y79" s="19">
        <f>IF($A79="","",IF(AND($X79&gt;=3,$W79&lt;&gt;"",$W79&lt;=15),"🔥 Se vende rápido — REABASTECE",IF($K79="Agotado","🔴 Agotado — reabastece",IF($K79="Stock bajo","🟠 Stock bajo","✅ Ok"))))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  <c r="V80" s="14">
        <f>IF($A80="","",IFERROR(IF(COUNTIF('Compras'!$B:$B,$A80)=0,"",MINIFS('Compras'!$A:$A,'Compras'!$B:$B,$A80)),""))</f>
      </c>
      <c r="W80" s="17">
        <f>IF(OR($A80="",$V80=""),"",TODAY()-$V80)</f>
      </c>
      <c r="X80" s="17">
        <f>IF($A80="","",SUMIF('Ventas'!$D:$D,$A80,'Ventas'!$F:$F))</f>
      </c>
      <c r="Y80" s="19">
        <f>IF($A80="","",IF(AND($X80&gt;=3,$W80&lt;&gt;"",$W80&lt;=15),"🔥 Se vende rápido — REABASTECE",IF($K80="Agotado","🔴 Agotado — reabastece",IF($K80="Stock bajo","🟠 Stock bajo","✅ Ok"))))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  <c r="V81" s="14">
        <f>IF($A81="","",IFERROR(IF(COUNTIF('Compras'!$B:$B,$A81)=0,"",MINIFS('Compras'!$A:$A,'Compras'!$B:$B,$A81)),""))</f>
      </c>
      <c r="W81" s="17">
        <f>IF(OR($A81="",$V81=""),"",TODAY()-$V81)</f>
      </c>
      <c r="X81" s="17">
        <f>IF($A81="","",SUMIF('Ventas'!$D:$D,$A81,'Ventas'!$F:$F))</f>
      </c>
      <c r="Y81" s="19">
        <f>IF($A81="","",IF(AND($X81&gt;=3,$W81&lt;&gt;"",$W81&lt;=15),"🔥 Se vende rápido — REABASTECE",IF($K81="Agotado","🔴 Agotado — reabastece",IF($K81="Stock bajo","🟠 Stock bajo","✅ Ok"))))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  <c r="V82" s="14">
        <f>IF($A82="","",IFERROR(IF(COUNTIF('Compras'!$B:$B,$A82)=0,"",MINIFS('Compras'!$A:$A,'Compras'!$B:$B,$A82)),""))</f>
      </c>
      <c r="W82" s="17">
        <f>IF(OR($A82="",$V82=""),"",TODAY()-$V82)</f>
      </c>
      <c r="X82" s="17">
        <f>IF($A82="","",SUMIF('Ventas'!$D:$D,$A82,'Ventas'!$F:$F))</f>
      </c>
      <c r="Y82" s="19">
        <f>IF($A82="","",IF(AND($X82&gt;=3,$W82&lt;&gt;"",$W82&lt;=15),"🔥 Se vende rápido — REABASTECE",IF($K82="Agotado","🔴 Agotado — reabastece",IF($K82="Stock bajo","🟠 Stock bajo","✅ Ok"))))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  <c r="V83" s="14">
        <f>IF($A83="","",IFERROR(IF(COUNTIF('Compras'!$B:$B,$A83)=0,"",MINIFS('Compras'!$A:$A,'Compras'!$B:$B,$A83)),""))</f>
      </c>
      <c r="W83" s="17">
        <f>IF(OR($A83="",$V83=""),"",TODAY()-$V83)</f>
      </c>
      <c r="X83" s="17">
        <f>IF($A83="","",SUMIF('Ventas'!$D:$D,$A83,'Ventas'!$F:$F))</f>
      </c>
      <c r="Y83" s="19">
        <f>IF($A83="","",IF(AND($X83&gt;=3,$W83&lt;&gt;"",$W83&lt;=15),"🔥 Se vende rápido — REABASTECE",IF($K83="Agotado","🔴 Agotado — reabastece",IF($K83="Stock bajo","🟠 Stock bajo","✅ Ok"))))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  <c r="V84" s="14">
        <f>IF($A84="","",IFERROR(IF(COUNTIF('Compras'!$B:$B,$A84)=0,"",MINIFS('Compras'!$A:$A,'Compras'!$B:$B,$A84)),""))</f>
      </c>
      <c r="W84" s="17">
        <f>IF(OR($A84="",$V84=""),"",TODAY()-$V84)</f>
      </c>
      <c r="X84" s="17">
        <f>IF($A84="","",SUMIF('Ventas'!$D:$D,$A84,'Ventas'!$F:$F))</f>
      </c>
      <c r="Y84" s="19">
        <f>IF($A84="","",IF(AND($X84&gt;=3,$W84&lt;&gt;"",$W84&lt;=15),"🔥 Se vende rápido — REABASTECE",IF($K84="Agotado","🔴 Agotado — reabastece",IF($K84="Stock bajo","🟠 Stock bajo","✅ Ok"))))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  <c r="V85" s="14">
        <f>IF($A85="","",IFERROR(IF(COUNTIF('Compras'!$B:$B,$A85)=0,"",MINIFS('Compras'!$A:$A,'Compras'!$B:$B,$A85)),""))</f>
      </c>
      <c r="W85" s="17">
        <f>IF(OR($A85="",$V85=""),"",TODAY()-$V85)</f>
      </c>
      <c r="X85" s="17">
        <f>IF($A85="","",SUMIF('Ventas'!$D:$D,$A85,'Ventas'!$F:$F))</f>
      </c>
      <c r="Y85" s="19">
        <f>IF($A85="","",IF(AND($X85&gt;=3,$W85&lt;&gt;"",$W85&lt;=15),"🔥 Se vende rápido — REABASTECE",IF($K85="Agotado","🔴 Agotado — reabastece",IF($K85="Stock bajo","🟠 Stock bajo","✅ Ok"))))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  <c r="V86" s="14">
        <f>IF($A86="","",IFERROR(IF(COUNTIF('Compras'!$B:$B,$A86)=0,"",MINIFS('Compras'!$A:$A,'Compras'!$B:$B,$A86)),""))</f>
      </c>
      <c r="W86" s="17">
        <f>IF(OR($A86="",$V86=""),"",TODAY()-$V86)</f>
      </c>
      <c r="X86" s="17">
        <f>IF($A86="","",SUMIF('Ventas'!$D:$D,$A86,'Ventas'!$F:$F))</f>
      </c>
      <c r="Y86" s="19">
        <f>IF($A86="","",IF(AND($X86&gt;=3,$W86&lt;&gt;"",$W86&lt;=15),"🔥 Se vende rápido — REABASTECE",IF($K86="Agotado","🔴 Agotado — reabastece",IF($K86="Stock bajo","🟠 Stock bajo","✅ Ok"))))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  <c r="V87" s="14">
        <f>IF($A87="","",IFERROR(IF(COUNTIF('Compras'!$B:$B,$A87)=0,"",MINIFS('Compras'!$A:$A,'Compras'!$B:$B,$A87)),""))</f>
      </c>
      <c r="W87" s="17">
        <f>IF(OR($A87="",$V87=""),"",TODAY()-$V87)</f>
      </c>
      <c r="X87" s="17">
        <f>IF($A87="","",SUMIF('Ventas'!$D:$D,$A87,'Ventas'!$F:$F))</f>
      </c>
      <c r="Y87" s="19">
        <f>IF($A87="","",IF(AND($X87&gt;=3,$W87&lt;&gt;"",$W87&lt;=15),"🔥 Se vende rápido — REABASTECE",IF($K87="Agotado","🔴 Agotado — reabastece",IF($K87="Stock bajo","🟠 Stock bajo","✅ Ok"))))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  <c r="V88" s="14">
        <f>IF($A88="","",IFERROR(IF(COUNTIF('Compras'!$B:$B,$A88)=0,"",MINIFS('Compras'!$A:$A,'Compras'!$B:$B,$A88)),""))</f>
      </c>
      <c r="W88" s="17">
        <f>IF(OR($A88="",$V88=""),"",TODAY()-$V88)</f>
      </c>
      <c r="X88" s="17">
        <f>IF($A88="","",SUMIF('Ventas'!$D:$D,$A88,'Ventas'!$F:$F))</f>
      </c>
      <c r="Y88" s="19">
        <f>IF($A88="","",IF(AND($X88&gt;=3,$W88&lt;&gt;"",$W88&lt;=15),"🔥 Se vende rápido — REABASTECE",IF($K88="Agotado","🔴 Agotado — reabastece",IF($K88="Stock bajo","🟠 Stock bajo","✅ Ok"))))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  <c r="V89" s="14">
        <f>IF($A89="","",IFERROR(IF(COUNTIF('Compras'!$B:$B,$A89)=0,"",MINIFS('Compras'!$A:$A,'Compras'!$B:$B,$A89)),""))</f>
      </c>
      <c r="W89" s="17">
        <f>IF(OR($A89="",$V89=""),"",TODAY()-$V89)</f>
      </c>
      <c r="X89" s="17">
        <f>IF($A89="","",SUMIF('Ventas'!$D:$D,$A89,'Ventas'!$F:$F))</f>
      </c>
      <c r="Y89" s="19">
        <f>IF($A89="","",IF(AND($X89&gt;=3,$W89&lt;&gt;"",$W89&lt;=15),"🔥 Se vende rápido — REABASTECE",IF($K89="Agotado","🔴 Agotado — reabastece",IF($K89="Stock bajo","🟠 Stock bajo","✅ Ok"))))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  <c r="V90" s="14">
        <f>IF($A90="","",IFERROR(IF(COUNTIF('Compras'!$B:$B,$A90)=0,"",MINIFS('Compras'!$A:$A,'Compras'!$B:$B,$A90)),""))</f>
      </c>
      <c r="W90" s="17">
        <f>IF(OR($A90="",$V90=""),"",TODAY()-$V90)</f>
      </c>
      <c r="X90" s="17">
        <f>IF($A90="","",SUMIF('Ventas'!$D:$D,$A90,'Ventas'!$F:$F))</f>
      </c>
      <c r="Y90" s="19">
        <f>IF($A90="","",IF(AND($X90&gt;=3,$W90&lt;&gt;"",$W90&lt;=15),"🔥 Se vende rápido — REABASTECE",IF($K90="Agotado","🔴 Agotado — reabastece",IF($K90="Stock bajo","🟠 Stock bajo","✅ Ok"))))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  <c r="V91" s="14">
        <f>IF($A91="","",IFERROR(IF(COUNTIF('Compras'!$B:$B,$A91)=0,"",MINIFS('Compras'!$A:$A,'Compras'!$B:$B,$A91)),""))</f>
      </c>
      <c r="W91" s="17">
        <f>IF(OR($A91="",$V91=""),"",TODAY()-$V91)</f>
      </c>
      <c r="X91" s="17">
        <f>IF($A91="","",SUMIF('Ventas'!$D:$D,$A91,'Ventas'!$F:$F))</f>
      </c>
      <c r="Y91" s="19">
        <f>IF($A91="","",IF(AND($X91&gt;=3,$W91&lt;&gt;"",$W91&lt;=15),"🔥 Se vende rápido — REABASTECE",IF($K91="Agotado","🔴 Agotado — reabastece",IF($K91="Stock bajo","🟠 Stock bajo","✅ Ok"))))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  <c r="V92" s="14">
        <f>IF($A92="","",IFERROR(IF(COUNTIF('Compras'!$B:$B,$A92)=0,"",MINIFS('Compras'!$A:$A,'Compras'!$B:$B,$A92)),""))</f>
      </c>
      <c r="W92" s="17">
        <f>IF(OR($A92="",$V92=""),"",TODAY()-$V92)</f>
      </c>
      <c r="X92" s="17">
        <f>IF($A92="","",SUMIF('Ventas'!$D:$D,$A92,'Ventas'!$F:$F))</f>
      </c>
      <c r="Y92" s="19">
        <f>IF($A92="","",IF(AND($X92&gt;=3,$W92&lt;&gt;"",$W92&lt;=15),"🔥 Se vende rápido — REABASTECE",IF($K92="Agotado","🔴 Agotado — reabastece",IF($K92="Stock bajo","🟠 Stock bajo","✅ Ok"))))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  <c r="V93" s="14">
        <f>IF($A93="","",IFERROR(IF(COUNTIF('Compras'!$B:$B,$A93)=0,"",MINIFS('Compras'!$A:$A,'Compras'!$B:$B,$A93)),""))</f>
      </c>
      <c r="W93" s="17">
        <f>IF(OR($A93="",$V93=""),"",TODAY()-$V93)</f>
      </c>
      <c r="X93" s="17">
        <f>IF($A93="","",SUMIF('Ventas'!$D:$D,$A93,'Ventas'!$F:$F))</f>
      </c>
      <c r="Y93" s="19">
        <f>IF($A93="","",IF(AND($X93&gt;=3,$W93&lt;&gt;"",$W93&lt;=15),"🔥 Se vende rápido — REABASTECE",IF($K93="Agotado","🔴 Agotado — reabastece",IF($K93="Stock bajo","🟠 Stock bajo","✅ Ok"))))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  <c r="V94" s="14">
        <f>IF($A94="","",IFERROR(IF(COUNTIF('Compras'!$B:$B,$A94)=0,"",MINIFS('Compras'!$A:$A,'Compras'!$B:$B,$A94)),""))</f>
      </c>
      <c r="W94" s="17">
        <f>IF(OR($A94="",$V94=""),"",TODAY()-$V94)</f>
      </c>
      <c r="X94" s="17">
        <f>IF($A94="","",SUMIF('Ventas'!$D:$D,$A94,'Ventas'!$F:$F))</f>
      </c>
      <c r="Y94" s="19">
        <f>IF($A94="","",IF(AND($X94&gt;=3,$W94&lt;&gt;"",$W94&lt;=15),"🔥 Se vende rápido — REABASTECE",IF($K94="Agotado","🔴 Agotado — reabastece",IF($K94="Stock bajo","🟠 Stock bajo","✅ Ok"))))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  <c r="V95" s="14">
        <f>IF($A95="","",IFERROR(IF(COUNTIF('Compras'!$B:$B,$A95)=0,"",MINIFS('Compras'!$A:$A,'Compras'!$B:$B,$A95)),""))</f>
      </c>
      <c r="W95" s="17">
        <f>IF(OR($A95="",$V95=""),"",TODAY()-$V95)</f>
      </c>
      <c r="X95" s="17">
        <f>IF($A95="","",SUMIF('Ventas'!$D:$D,$A95,'Ventas'!$F:$F))</f>
      </c>
      <c r="Y95" s="19">
        <f>IF($A95="","",IF(AND($X95&gt;=3,$W95&lt;&gt;"",$W95&lt;=15),"🔥 Se vende rápido — REABASTECE",IF($K95="Agotado","🔴 Agotado — reabastece",IF($K95="Stock bajo","🟠 Stock bajo","✅ Ok"))))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  <c r="V96" s="14">
        <f>IF($A96="","",IFERROR(IF(COUNTIF('Compras'!$B:$B,$A96)=0,"",MINIFS('Compras'!$A:$A,'Compras'!$B:$B,$A96)),""))</f>
      </c>
      <c r="W96" s="17">
        <f>IF(OR($A96="",$V96=""),"",TODAY()-$V96)</f>
      </c>
      <c r="X96" s="17">
        <f>IF($A96="","",SUMIF('Ventas'!$D:$D,$A96,'Ventas'!$F:$F))</f>
      </c>
      <c r="Y96" s="19">
        <f>IF($A96="","",IF(AND($X96&gt;=3,$W96&lt;&gt;"",$W96&lt;=15),"🔥 Se vende rápido — REABASTECE",IF($K96="Agotado","🔴 Agotado — reabastece",IF($K96="Stock bajo","🟠 Stock bajo","✅ Ok"))))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  <c r="V97" s="14">
        <f>IF($A97="","",IFERROR(IF(COUNTIF('Compras'!$B:$B,$A97)=0,"",MINIFS('Compras'!$A:$A,'Compras'!$B:$B,$A97)),""))</f>
      </c>
      <c r="W97" s="17">
        <f>IF(OR($A97="",$V97=""),"",TODAY()-$V97)</f>
      </c>
      <c r="X97" s="17">
        <f>IF($A97="","",SUMIF('Ventas'!$D:$D,$A97,'Ventas'!$F:$F))</f>
      </c>
      <c r="Y97" s="19">
        <f>IF($A97="","",IF(AND($X97&gt;=3,$W97&lt;&gt;"",$W97&lt;=15),"🔥 Se vende rápido — REABASTECE",IF($K97="Agotado","🔴 Agotado — reabastece",IF($K97="Stock bajo","🟠 Stock bajo","✅ Ok"))))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  <c r="V98" s="14">
        <f>IF($A98="","",IFERROR(IF(COUNTIF('Compras'!$B:$B,$A98)=0,"",MINIFS('Compras'!$A:$A,'Compras'!$B:$B,$A98)),""))</f>
      </c>
      <c r="W98" s="17">
        <f>IF(OR($A98="",$V98=""),"",TODAY()-$V98)</f>
      </c>
      <c r="X98" s="17">
        <f>IF($A98="","",SUMIF('Ventas'!$D:$D,$A98,'Ventas'!$F:$F))</f>
      </c>
      <c r="Y98" s="19">
        <f>IF($A98="","",IF(AND($X98&gt;=3,$W98&lt;&gt;"",$W98&lt;=15),"🔥 Se vende rápido — REABASTECE",IF($K98="Agotado","🔴 Agotado — reabastece",IF($K98="Stock bajo","🟠 Stock bajo","✅ Ok"))))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  <c r="V99" s="14">
        <f>IF($A99="","",IFERROR(IF(COUNTIF('Compras'!$B:$B,$A99)=0,"",MINIFS('Compras'!$A:$A,'Compras'!$B:$B,$A99)),""))</f>
      </c>
      <c r="W99" s="17">
        <f>IF(OR($A99="",$V99=""),"",TODAY()-$V99)</f>
      </c>
      <c r="X99" s="17">
        <f>IF($A99="","",SUMIF('Ventas'!$D:$D,$A99,'Ventas'!$F:$F))</f>
      </c>
      <c r="Y99" s="19">
        <f>IF($A99="","",IF(AND($X99&gt;=3,$W99&lt;&gt;"",$W99&lt;=15),"🔥 Se vende rápido — REABASTECE",IF($K99="Agotado","🔴 Agotado — reabastece",IF($K99="Stock bajo","🟠 Stock bajo","✅ Ok"))))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  <c r="V100" s="14">
        <f>IF($A100="","",IFERROR(IF(COUNTIF('Compras'!$B:$B,$A100)=0,"",MINIFS('Compras'!$A:$A,'Compras'!$B:$B,$A100)),""))</f>
      </c>
      <c r="W100" s="17">
        <f>IF(OR($A100="",$V100=""),"",TODAY()-$V100)</f>
      </c>
      <c r="X100" s="17">
        <f>IF($A100="","",SUMIF('Ventas'!$D:$D,$A100,'Ventas'!$F:$F))</f>
      </c>
      <c r="Y100" s="19">
        <f>IF($A100="","",IF(AND($X100&gt;=3,$W100&lt;&gt;"",$W100&lt;=15),"🔥 Se vende rápido — REABASTECE",IF($K100="Agotado","🔴 Agotado — reabastece",IF($K100="Stock bajo","🟠 Stock bajo","✅ Ok"))))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  <c r="V101" s="14">
        <f>IF($A101="","",IFERROR(IF(COUNTIF('Compras'!$B:$B,$A101)=0,"",MINIFS('Compras'!$A:$A,'Compras'!$B:$B,$A101)),""))</f>
      </c>
      <c r="W101" s="17">
        <f>IF(OR($A101="",$V101=""),"",TODAY()-$V101)</f>
      </c>
      <c r="X101" s="17">
        <f>IF($A101="","",SUMIF('Ventas'!$D:$D,$A101,'Ventas'!$F:$F))</f>
      </c>
      <c r="Y101" s="19">
        <f>IF($A101="","",IF(AND($X101&gt;=3,$W101&lt;&gt;"",$W101&lt;=15),"🔥 Se vende rápido — REABASTECE",IF($K101="Agotado","🔴 Agotado — reabastece",IF($K101="Stock bajo","🟠 Stock bajo","✅ Ok"))))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  <c r="V102" s="14">
        <f>IF($A102="","",IFERROR(IF(COUNTIF('Compras'!$B:$B,$A102)=0,"",MINIFS('Compras'!$A:$A,'Compras'!$B:$B,$A102)),""))</f>
      </c>
      <c r="W102" s="17">
        <f>IF(OR($A102="",$V102=""),"",TODAY()-$V102)</f>
      </c>
      <c r="X102" s="17">
        <f>IF($A102="","",SUMIF('Ventas'!$D:$D,$A102,'Ventas'!$F:$F))</f>
      </c>
      <c r="Y102" s="19">
        <f>IF($A102="","",IF(AND($X102&gt;=3,$W102&lt;&gt;"",$W102&lt;=15),"🔥 Se vende rápido — REABASTECE",IF($K102="Agotado","🔴 Agotado — reabastece",IF($K102="Stock bajo","🟠 Stock bajo","✅ Ok"))))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  <c r="V103" s="14">
        <f>IF($A103="","",IFERROR(IF(COUNTIF('Compras'!$B:$B,$A103)=0,"",MINIFS('Compras'!$A:$A,'Compras'!$B:$B,$A103)),""))</f>
      </c>
      <c r="W103" s="17">
        <f>IF(OR($A103="",$V103=""),"",TODAY()-$V103)</f>
      </c>
      <c r="X103" s="17">
        <f>IF($A103="","",SUMIF('Ventas'!$D:$D,$A103,'Ventas'!$F:$F))</f>
      </c>
      <c r="Y103" s="19">
        <f>IF($A103="","",IF(AND($X103&gt;=3,$W103&lt;&gt;"",$W103&lt;=15),"🔥 Se vende rápido — REABASTECE",IF($K103="Agotado","🔴 Agotado — reabastece",IF($K103="Stock bajo","🟠 Stock bajo","✅ Ok"))))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  <c r="V104" s="14">
        <f>IF($A104="","",IFERROR(IF(COUNTIF('Compras'!$B:$B,$A104)=0,"",MINIFS('Compras'!$A:$A,'Compras'!$B:$B,$A104)),""))</f>
      </c>
      <c r="W104" s="17">
        <f>IF(OR($A104="",$V104=""),"",TODAY()-$V104)</f>
      </c>
      <c r="X104" s="17">
        <f>IF($A104="","",SUMIF('Ventas'!$D:$D,$A104,'Ventas'!$F:$F))</f>
      </c>
      <c r="Y104" s="19">
        <f>IF($A104="","",IF(AND($X104&gt;=3,$W104&lt;&gt;"",$W104&lt;=15),"🔥 Se vende rápido — REABASTECE",IF($K104="Agotado","🔴 Agotado — reabastece",IF($K104="Stock bajo","🟠 Stock bajo","✅ Ok"))))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  <c r="V105" s="14">
        <f>IF($A105="","",IFERROR(IF(COUNTIF('Compras'!$B:$B,$A105)=0,"",MINIFS('Compras'!$A:$A,'Compras'!$B:$B,$A105)),""))</f>
      </c>
      <c r="W105" s="17">
        <f>IF(OR($A105="",$V105=""),"",TODAY()-$V105)</f>
      </c>
      <c r="X105" s="17">
        <f>IF($A105="","",SUMIF('Ventas'!$D:$D,$A105,'Ventas'!$F:$F))</f>
      </c>
      <c r="Y105" s="19">
        <f>IF($A105="","",IF(AND($X105&gt;=3,$W105&lt;&gt;"",$W105&lt;=15),"🔥 Se vende rápido — REABASTECE",IF($K105="Agotado","🔴 Agotado — reabastece",IF($K105="Stock bajo","🟠 Stock bajo","✅ Ok"))))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  <c r="V106" s="14">
        <f>IF($A106="","",IFERROR(IF(COUNTIF('Compras'!$B:$B,$A106)=0,"",MINIFS('Compras'!$A:$A,'Compras'!$B:$B,$A106)),""))</f>
      </c>
      <c r="W106" s="17">
        <f>IF(OR($A106="",$V106=""),"",TODAY()-$V106)</f>
      </c>
      <c r="X106" s="17">
        <f>IF($A106="","",SUMIF('Ventas'!$D:$D,$A106,'Ventas'!$F:$F))</f>
      </c>
      <c r="Y106" s="19">
        <f>IF($A106="","",IF(AND($X106&gt;=3,$W106&lt;&gt;"",$W106&lt;=15),"🔥 Se vende rápido — REABASTECE",IF($K106="Agotado","🔴 Agotado — reabastece",IF($K106="Stock bajo","🟠 Stock bajo","✅ Ok"))))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  <c r="V107" s="14">
        <f>IF($A107="","",IFERROR(IF(COUNTIF('Compras'!$B:$B,$A107)=0,"",MINIFS('Compras'!$A:$A,'Compras'!$B:$B,$A107)),""))</f>
      </c>
      <c r="W107" s="17">
        <f>IF(OR($A107="",$V107=""),"",TODAY()-$V107)</f>
      </c>
      <c r="X107" s="17">
        <f>IF($A107="","",SUMIF('Ventas'!$D:$D,$A107,'Ventas'!$F:$F))</f>
      </c>
      <c r="Y107" s="19">
        <f>IF($A107="","",IF(AND($X107&gt;=3,$W107&lt;&gt;"",$W107&lt;=15),"🔥 Se vende rápido — REABASTECE",IF($K107="Agotado","🔴 Agotado — reabastece",IF($K107="Stock bajo","🟠 Stock bajo","✅ Ok"))))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  <c r="V108" s="14">
        <f>IF($A108="","",IFERROR(IF(COUNTIF('Compras'!$B:$B,$A108)=0,"",MINIFS('Compras'!$A:$A,'Compras'!$B:$B,$A108)),""))</f>
      </c>
      <c r="W108" s="17">
        <f>IF(OR($A108="",$V108=""),"",TODAY()-$V108)</f>
      </c>
      <c r="X108" s="17">
        <f>IF($A108="","",SUMIF('Ventas'!$D:$D,$A108,'Ventas'!$F:$F))</f>
      </c>
      <c r="Y108" s="19">
        <f>IF($A108="","",IF(AND($X108&gt;=3,$W108&lt;&gt;"",$W108&lt;=15),"🔥 Se vende rápido — REABASTECE",IF($K108="Agotado","🔴 Agotado — reabastece",IF($K108="Stock bajo","🟠 Stock bajo","✅ Ok"))))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  <c r="V109" s="14">
        <f>IF($A109="","",IFERROR(IF(COUNTIF('Compras'!$B:$B,$A109)=0,"",MINIFS('Compras'!$A:$A,'Compras'!$B:$B,$A109)),""))</f>
      </c>
      <c r="W109" s="17">
        <f>IF(OR($A109="",$V109=""),"",TODAY()-$V109)</f>
      </c>
      <c r="X109" s="17">
        <f>IF($A109="","",SUMIF('Ventas'!$D:$D,$A109,'Ventas'!$F:$F))</f>
      </c>
      <c r="Y109" s="19">
        <f>IF($A109="","",IF(AND($X109&gt;=3,$W109&lt;&gt;"",$W109&lt;=15),"🔥 Se vende rápido — REABASTECE",IF($K109="Agotado","🔴 Agotado — reabastece",IF($K109="Stock bajo","🟠 Stock bajo","✅ Ok"))))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  <c r="V110" s="14">
        <f>IF($A110="","",IFERROR(IF(COUNTIF('Compras'!$B:$B,$A110)=0,"",MINIFS('Compras'!$A:$A,'Compras'!$B:$B,$A110)),""))</f>
      </c>
      <c r="W110" s="17">
        <f>IF(OR($A110="",$V110=""),"",TODAY()-$V110)</f>
      </c>
      <c r="X110" s="17">
        <f>IF($A110="","",SUMIF('Ventas'!$D:$D,$A110,'Ventas'!$F:$F))</f>
      </c>
      <c r="Y110" s="19">
        <f>IF($A110="","",IF(AND($X110&gt;=3,$W110&lt;&gt;"",$W110&lt;=15),"🔥 Se vende rápido — REABASTECE",IF($K110="Agotado","🔴 Agotado — reabastece",IF($K110="Stock bajo","🟠 Stock bajo","✅ Ok"))))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  <c r="V111" s="14">
        <f>IF($A111="","",IFERROR(IF(COUNTIF('Compras'!$B:$B,$A111)=0,"",MINIFS('Compras'!$A:$A,'Compras'!$B:$B,$A111)),""))</f>
      </c>
      <c r="W111" s="17">
        <f>IF(OR($A111="",$V111=""),"",TODAY()-$V111)</f>
      </c>
      <c r="X111" s="17">
        <f>IF($A111="","",SUMIF('Ventas'!$D:$D,$A111,'Ventas'!$F:$F))</f>
      </c>
      <c r="Y111" s="19">
        <f>IF($A111="","",IF(AND($X111&gt;=3,$W111&lt;&gt;"",$W111&lt;=15),"🔥 Se vende rápido — REABASTECE",IF($K111="Agotado","🔴 Agotado — reabastece",IF($K111="Stock bajo","🟠 Stock bajo","✅ Ok"))))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  <c r="V112" s="14">
        <f>IF($A112="","",IFERROR(IF(COUNTIF('Compras'!$B:$B,$A112)=0,"",MINIFS('Compras'!$A:$A,'Compras'!$B:$B,$A112)),""))</f>
      </c>
      <c r="W112" s="17">
        <f>IF(OR($A112="",$V112=""),"",TODAY()-$V112)</f>
      </c>
      <c r="X112" s="17">
        <f>IF($A112="","",SUMIF('Ventas'!$D:$D,$A112,'Ventas'!$F:$F))</f>
      </c>
      <c r="Y112" s="19">
        <f>IF($A112="","",IF(AND($X112&gt;=3,$W112&lt;&gt;"",$W112&lt;=15),"🔥 Se vende rápido — REABASTECE",IF($K112="Agotado","🔴 Agotado — reabastece",IF($K112="Stock bajo","🟠 Stock bajo","✅ Ok"))))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  <c r="V113" s="14">
        <f>IF($A113="","",IFERROR(IF(COUNTIF('Compras'!$B:$B,$A113)=0,"",MINIFS('Compras'!$A:$A,'Compras'!$B:$B,$A113)),""))</f>
      </c>
      <c r="W113" s="17">
        <f>IF(OR($A113="",$V113=""),"",TODAY()-$V113)</f>
      </c>
      <c r="X113" s="17">
        <f>IF($A113="","",SUMIF('Ventas'!$D:$D,$A113,'Ventas'!$F:$F))</f>
      </c>
      <c r="Y113" s="19">
        <f>IF($A113="","",IF(AND($X113&gt;=3,$W113&lt;&gt;"",$W113&lt;=15),"🔥 Se vende rápido — REABASTECE",IF($K113="Agotado","🔴 Agotado — reabastece",IF($K113="Stock bajo","🟠 Stock bajo","✅ Ok"))))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  <c r="V114" s="14">
        <f>IF($A114="","",IFERROR(IF(COUNTIF('Compras'!$B:$B,$A114)=0,"",MINIFS('Compras'!$A:$A,'Compras'!$B:$B,$A114)),""))</f>
      </c>
      <c r="W114" s="17">
        <f>IF(OR($A114="",$V114=""),"",TODAY()-$V114)</f>
      </c>
      <c r="X114" s="17">
        <f>IF($A114="","",SUMIF('Ventas'!$D:$D,$A114,'Ventas'!$F:$F))</f>
      </c>
      <c r="Y114" s="19">
        <f>IF($A114="","",IF(AND($X114&gt;=3,$W114&lt;&gt;"",$W114&lt;=15),"🔥 Se vende rápido — REABASTECE",IF($K114="Agotado","🔴 Agotado — reabastece",IF($K114="Stock bajo","🟠 Stock bajo","✅ Ok"))))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  <c r="V115" s="14">
        <f>IF($A115="","",IFERROR(IF(COUNTIF('Compras'!$B:$B,$A115)=0,"",MINIFS('Compras'!$A:$A,'Compras'!$B:$B,$A115)),""))</f>
      </c>
      <c r="W115" s="17">
        <f>IF(OR($A115="",$V115=""),"",TODAY()-$V115)</f>
      </c>
      <c r="X115" s="17">
        <f>IF($A115="","",SUMIF('Ventas'!$D:$D,$A115,'Ventas'!$F:$F))</f>
      </c>
      <c r="Y115" s="19">
        <f>IF($A115="","",IF(AND($X115&gt;=3,$W115&lt;&gt;"",$W115&lt;=15),"🔥 Se vende rápido — REABASTECE",IF($K115="Agotado","🔴 Agotado — reabastece",IF($K115="Stock bajo","🟠 Stock bajo","✅ Ok"))))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  <c r="V116" s="14">
        <f>IF($A116="","",IFERROR(IF(COUNTIF('Compras'!$B:$B,$A116)=0,"",MINIFS('Compras'!$A:$A,'Compras'!$B:$B,$A116)),""))</f>
      </c>
      <c r="W116" s="17">
        <f>IF(OR($A116="",$V116=""),"",TODAY()-$V116)</f>
      </c>
      <c r="X116" s="17">
        <f>IF($A116="","",SUMIF('Ventas'!$D:$D,$A116,'Ventas'!$F:$F))</f>
      </c>
      <c r="Y116" s="19">
        <f>IF($A116="","",IF(AND($X116&gt;=3,$W116&lt;&gt;"",$W116&lt;=15),"🔥 Se vende rápido — REABASTECE",IF($K116="Agotado","🔴 Agotado — reabastece",IF($K116="Stock bajo","🟠 Stock bajo","✅ Ok"))))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  <c r="V117" s="14">
        <f>IF($A117="","",IFERROR(IF(COUNTIF('Compras'!$B:$B,$A117)=0,"",MINIFS('Compras'!$A:$A,'Compras'!$B:$B,$A117)),""))</f>
      </c>
      <c r="W117" s="17">
        <f>IF(OR($A117="",$V117=""),"",TODAY()-$V117)</f>
      </c>
      <c r="X117" s="17">
        <f>IF($A117="","",SUMIF('Ventas'!$D:$D,$A117,'Ventas'!$F:$F))</f>
      </c>
      <c r="Y117" s="19">
        <f>IF($A117="","",IF(AND($X117&gt;=3,$W117&lt;&gt;"",$W117&lt;=15),"🔥 Se vende rápido — REABASTECE",IF($K117="Agotado","🔴 Agotado — reabastece",IF($K117="Stock bajo","🟠 Stock bajo","✅ Ok"))))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  <c r="V118" s="14">
        <f>IF($A118="","",IFERROR(IF(COUNTIF('Compras'!$B:$B,$A118)=0,"",MINIFS('Compras'!$A:$A,'Compras'!$B:$B,$A118)),""))</f>
      </c>
      <c r="W118" s="17">
        <f>IF(OR($A118="",$V118=""),"",TODAY()-$V118)</f>
      </c>
      <c r="X118" s="17">
        <f>IF($A118="","",SUMIF('Ventas'!$D:$D,$A118,'Ventas'!$F:$F))</f>
      </c>
      <c r="Y118" s="19">
        <f>IF($A118="","",IF(AND($X118&gt;=3,$W118&lt;&gt;"",$W118&lt;=15),"🔥 Se vende rápido — REABASTECE",IF($K118="Agotado","🔴 Agotado — reabastece",IF($K118="Stock bajo","🟠 Stock bajo","✅ Ok"))))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  <c r="V119" s="14">
        <f>IF($A119="","",IFERROR(IF(COUNTIF('Compras'!$B:$B,$A119)=0,"",MINIFS('Compras'!$A:$A,'Compras'!$B:$B,$A119)),""))</f>
      </c>
      <c r="W119" s="17">
        <f>IF(OR($A119="",$V119=""),"",TODAY()-$V119)</f>
      </c>
      <c r="X119" s="17">
        <f>IF($A119="","",SUMIF('Ventas'!$D:$D,$A119,'Ventas'!$F:$F))</f>
      </c>
      <c r="Y119" s="19">
        <f>IF($A119="","",IF(AND($X119&gt;=3,$W119&lt;&gt;"",$W119&lt;=15),"🔥 Se vende rápido — REABASTECE",IF($K119="Agotado","🔴 Agotado — reabastece",IF($K119="Stock bajo","🟠 Stock bajo","✅ Ok"))))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  <c r="V120" s="14">
        <f>IF($A120="","",IFERROR(IF(COUNTIF('Compras'!$B:$B,$A120)=0,"",MINIFS('Compras'!$A:$A,'Compras'!$B:$B,$A120)),""))</f>
      </c>
      <c r="W120" s="17">
        <f>IF(OR($A120="",$V120=""),"",TODAY()-$V120)</f>
      </c>
      <c r="X120" s="17">
        <f>IF($A120="","",SUMIF('Ventas'!$D:$D,$A120,'Ventas'!$F:$F))</f>
      </c>
      <c r="Y120" s="19">
        <f>IF($A120="","",IF(AND($X120&gt;=3,$W120&lt;&gt;"",$W120&lt;=15),"🔥 Se vende rápido — REABASTECE",IF($K120="Agotado","🔴 Agotado — reabastece",IF($K120="Stock bajo","🟠 Stock bajo","✅ Ok"))))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  <c r="V121" s="14">
        <f>IF($A121="","",IFERROR(IF(COUNTIF('Compras'!$B:$B,$A121)=0,"",MINIFS('Compras'!$A:$A,'Compras'!$B:$B,$A121)),""))</f>
      </c>
      <c r="W121" s="17">
        <f>IF(OR($A121="",$V121=""),"",TODAY()-$V121)</f>
      </c>
      <c r="X121" s="17">
        <f>IF($A121="","",SUMIF('Ventas'!$D:$D,$A121,'Ventas'!$F:$F))</f>
      </c>
      <c r="Y121" s="19">
        <f>IF($A121="","",IF(AND($X121&gt;=3,$W121&lt;&gt;"",$W121&lt;=15),"🔥 Se vende rápido — REABASTECE",IF($K121="Agotado","🔴 Agotado — reabastece",IF($K121="Stock bajo","🟠 Stock bajo","✅ Ok"))))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  <c r="V122" s="14">
        <f>IF($A122="","",IFERROR(IF(COUNTIF('Compras'!$B:$B,$A122)=0,"",MINIFS('Compras'!$A:$A,'Compras'!$B:$B,$A122)),""))</f>
      </c>
      <c r="W122" s="17">
        <f>IF(OR($A122="",$V122=""),"",TODAY()-$V122)</f>
      </c>
      <c r="X122" s="17">
        <f>IF($A122="","",SUMIF('Ventas'!$D:$D,$A122,'Ventas'!$F:$F))</f>
      </c>
      <c r="Y122" s="19">
        <f>IF($A122="","",IF(AND($X122&gt;=3,$W122&lt;&gt;"",$W122&lt;=15),"🔥 Se vende rápido — REABASTECE",IF($K122="Agotado","🔴 Agotado — reabastece",IF($K122="Stock bajo","🟠 Stock bajo","✅ Ok"))))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  <c r="V123" s="14">
        <f>IF($A123="","",IFERROR(IF(COUNTIF('Compras'!$B:$B,$A123)=0,"",MINIFS('Compras'!$A:$A,'Compras'!$B:$B,$A123)),""))</f>
      </c>
      <c r="W123" s="17">
        <f>IF(OR($A123="",$V123=""),"",TODAY()-$V123)</f>
      </c>
      <c r="X123" s="17">
        <f>IF($A123="","",SUMIF('Ventas'!$D:$D,$A123,'Ventas'!$F:$F))</f>
      </c>
      <c r="Y123" s="19">
        <f>IF($A123="","",IF(AND($X123&gt;=3,$W123&lt;&gt;"",$W123&lt;=15),"🔥 Se vende rápido — REABASTECE",IF($K123="Agotado","🔴 Agotado — reabastece",IF($K123="Stock bajo","🟠 Stock bajo","✅ Ok"))))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  <c r="V124" s="14">
        <f>IF($A124="","",IFERROR(IF(COUNTIF('Compras'!$B:$B,$A124)=0,"",MINIFS('Compras'!$A:$A,'Compras'!$B:$B,$A124)),""))</f>
      </c>
      <c r="W124" s="17">
        <f>IF(OR($A124="",$V124=""),"",TODAY()-$V124)</f>
      </c>
      <c r="X124" s="17">
        <f>IF($A124="","",SUMIF('Ventas'!$D:$D,$A124,'Ventas'!$F:$F))</f>
      </c>
      <c r="Y124" s="19">
        <f>IF($A124="","",IF(AND($X124&gt;=3,$W124&lt;&gt;"",$W124&lt;=15),"🔥 Se vende rápido — REABASTECE",IF($K124="Agotado","🔴 Agotado — reabastece",IF($K124="Stock bajo","🟠 Stock bajo","✅ Ok"))))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  <c r="V125" s="14">
        <f>IF($A125="","",IFERROR(IF(COUNTIF('Compras'!$B:$B,$A125)=0,"",MINIFS('Compras'!$A:$A,'Compras'!$B:$B,$A125)),""))</f>
      </c>
      <c r="W125" s="17">
        <f>IF(OR($A125="",$V125=""),"",TODAY()-$V125)</f>
      </c>
      <c r="X125" s="17">
        <f>IF($A125="","",SUMIF('Ventas'!$D:$D,$A125,'Ventas'!$F:$F))</f>
      </c>
      <c r="Y125" s="19">
        <f>IF($A125="","",IF(AND($X125&gt;=3,$W125&lt;&gt;"",$W125&lt;=15),"🔥 Se vende rápido — REABASTECE",IF($K125="Agotado","🔴 Agotado — reabastece",IF($K125="Stock bajo","🟠 Stock bajo","✅ Ok"))))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  <c r="V126" s="14">
        <f>IF($A126="","",IFERROR(IF(COUNTIF('Compras'!$B:$B,$A126)=0,"",MINIFS('Compras'!$A:$A,'Compras'!$B:$B,$A126)),""))</f>
      </c>
      <c r="W126" s="17">
        <f>IF(OR($A126="",$V126=""),"",TODAY()-$V126)</f>
      </c>
      <c r="X126" s="17">
        <f>IF($A126="","",SUMIF('Ventas'!$D:$D,$A126,'Ventas'!$F:$F))</f>
      </c>
      <c r="Y126" s="19">
        <f>IF($A126="","",IF(AND($X126&gt;=3,$W126&lt;&gt;"",$W126&lt;=15),"🔥 Se vende rápido — REABASTECE",IF($K126="Agotado","🔴 Agotado — reabastece",IF($K126="Stock bajo","🟠 Stock bajo","✅ Ok"))))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  <c r="V127" s="14">
        <f>IF($A127="","",IFERROR(IF(COUNTIF('Compras'!$B:$B,$A127)=0,"",MINIFS('Compras'!$A:$A,'Compras'!$B:$B,$A127)),""))</f>
      </c>
      <c r="W127" s="17">
        <f>IF(OR($A127="",$V127=""),"",TODAY()-$V127)</f>
      </c>
      <c r="X127" s="17">
        <f>IF($A127="","",SUMIF('Ventas'!$D:$D,$A127,'Ventas'!$F:$F))</f>
      </c>
      <c r="Y127" s="19">
        <f>IF($A127="","",IF(AND($X127&gt;=3,$W127&lt;&gt;"",$W127&lt;=15),"🔥 Se vende rápido — REABASTECE",IF($K127="Agotado","🔴 Agotado — reabastece",IF($K127="Stock bajo","🟠 Stock bajo","✅ Ok"))))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  <c r="V128" s="14">
        <f>IF($A128="","",IFERROR(IF(COUNTIF('Compras'!$B:$B,$A128)=0,"",MINIFS('Compras'!$A:$A,'Compras'!$B:$B,$A128)),""))</f>
      </c>
      <c r="W128" s="17">
        <f>IF(OR($A128="",$V128=""),"",TODAY()-$V128)</f>
      </c>
      <c r="X128" s="17">
        <f>IF($A128="","",SUMIF('Ventas'!$D:$D,$A128,'Ventas'!$F:$F))</f>
      </c>
      <c r="Y128" s="19">
        <f>IF($A128="","",IF(AND($X128&gt;=3,$W128&lt;&gt;"",$W128&lt;=15),"🔥 Se vende rápido — REABASTECE",IF($K128="Agotado","🔴 Agotado — reabastece",IF($K128="Stock bajo","🟠 Stock bajo","✅ Ok"))))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  <c r="V129" s="14">
        <f>IF($A129="","",IFERROR(IF(COUNTIF('Compras'!$B:$B,$A129)=0,"",MINIFS('Compras'!$A:$A,'Compras'!$B:$B,$A129)),""))</f>
      </c>
      <c r="W129" s="17">
        <f>IF(OR($A129="",$V129=""),"",TODAY()-$V129)</f>
      </c>
      <c r="X129" s="17">
        <f>IF($A129="","",SUMIF('Ventas'!$D:$D,$A129,'Ventas'!$F:$F))</f>
      </c>
      <c r="Y129" s="19">
        <f>IF($A129="","",IF(AND($X129&gt;=3,$W129&lt;&gt;"",$W129&lt;=15),"🔥 Se vende rápido — REABASTECE",IF($K129="Agotado","🔴 Agotado — reabastece",IF($K129="Stock bajo","🟠 Stock bajo","✅ Ok"))))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  <c r="V130" s="14">
        <f>IF($A130="","",IFERROR(IF(COUNTIF('Compras'!$B:$B,$A130)=0,"",MINIFS('Compras'!$A:$A,'Compras'!$B:$B,$A130)),""))</f>
      </c>
      <c r="W130" s="17">
        <f>IF(OR($A130="",$V130=""),"",TODAY()-$V130)</f>
      </c>
      <c r="X130" s="17">
        <f>IF($A130="","",SUMIF('Ventas'!$D:$D,$A130,'Ventas'!$F:$F))</f>
      </c>
      <c r="Y130" s="19">
        <f>IF($A130="","",IF(AND($X130&gt;=3,$W130&lt;&gt;"",$W130&lt;=15),"🔥 Se vende rápido — REABASTECE",IF($K130="Agotado","🔴 Agotado — reabastece",IF($K130="Stock bajo","🟠 Stock bajo","✅ Ok"))))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  <c r="V131" s="14">
        <f>IF($A131="","",IFERROR(IF(COUNTIF('Compras'!$B:$B,$A131)=0,"",MINIFS('Compras'!$A:$A,'Compras'!$B:$B,$A131)),""))</f>
      </c>
      <c r="W131" s="17">
        <f>IF(OR($A131="",$V131=""),"",TODAY()-$V131)</f>
      </c>
      <c r="X131" s="17">
        <f>IF($A131="","",SUMIF('Ventas'!$D:$D,$A131,'Ventas'!$F:$F))</f>
      </c>
      <c r="Y131" s="19">
        <f>IF($A131="","",IF(AND($X131&gt;=3,$W131&lt;&gt;"",$W131&lt;=15),"🔥 Se vende rápido — REABASTECE",IF($K131="Agotado","🔴 Agotado — reabastece",IF($K131="Stock bajo","🟠 Stock bajo","✅ Ok"))))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  <c r="V132" s="14">
        <f>IF($A132="","",IFERROR(IF(COUNTIF('Compras'!$B:$B,$A132)=0,"",MINIFS('Compras'!$A:$A,'Compras'!$B:$B,$A132)),""))</f>
      </c>
      <c r="W132" s="17">
        <f>IF(OR($A132="",$V132=""),"",TODAY()-$V132)</f>
      </c>
      <c r="X132" s="17">
        <f>IF($A132="","",SUMIF('Ventas'!$D:$D,$A132,'Ventas'!$F:$F))</f>
      </c>
      <c r="Y132" s="19">
        <f>IF($A132="","",IF(AND($X132&gt;=3,$W132&lt;&gt;"",$W132&lt;=15),"🔥 Se vende rápido — REABASTECE",IF($K132="Agotado","🔴 Agotado — reabastece",IF($K132="Stock bajo","🟠 Stock bajo","✅ Ok"))))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  <c r="V133" s="14">
        <f>IF($A133="","",IFERROR(IF(COUNTIF('Compras'!$B:$B,$A133)=0,"",MINIFS('Compras'!$A:$A,'Compras'!$B:$B,$A133)),""))</f>
      </c>
      <c r="W133" s="17">
        <f>IF(OR($A133="",$V133=""),"",TODAY()-$V133)</f>
      </c>
      <c r="X133" s="17">
        <f>IF($A133="","",SUMIF('Ventas'!$D:$D,$A133,'Ventas'!$F:$F))</f>
      </c>
      <c r="Y133" s="19">
        <f>IF($A133="","",IF(AND($X133&gt;=3,$W133&lt;&gt;"",$W133&lt;=15),"🔥 Se vende rápido — REABASTECE",IF($K133="Agotado","🔴 Agotado — reabastece",IF($K133="Stock bajo","🟠 Stock bajo","✅ Ok"))))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  <c r="V134" s="14">
        <f>IF($A134="","",IFERROR(IF(COUNTIF('Compras'!$B:$B,$A134)=0,"",MINIFS('Compras'!$A:$A,'Compras'!$B:$B,$A134)),""))</f>
      </c>
      <c r="W134" s="17">
        <f>IF(OR($A134="",$V134=""),"",TODAY()-$V134)</f>
      </c>
      <c r="X134" s="17">
        <f>IF($A134="","",SUMIF('Ventas'!$D:$D,$A134,'Ventas'!$F:$F))</f>
      </c>
      <c r="Y134" s="19">
        <f>IF($A134="","",IF(AND($X134&gt;=3,$W134&lt;&gt;"",$W134&lt;=15),"🔥 Se vende rápido — REABASTECE",IF($K134="Agotado","🔴 Agotado — reabastece",IF($K134="Stock bajo","🟠 Stock bajo","✅ Ok"))))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  <c r="V135" s="14">
        <f>IF($A135="","",IFERROR(IF(COUNTIF('Compras'!$B:$B,$A135)=0,"",MINIFS('Compras'!$A:$A,'Compras'!$B:$B,$A135)),""))</f>
      </c>
      <c r="W135" s="17">
        <f>IF(OR($A135="",$V135=""),"",TODAY()-$V135)</f>
      </c>
      <c r="X135" s="17">
        <f>IF($A135="","",SUMIF('Ventas'!$D:$D,$A135,'Ventas'!$F:$F))</f>
      </c>
      <c r="Y135" s="19">
        <f>IF($A135="","",IF(AND($X135&gt;=3,$W135&lt;&gt;"",$W135&lt;=15),"🔥 Se vende rápido — REABASTECE",IF($K135="Agotado","🔴 Agotado — reabastece",IF($K135="Stock bajo","🟠 Stock bajo","✅ Ok"))))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  <c r="V136" s="14">
        <f>IF($A136="","",IFERROR(IF(COUNTIF('Compras'!$B:$B,$A136)=0,"",MINIFS('Compras'!$A:$A,'Compras'!$B:$B,$A136)),""))</f>
      </c>
      <c r="W136" s="17">
        <f>IF(OR($A136="",$V136=""),"",TODAY()-$V136)</f>
      </c>
      <c r="X136" s="17">
        <f>IF($A136="","",SUMIF('Ventas'!$D:$D,$A136,'Ventas'!$F:$F))</f>
      </c>
      <c r="Y136" s="19">
        <f>IF($A136="","",IF(AND($X136&gt;=3,$W136&lt;&gt;"",$W136&lt;=15),"🔥 Se vende rápido — REABASTECE",IF($K136="Agotado","🔴 Agotado — reabastece",IF($K136="Stock bajo","🟠 Stock bajo","✅ Ok"))))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  <c r="V137" s="14">
        <f>IF($A137="","",IFERROR(IF(COUNTIF('Compras'!$B:$B,$A137)=0,"",MINIFS('Compras'!$A:$A,'Compras'!$B:$B,$A137)),""))</f>
      </c>
      <c r="W137" s="17">
        <f>IF(OR($A137="",$V137=""),"",TODAY()-$V137)</f>
      </c>
      <c r="X137" s="17">
        <f>IF($A137="","",SUMIF('Ventas'!$D:$D,$A137,'Ventas'!$F:$F))</f>
      </c>
      <c r="Y137" s="19">
        <f>IF($A137="","",IF(AND($X137&gt;=3,$W137&lt;&gt;"",$W137&lt;=15),"🔥 Se vende rápido — REABASTECE",IF($K137="Agotado","🔴 Agotado — reabastece",IF($K137="Stock bajo","🟠 Stock bajo","✅ Ok"))))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  <c r="V138" s="14">
        <f>IF($A138="","",IFERROR(IF(COUNTIF('Compras'!$B:$B,$A138)=0,"",MINIFS('Compras'!$A:$A,'Compras'!$B:$B,$A138)),""))</f>
      </c>
      <c r="W138" s="17">
        <f>IF(OR($A138="",$V138=""),"",TODAY()-$V138)</f>
      </c>
      <c r="X138" s="17">
        <f>IF($A138="","",SUMIF('Ventas'!$D:$D,$A138,'Ventas'!$F:$F))</f>
      </c>
      <c r="Y138" s="19">
        <f>IF($A138="","",IF(AND($X138&gt;=3,$W138&lt;&gt;"",$W138&lt;=15),"🔥 Se vende rápido — REABASTECE",IF($K138="Agotado","🔴 Agotado — reabastece",IF($K138="Stock bajo","🟠 Stock bajo","✅ Ok"))))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  <c r="V139" s="14">
        <f>IF($A139="","",IFERROR(IF(COUNTIF('Compras'!$B:$B,$A139)=0,"",MINIFS('Compras'!$A:$A,'Compras'!$B:$B,$A139)),""))</f>
      </c>
      <c r="W139" s="17">
        <f>IF(OR($A139="",$V139=""),"",TODAY()-$V139)</f>
      </c>
      <c r="X139" s="17">
        <f>IF($A139="","",SUMIF('Ventas'!$D:$D,$A139,'Ventas'!$F:$F))</f>
      </c>
      <c r="Y139" s="19">
        <f>IF($A139="","",IF(AND($X139&gt;=3,$W139&lt;&gt;"",$W139&lt;=15),"🔥 Se vende rápido — REABASTECE",IF($K139="Agotado","🔴 Agotado — reabastece",IF($K139="Stock bajo","🟠 Stock bajo","✅ Ok"))))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  <c r="V140" s="14">
        <f>IF($A140="","",IFERROR(IF(COUNTIF('Compras'!$B:$B,$A140)=0,"",MINIFS('Compras'!$A:$A,'Compras'!$B:$B,$A140)),""))</f>
      </c>
      <c r="W140" s="17">
        <f>IF(OR($A140="",$V140=""),"",TODAY()-$V140)</f>
      </c>
      <c r="X140" s="17">
        <f>IF($A140="","",SUMIF('Ventas'!$D:$D,$A140,'Ventas'!$F:$F))</f>
      </c>
      <c r="Y140" s="19">
        <f>IF($A140="","",IF(AND($X140&gt;=3,$W140&lt;&gt;"",$W140&lt;=15),"🔥 Se vende rápido — REABASTECE",IF($K140="Agotado","🔴 Agotado — reabastece",IF($K140="Stock bajo","🟠 Stock bajo","✅ Ok"))))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  <c r="V141" s="14">
        <f>IF($A141="","",IFERROR(IF(COUNTIF('Compras'!$B:$B,$A141)=0,"",MINIFS('Compras'!$A:$A,'Compras'!$B:$B,$A141)),""))</f>
      </c>
      <c r="W141" s="17">
        <f>IF(OR($A141="",$V141=""),"",TODAY()-$V141)</f>
      </c>
      <c r="X141" s="17">
        <f>IF($A141="","",SUMIF('Ventas'!$D:$D,$A141,'Ventas'!$F:$F))</f>
      </c>
      <c r="Y141" s="19">
        <f>IF($A141="","",IF(AND($X141&gt;=3,$W141&lt;&gt;"",$W141&lt;=15),"🔥 Se vende rápido — REABASTECE",IF($K141="Agotado","🔴 Agotado — reabastece",IF($K141="Stock bajo","🟠 Stock bajo","✅ Ok"))))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  <c r="V142" s="14">
        <f>IF($A142="","",IFERROR(IF(COUNTIF('Compras'!$B:$B,$A142)=0,"",MINIFS('Compras'!$A:$A,'Compras'!$B:$B,$A142)),""))</f>
      </c>
      <c r="W142" s="17">
        <f>IF(OR($A142="",$V142=""),"",TODAY()-$V142)</f>
      </c>
      <c r="X142" s="17">
        <f>IF($A142="","",SUMIF('Ventas'!$D:$D,$A142,'Ventas'!$F:$F))</f>
      </c>
      <c r="Y142" s="19">
        <f>IF($A142="","",IF(AND($X142&gt;=3,$W142&lt;&gt;"",$W142&lt;=15),"🔥 Se vende rápido — REABASTECE",IF($K142="Agotado","🔴 Agotado — reabastece",IF($K142="Stock bajo","🟠 Stock bajo","✅ Ok"))))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  <c r="V143" s="14">
        <f>IF($A143="","",IFERROR(IF(COUNTIF('Compras'!$B:$B,$A143)=0,"",MINIFS('Compras'!$A:$A,'Compras'!$B:$B,$A143)),""))</f>
      </c>
      <c r="W143" s="17">
        <f>IF(OR($A143="",$V143=""),"",TODAY()-$V143)</f>
      </c>
      <c r="X143" s="17">
        <f>IF($A143="","",SUMIF('Ventas'!$D:$D,$A143,'Ventas'!$F:$F))</f>
      </c>
      <c r="Y143" s="19">
        <f>IF($A143="","",IF(AND($X143&gt;=3,$W143&lt;&gt;"",$W143&lt;=15),"🔥 Se vende rápido — REABASTECE",IF($K143="Agotado","🔴 Agotado — reabastece",IF($K143="Stock bajo","🟠 Stock bajo","✅ Ok"))))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  <c r="V144" s="14">
        <f>IF($A144="","",IFERROR(IF(COUNTIF('Compras'!$B:$B,$A144)=0,"",MINIFS('Compras'!$A:$A,'Compras'!$B:$B,$A144)),""))</f>
      </c>
      <c r="W144" s="17">
        <f>IF(OR($A144="",$V144=""),"",TODAY()-$V144)</f>
      </c>
      <c r="X144" s="17">
        <f>IF($A144="","",SUMIF('Ventas'!$D:$D,$A144,'Ventas'!$F:$F))</f>
      </c>
      <c r="Y144" s="19">
        <f>IF($A144="","",IF(AND($X144&gt;=3,$W144&lt;&gt;"",$W144&lt;=15),"🔥 Se vende rápido — REABASTECE",IF($K144="Agotado","🔴 Agotado — reabastece",IF($K144="Stock bajo","🟠 Stock bajo","✅ Ok"))))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  <c r="V145" s="14">
        <f>IF($A145="","",IFERROR(IF(COUNTIF('Compras'!$B:$B,$A145)=0,"",MINIFS('Compras'!$A:$A,'Compras'!$B:$B,$A145)),""))</f>
      </c>
      <c r="W145" s="17">
        <f>IF(OR($A145="",$V145=""),"",TODAY()-$V145)</f>
      </c>
      <c r="X145" s="17">
        <f>IF($A145="","",SUMIF('Ventas'!$D:$D,$A145,'Ventas'!$F:$F))</f>
      </c>
      <c r="Y145" s="19">
        <f>IF($A145="","",IF(AND($X145&gt;=3,$W145&lt;&gt;"",$W145&lt;=15),"🔥 Se vende rápido — REABASTECE",IF($K145="Agotado","🔴 Agotado — reabastece",IF($K145="Stock bajo","🟠 Stock bajo","✅ Ok"))))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  <c r="V146" s="14">
        <f>IF($A146="","",IFERROR(IF(COUNTIF('Compras'!$B:$B,$A146)=0,"",MINIFS('Compras'!$A:$A,'Compras'!$B:$B,$A146)),""))</f>
      </c>
      <c r="W146" s="17">
        <f>IF(OR($A146="",$V146=""),"",TODAY()-$V146)</f>
      </c>
      <c r="X146" s="17">
        <f>IF($A146="","",SUMIF('Ventas'!$D:$D,$A146,'Ventas'!$F:$F))</f>
      </c>
      <c r="Y146" s="19">
        <f>IF($A146="","",IF(AND($X146&gt;=3,$W146&lt;&gt;"",$W146&lt;=15),"🔥 Se vende rápido — REABASTECE",IF($K146="Agotado","🔴 Agotado — reabastece",IF($K146="Stock bajo","🟠 Stock bajo","✅ Ok"))))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  <c r="V147" s="14">
        <f>IF($A147="","",IFERROR(IF(COUNTIF('Compras'!$B:$B,$A147)=0,"",MINIFS('Compras'!$A:$A,'Compras'!$B:$B,$A147)),""))</f>
      </c>
      <c r="W147" s="17">
        <f>IF(OR($A147="",$V147=""),"",TODAY()-$V147)</f>
      </c>
      <c r="X147" s="17">
        <f>IF($A147="","",SUMIF('Ventas'!$D:$D,$A147,'Ventas'!$F:$F))</f>
      </c>
      <c r="Y147" s="19">
        <f>IF($A147="","",IF(AND($X147&gt;=3,$W147&lt;&gt;"",$W147&lt;=15),"🔥 Se vende rápido — REABASTECE",IF($K147="Agotado","🔴 Agotado — reabastece",IF($K147="Stock bajo","🟠 Stock bajo","✅ Ok"))))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  <c r="V148" s="14">
        <f>IF($A148="","",IFERROR(IF(COUNTIF('Compras'!$B:$B,$A148)=0,"",MINIFS('Compras'!$A:$A,'Compras'!$B:$B,$A148)),""))</f>
      </c>
      <c r="W148" s="17">
        <f>IF(OR($A148="",$V148=""),"",TODAY()-$V148)</f>
      </c>
      <c r="X148" s="17">
        <f>IF($A148="","",SUMIF('Ventas'!$D:$D,$A148,'Ventas'!$F:$F))</f>
      </c>
      <c r="Y148" s="19">
        <f>IF($A148="","",IF(AND($X148&gt;=3,$W148&lt;&gt;"",$W148&lt;=15),"🔥 Se vende rápido — REABASTECE",IF($K148="Agotado","🔴 Agotado — reabastece",IF($K148="Stock bajo","🟠 Stock bajo","✅ Ok"))))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  <c r="V149" s="14">
        <f>IF($A149="","",IFERROR(IF(COUNTIF('Compras'!$B:$B,$A149)=0,"",MINIFS('Compras'!$A:$A,'Compras'!$B:$B,$A149)),""))</f>
      </c>
      <c r="W149" s="17">
        <f>IF(OR($A149="",$V149=""),"",TODAY()-$V149)</f>
      </c>
      <c r="X149" s="17">
        <f>IF($A149="","",SUMIF('Ventas'!$D:$D,$A149,'Ventas'!$F:$F))</f>
      </c>
      <c r="Y149" s="19">
        <f>IF($A149="","",IF(AND($X149&gt;=3,$W149&lt;&gt;"",$W149&lt;=15),"🔥 Se vende rápido — REABASTECE",IF($K149="Agotado","🔴 Agotado — reabastece",IF($K149="Stock bajo","🟠 Stock bajo","✅ Ok"))))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  <c r="V150" s="14">
        <f>IF($A150="","",IFERROR(IF(COUNTIF('Compras'!$B:$B,$A150)=0,"",MINIFS('Compras'!$A:$A,'Compras'!$B:$B,$A150)),""))</f>
      </c>
      <c r="W150" s="17">
        <f>IF(OR($A150="",$V150=""),"",TODAY()-$V150)</f>
      </c>
      <c r="X150" s="17">
        <f>IF($A150="","",SUMIF('Ventas'!$D:$D,$A150,'Ventas'!$F:$F))</f>
      </c>
      <c r="Y150" s="19">
        <f>IF($A150="","",IF(AND($X150&gt;=3,$W150&lt;&gt;"",$W150&lt;=15),"🔥 Se vende rápido — REABASTECE",IF($K150="Agotado","🔴 Agotado — reabastece",IF($K150="Stock bajo","🟠 Stock bajo","✅ Ok"))))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  <c r="V151" s="14">
        <f>IF($A151="","",IFERROR(IF(COUNTIF('Compras'!$B:$B,$A151)=0,"",MINIFS('Compras'!$A:$A,'Compras'!$B:$B,$A151)),""))</f>
      </c>
      <c r="W151" s="17">
        <f>IF(OR($A151="",$V151=""),"",TODAY()-$V151)</f>
      </c>
      <c r="X151" s="17">
        <f>IF($A151="","",SUMIF('Ventas'!$D:$D,$A151,'Ventas'!$F:$F))</f>
      </c>
      <c r="Y151" s="19">
        <f>IF($A151="","",IF(AND($X151&gt;=3,$W151&lt;&gt;"",$W151&lt;=15),"🔥 Se vende rápido — REABASTECE",IF($K151="Agotado","🔴 Agotado — reabastece",IF($K151="Stock bajo","🟠 Stock bajo","✅ Ok"))))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  <c r="V152" s="14">
        <f>IF($A152="","",IFERROR(IF(COUNTIF('Compras'!$B:$B,$A152)=0,"",MINIFS('Compras'!$A:$A,'Compras'!$B:$B,$A152)),""))</f>
      </c>
      <c r="W152" s="17">
        <f>IF(OR($A152="",$V152=""),"",TODAY()-$V152)</f>
      </c>
      <c r="X152" s="17">
        <f>IF($A152="","",SUMIF('Ventas'!$D:$D,$A152,'Ventas'!$F:$F))</f>
      </c>
      <c r="Y152" s="19">
        <f>IF($A152="","",IF(AND($X152&gt;=3,$W152&lt;&gt;"",$W152&lt;=15),"🔥 Se vende rápido — REABASTECE",IF($K152="Agotado","🔴 Agotado — reabastece",IF($K152="Stock bajo","🟠 Stock bajo","✅ Ok"))))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  <c r="V153" s="14">
        <f>IF($A153="","",IFERROR(IF(COUNTIF('Compras'!$B:$B,$A153)=0,"",MINIFS('Compras'!$A:$A,'Compras'!$B:$B,$A153)),""))</f>
      </c>
      <c r="W153" s="17">
        <f>IF(OR($A153="",$V153=""),"",TODAY()-$V153)</f>
      </c>
      <c r="X153" s="17">
        <f>IF($A153="","",SUMIF('Ventas'!$D:$D,$A153,'Ventas'!$F:$F))</f>
      </c>
      <c r="Y153" s="19">
        <f>IF($A153="","",IF(AND($X153&gt;=3,$W153&lt;&gt;"",$W153&lt;=15),"🔥 Se vende rápido — REABASTECE",IF($K153="Agotado","🔴 Agotado — reabastece",IF($K153="Stock bajo","🟠 Stock bajo","✅ Ok"))))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  <c r="V154" s="14">
        <f>IF($A154="","",IFERROR(IF(COUNTIF('Compras'!$B:$B,$A154)=0,"",MINIFS('Compras'!$A:$A,'Compras'!$B:$B,$A154)),""))</f>
      </c>
      <c r="W154" s="17">
        <f>IF(OR($A154="",$V154=""),"",TODAY()-$V154)</f>
      </c>
      <c r="X154" s="17">
        <f>IF($A154="","",SUMIF('Ventas'!$D:$D,$A154,'Ventas'!$F:$F))</f>
      </c>
      <c r="Y154" s="19">
        <f>IF($A154="","",IF(AND($X154&gt;=3,$W154&lt;&gt;"",$W154&lt;=15),"🔥 Se vende rápido — REABASTECE",IF($K154="Agotado","🔴 Agotado — reabastece",IF($K154="Stock bajo","🟠 Stock bajo","✅ Ok"))))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  <c r="V155" s="14">
        <f>IF($A155="","",IFERROR(IF(COUNTIF('Compras'!$B:$B,$A155)=0,"",MINIFS('Compras'!$A:$A,'Compras'!$B:$B,$A155)),""))</f>
      </c>
      <c r="W155" s="17">
        <f>IF(OR($A155="",$V155=""),"",TODAY()-$V155)</f>
      </c>
      <c r="X155" s="17">
        <f>IF($A155="","",SUMIF('Ventas'!$D:$D,$A155,'Ventas'!$F:$F))</f>
      </c>
      <c r="Y155" s="19">
        <f>IF($A155="","",IF(AND($X155&gt;=3,$W155&lt;&gt;"",$W155&lt;=15),"🔥 Se vende rápido — REABASTECE",IF($K155="Agotado","🔴 Agotado — reabastece",IF($K155="Stock bajo","🟠 Stock bajo","✅ Ok"))))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  <c r="V156" s="14">
        <f>IF($A156="","",IFERROR(IF(COUNTIF('Compras'!$B:$B,$A156)=0,"",MINIFS('Compras'!$A:$A,'Compras'!$B:$B,$A156)),""))</f>
      </c>
      <c r="W156" s="17">
        <f>IF(OR($A156="",$V156=""),"",TODAY()-$V156)</f>
      </c>
      <c r="X156" s="17">
        <f>IF($A156="","",SUMIF('Ventas'!$D:$D,$A156,'Ventas'!$F:$F))</f>
      </c>
      <c r="Y156" s="19">
        <f>IF($A156="","",IF(AND($X156&gt;=3,$W156&lt;&gt;"",$W156&lt;=15),"🔥 Se vende rápido — REABASTECE",IF($K156="Agotado","🔴 Agotado — reabastece",IF($K156="Stock bajo","🟠 Stock bajo","✅ Ok"))))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  <c r="V157" s="14">
        <f>IF($A157="","",IFERROR(IF(COUNTIF('Compras'!$B:$B,$A157)=0,"",MINIFS('Compras'!$A:$A,'Compras'!$B:$B,$A157)),""))</f>
      </c>
      <c r="W157" s="17">
        <f>IF(OR($A157="",$V157=""),"",TODAY()-$V157)</f>
      </c>
      <c r="X157" s="17">
        <f>IF($A157="","",SUMIF('Ventas'!$D:$D,$A157,'Ventas'!$F:$F))</f>
      </c>
      <c r="Y157" s="19">
        <f>IF($A157="","",IF(AND($X157&gt;=3,$W157&lt;&gt;"",$W157&lt;=15),"🔥 Se vende rápido — REABASTECE",IF($K157="Agotado","🔴 Agotado — reabastece",IF($K157="Stock bajo","🟠 Stock bajo","✅ Ok"))))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  <c r="V158" s="14">
        <f>IF($A158="","",IFERROR(IF(COUNTIF('Compras'!$B:$B,$A158)=0,"",MINIFS('Compras'!$A:$A,'Compras'!$B:$B,$A158)),""))</f>
      </c>
      <c r="W158" s="17">
        <f>IF(OR($A158="",$V158=""),"",TODAY()-$V158)</f>
      </c>
      <c r="X158" s="17">
        <f>IF($A158="","",SUMIF('Ventas'!$D:$D,$A158,'Ventas'!$F:$F))</f>
      </c>
      <c r="Y158" s="19">
        <f>IF($A158="","",IF(AND($X158&gt;=3,$W158&lt;&gt;"",$W158&lt;=15),"🔥 Se vende rápido — REABASTECE",IF($K158="Agotado","🔴 Agotado — reabastece",IF($K158="Stock bajo","🟠 Stock bajo","✅ Ok"))))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  <c r="V159" s="14">
        <f>IF($A159="","",IFERROR(IF(COUNTIF('Compras'!$B:$B,$A159)=0,"",MINIFS('Compras'!$A:$A,'Compras'!$B:$B,$A159)),""))</f>
      </c>
      <c r="W159" s="17">
        <f>IF(OR($A159="",$V159=""),"",TODAY()-$V159)</f>
      </c>
      <c r="X159" s="17">
        <f>IF($A159="","",SUMIF('Ventas'!$D:$D,$A159,'Ventas'!$F:$F))</f>
      </c>
      <c r="Y159" s="19">
        <f>IF($A159="","",IF(AND($X159&gt;=3,$W159&lt;&gt;"",$W159&lt;=15),"🔥 Se vende rápido — REABASTECE",IF($K159="Agotado","🔴 Agotado — reabastece",IF($K159="Stock bajo","🟠 Stock bajo","✅ Ok"))))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  <c r="V160" s="14">
        <f>IF($A160="","",IFERROR(IF(COUNTIF('Compras'!$B:$B,$A160)=0,"",MINIFS('Compras'!$A:$A,'Compras'!$B:$B,$A160)),""))</f>
      </c>
      <c r="W160" s="17">
        <f>IF(OR($A160="",$V160=""),"",TODAY()-$V160)</f>
      </c>
      <c r="X160" s="17">
        <f>IF($A160="","",SUMIF('Ventas'!$D:$D,$A160,'Ventas'!$F:$F))</f>
      </c>
      <c r="Y160" s="19">
        <f>IF($A160="","",IF(AND($X160&gt;=3,$W160&lt;&gt;"",$W160&lt;=15),"🔥 Se vende rápido — REABASTECE",IF($K160="Agotado","🔴 Agotado — reabastece",IF($K160="Stock bajo","🟠 Stock bajo","✅ Ok"))))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  <c r="V161" s="14">
        <f>IF($A161="","",IFERROR(IF(COUNTIF('Compras'!$B:$B,$A161)=0,"",MINIFS('Compras'!$A:$A,'Compras'!$B:$B,$A161)),""))</f>
      </c>
      <c r="W161" s="17">
        <f>IF(OR($A161="",$V161=""),"",TODAY()-$V161)</f>
      </c>
      <c r="X161" s="17">
        <f>IF($A161="","",SUMIF('Ventas'!$D:$D,$A161,'Ventas'!$F:$F))</f>
      </c>
      <c r="Y161" s="19">
        <f>IF($A161="","",IF(AND($X161&gt;=3,$W161&lt;&gt;"",$W161&lt;=15),"🔥 Se vende rápido — REABASTECE",IF($K161="Agotado","🔴 Agotado — reabastece",IF($K161="Stock bajo","🟠 Stock bajo","✅ Ok"))))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  <c r="V162" s="14">
        <f>IF($A162="","",IFERROR(IF(COUNTIF('Compras'!$B:$B,$A162)=0,"",MINIFS('Compras'!$A:$A,'Compras'!$B:$B,$A162)),""))</f>
      </c>
      <c r="W162" s="17">
        <f>IF(OR($A162="",$V162=""),"",TODAY()-$V162)</f>
      </c>
      <c r="X162" s="17">
        <f>IF($A162="","",SUMIF('Ventas'!$D:$D,$A162,'Ventas'!$F:$F))</f>
      </c>
      <c r="Y162" s="19">
        <f>IF($A162="","",IF(AND($X162&gt;=3,$W162&lt;&gt;"",$W162&lt;=15),"🔥 Se vende rápido — REABASTECE",IF($K162="Agotado","🔴 Agotado — reabastece",IF($K162="Stock bajo","🟠 Stock bajo","✅ Ok"))))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  <c r="V163" s="14">
        <f>IF($A163="","",IFERROR(IF(COUNTIF('Compras'!$B:$B,$A163)=0,"",MINIFS('Compras'!$A:$A,'Compras'!$B:$B,$A163)),""))</f>
      </c>
      <c r="W163" s="17">
        <f>IF(OR($A163="",$V163=""),"",TODAY()-$V163)</f>
      </c>
      <c r="X163" s="17">
        <f>IF($A163="","",SUMIF('Ventas'!$D:$D,$A163,'Ventas'!$F:$F))</f>
      </c>
      <c r="Y163" s="19">
        <f>IF($A163="","",IF(AND($X163&gt;=3,$W163&lt;&gt;"",$W163&lt;=15),"🔥 Se vende rápido — REABASTECE",IF($K163="Agotado","🔴 Agotado — reabastece",IF($K163="Stock bajo","🟠 Stock bajo","✅ Ok"))))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  <c r="V164" s="14">
        <f>IF($A164="","",IFERROR(IF(COUNTIF('Compras'!$B:$B,$A164)=0,"",MINIFS('Compras'!$A:$A,'Compras'!$B:$B,$A164)),""))</f>
      </c>
      <c r="W164" s="17">
        <f>IF(OR($A164="",$V164=""),"",TODAY()-$V164)</f>
      </c>
      <c r="X164" s="17">
        <f>IF($A164="","",SUMIF('Ventas'!$D:$D,$A164,'Ventas'!$F:$F))</f>
      </c>
      <c r="Y164" s="19">
        <f>IF($A164="","",IF(AND($X164&gt;=3,$W164&lt;&gt;"",$W164&lt;=15),"🔥 Se vende rápido — REABASTECE",IF($K164="Agotado","🔴 Agotado — reabastece",IF($K164="Stock bajo","🟠 Stock bajo","✅ Ok"))))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  <c r="V165" s="14">
        <f>IF($A165="","",IFERROR(IF(COUNTIF('Compras'!$B:$B,$A165)=0,"",MINIFS('Compras'!$A:$A,'Compras'!$B:$B,$A165)),""))</f>
      </c>
      <c r="W165" s="17">
        <f>IF(OR($A165="",$V165=""),"",TODAY()-$V165)</f>
      </c>
      <c r="X165" s="17">
        <f>IF($A165="","",SUMIF('Ventas'!$D:$D,$A165,'Ventas'!$F:$F))</f>
      </c>
      <c r="Y165" s="19">
        <f>IF($A165="","",IF(AND($X165&gt;=3,$W165&lt;&gt;"",$W165&lt;=15),"🔥 Se vende rápido — REABASTECE",IF($K165="Agotado","🔴 Agotado — reabastece",IF($K165="Stock bajo","🟠 Stock bajo","✅ Ok"))))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  <c r="V166" s="14">
        <f>IF($A166="","",IFERROR(IF(COUNTIF('Compras'!$B:$B,$A166)=0,"",MINIFS('Compras'!$A:$A,'Compras'!$B:$B,$A166)),""))</f>
      </c>
      <c r="W166" s="17">
        <f>IF(OR($A166="",$V166=""),"",TODAY()-$V166)</f>
      </c>
      <c r="X166" s="17">
        <f>IF($A166="","",SUMIF('Ventas'!$D:$D,$A166,'Ventas'!$F:$F))</f>
      </c>
      <c r="Y166" s="19">
        <f>IF($A166="","",IF(AND($X166&gt;=3,$W166&lt;&gt;"",$W166&lt;=15),"🔥 Se vende rápido — REABASTECE",IF($K166="Agotado","🔴 Agotado — reabastece",IF($K166="Stock bajo","🟠 Stock bajo","✅ Ok"))))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  <c r="V167" s="14">
        <f>IF($A167="","",IFERROR(IF(COUNTIF('Compras'!$B:$B,$A167)=0,"",MINIFS('Compras'!$A:$A,'Compras'!$B:$B,$A167)),""))</f>
      </c>
      <c r="W167" s="17">
        <f>IF(OR($A167="",$V167=""),"",TODAY()-$V167)</f>
      </c>
      <c r="X167" s="17">
        <f>IF($A167="","",SUMIF('Ventas'!$D:$D,$A167,'Ventas'!$F:$F))</f>
      </c>
      <c r="Y167" s="19">
        <f>IF($A167="","",IF(AND($X167&gt;=3,$W167&lt;&gt;"",$W167&lt;=15),"🔥 Se vende rápido — REABASTECE",IF($K167="Agotado","🔴 Agotado — reabastece",IF($K167="Stock bajo","🟠 Stock bajo","✅ Ok"))))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  <c r="V168" s="14">
        <f>IF($A168="","",IFERROR(IF(COUNTIF('Compras'!$B:$B,$A168)=0,"",MINIFS('Compras'!$A:$A,'Compras'!$B:$B,$A168)),""))</f>
      </c>
      <c r="W168" s="17">
        <f>IF(OR($A168="",$V168=""),"",TODAY()-$V168)</f>
      </c>
      <c r="X168" s="17">
        <f>IF($A168="","",SUMIF('Ventas'!$D:$D,$A168,'Ventas'!$F:$F))</f>
      </c>
      <c r="Y168" s="19">
        <f>IF($A168="","",IF(AND($X168&gt;=3,$W168&lt;&gt;"",$W168&lt;=15),"🔥 Se vende rápido — REABASTECE",IF($K168="Agotado","🔴 Agotado — reabastece",IF($K168="Stock bajo","🟠 Stock bajo","✅ Ok"))))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  <c r="V169" s="14">
        <f>IF($A169="","",IFERROR(IF(COUNTIF('Compras'!$B:$B,$A169)=0,"",MINIFS('Compras'!$A:$A,'Compras'!$B:$B,$A169)),""))</f>
      </c>
      <c r="W169" s="17">
        <f>IF(OR($A169="",$V169=""),"",TODAY()-$V169)</f>
      </c>
      <c r="X169" s="17">
        <f>IF($A169="","",SUMIF('Ventas'!$D:$D,$A169,'Ventas'!$F:$F))</f>
      </c>
      <c r="Y169" s="19">
        <f>IF($A169="","",IF(AND($X169&gt;=3,$W169&lt;&gt;"",$W169&lt;=15),"🔥 Se vende rápido — REABASTECE",IF($K169="Agotado","🔴 Agotado — reabastece",IF($K169="Stock bajo","🟠 Stock bajo","✅ Ok"))))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  <c r="V170" s="14">
        <f>IF($A170="","",IFERROR(IF(COUNTIF('Compras'!$B:$B,$A170)=0,"",MINIFS('Compras'!$A:$A,'Compras'!$B:$B,$A170)),""))</f>
      </c>
      <c r="W170" s="17">
        <f>IF(OR($A170="",$V170=""),"",TODAY()-$V170)</f>
      </c>
      <c r="X170" s="17">
        <f>IF($A170="","",SUMIF('Ventas'!$D:$D,$A170,'Ventas'!$F:$F))</f>
      </c>
      <c r="Y170" s="19">
        <f>IF($A170="","",IF(AND($X170&gt;=3,$W170&lt;&gt;"",$W170&lt;=15),"🔥 Se vende rápido — REABASTECE",IF($K170="Agotado","🔴 Agotado — reabastece",IF($K170="Stock bajo","🟠 Stock bajo","✅ Ok"))))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  <c r="V171" s="14">
        <f>IF($A171="","",IFERROR(IF(COUNTIF('Compras'!$B:$B,$A171)=0,"",MINIFS('Compras'!$A:$A,'Compras'!$B:$B,$A171)),""))</f>
      </c>
      <c r="W171" s="17">
        <f>IF(OR($A171="",$V171=""),"",TODAY()-$V171)</f>
      </c>
      <c r="X171" s="17">
        <f>IF($A171="","",SUMIF('Ventas'!$D:$D,$A171,'Ventas'!$F:$F))</f>
      </c>
      <c r="Y171" s="19">
        <f>IF($A171="","",IF(AND($X171&gt;=3,$W171&lt;&gt;"",$W171&lt;=15),"🔥 Se vende rápido — REABASTECE",IF($K171="Agotado","🔴 Agotado — reabastece",IF($K171="Stock bajo","🟠 Stock bajo","✅ Ok"))))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  <c r="V172" s="14">
        <f>IF($A172="","",IFERROR(IF(COUNTIF('Compras'!$B:$B,$A172)=0,"",MINIFS('Compras'!$A:$A,'Compras'!$B:$B,$A172)),""))</f>
      </c>
      <c r="W172" s="17">
        <f>IF(OR($A172="",$V172=""),"",TODAY()-$V172)</f>
      </c>
      <c r="X172" s="17">
        <f>IF($A172="","",SUMIF('Ventas'!$D:$D,$A172,'Ventas'!$F:$F))</f>
      </c>
      <c r="Y172" s="19">
        <f>IF($A172="","",IF(AND($X172&gt;=3,$W172&lt;&gt;"",$W172&lt;=15),"🔥 Se vende rápido — REABASTECE",IF($K172="Agotado","🔴 Agotado — reabastece",IF($K172="Stock bajo","🟠 Stock bajo","✅ Ok"))))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  <c r="V173" s="14">
        <f>IF($A173="","",IFERROR(IF(COUNTIF('Compras'!$B:$B,$A173)=0,"",MINIFS('Compras'!$A:$A,'Compras'!$B:$B,$A173)),""))</f>
      </c>
      <c r="W173" s="17">
        <f>IF(OR($A173="",$V173=""),"",TODAY()-$V173)</f>
      </c>
      <c r="X173" s="17">
        <f>IF($A173="","",SUMIF('Ventas'!$D:$D,$A173,'Ventas'!$F:$F))</f>
      </c>
      <c r="Y173" s="19">
        <f>IF($A173="","",IF(AND($X173&gt;=3,$W173&lt;&gt;"",$W173&lt;=15),"🔥 Se vende rápido — REABASTECE",IF($K173="Agotado","🔴 Agotado — reabastece",IF($K173="Stock bajo","🟠 Stock bajo","✅ Ok"))))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  <c r="V174" s="14">
        <f>IF($A174="","",IFERROR(IF(COUNTIF('Compras'!$B:$B,$A174)=0,"",MINIFS('Compras'!$A:$A,'Compras'!$B:$B,$A174)),""))</f>
      </c>
      <c r="W174" s="17">
        <f>IF(OR($A174="",$V174=""),"",TODAY()-$V174)</f>
      </c>
      <c r="X174" s="17">
        <f>IF($A174="","",SUMIF('Ventas'!$D:$D,$A174,'Ventas'!$F:$F))</f>
      </c>
      <c r="Y174" s="19">
        <f>IF($A174="","",IF(AND($X174&gt;=3,$W174&lt;&gt;"",$W174&lt;=15),"🔥 Se vende rápido — REABASTECE",IF($K174="Agotado","🔴 Agotado — reabastece",IF($K174="Stock bajo","🟠 Stock bajo","✅ Ok"))))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  <c r="V175" s="14">
        <f>IF($A175="","",IFERROR(IF(COUNTIF('Compras'!$B:$B,$A175)=0,"",MINIFS('Compras'!$A:$A,'Compras'!$B:$B,$A175)),""))</f>
      </c>
      <c r="W175" s="17">
        <f>IF(OR($A175="",$V175=""),"",TODAY()-$V175)</f>
      </c>
      <c r="X175" s="17">
        <f>IF($A175="","",SUMIF('Ventas'!$D:$D,$A175,'Ventas'!$F:$F))</f>
      </c>
      <c r="Y175" s="19">
        <f>IF($A175="","",IF(AND($X175&gt;=3,$W175&lt;&gt;"",$W175&lt;=15),"🔥 Se vende rápido — REABASTECE",IF($K175="Agotado","🔴 Agotado — reabastece",IF($K175="Stock bajo","🟠 Stock bajo","✅ Ok"))))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  <c r="V176" s="14">
        <f>IF($A176="","",IFERROR(IF(COUNTIF('Compras'!$B:$B,$A176)=0,"",MINIFS('Compras'!$A:$A,'Compras'!$B:$B,$A176)),""))</f>
      </c>
      <c r="W176" s="17">
        <f>IF(OR($A176="",$V176=""),"",TODAY()-$V176)</f>
      </c>
      <c r="X176" s="17">
        <f>IF($A176="","",SUMIF('Ventas'!$D:$D,$A176,'Ventas'!$F:$F))</f>
      </c>
      <c r="Y176" s="19">
        <f>IF($A176="","",IF(AND($X176&gt;=3,$W176&lt;&gt;"",$W176&lt;=15),"🔥 Se vende rápido — REABASTECE",IF($K176="Agotado","🔴 Agotado — reabastece",IF($K176="Stock bajo","🟠 Stock bajo","✅ Ok"))))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  <c r="V177" s="14">
        <f>IF($A177="","",IFERROR(IF(COUNTIF('Compras'!$B:$B,$A177)=0,"",MINIFS('Compras'!$A:$A,'Compras'!$B:$B,$A177)),""))</f>
      </c>
      <c r="W177" s="17">
        <f>IF(OR($A177="",$V177=""),"",TODAY()-$V177)</f>
      </c>
      <c r="X177" s="17">
        <f>IF($A177="","",SUMIF('Ventas'!$D:$D,$A177,'Ventas'!$F:$F))</f>
      </c>
      <c r="Y177" s="19">
        <f>IF($A177="","",IF(AND($X177&gt;=3,$W177&lt;&gt;"",$W177&lt;=15),"🔥 Se vende rápido — REABASTECE",IF($K177="Agotado","🔴 Agotado — reabastece",IF($K177="Stock bajo","🟠 Stock bajo","✅ Ok"))))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  <c r="V178" s="14">
        <f>IF($A178="","",IFERROR(IF(COUNTIF('Compras'!$B:$B,$A178)=0,"",MINIFS('Compras'!$A:$A,'Compras'!$B:$B,$A178)),""))</f>
      </c>
      <c r="W178" s="17">
        <f>IF(OR($A178="",$V178=""),"",TODAY()-$V178)</f>
      </c>
      <c r="X178" s="17">
        <f>IF($A178="","",SUMIF('Ventas'!$D:$D,$A178,'Ventas'!$F:$F))</f>
      </c>
      <c r="Y178" s="19">
        <f>IF($A178="","",IF(AND($X178&gt;=3,$W178&lt;&gt;"",$W178&lt;=15),"🔥 Se vende rápido — REABASTECE",IF($K178="Agotado","🔴 Agotado — reabastece",IF($K178="Stock bajo","🟠 Stock bajo","✅ Ok"))))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  <c r="V179" s="14">
        <f>IF($A179="","",IFERROR(IF(COUNTIF('Compras'!$B:$B,$A179)=0,"",MINIFS('Compras'!$A:$A,'Compras'!$B:$B,$A179)),""))</f>
      </c>
      <c r="W179" s="17">
        <f>IF(OR($A179="",$V179=""),"",TODAY()-$V179)</f>
      </c>
      <c r="X179" s="17">
        <f>IF($A179="","",SUMIF('Ventas'!$D:$D,$A179,'Ventas'!$F:$F))</f>
      </c>
      <c r="Y179" s="19">
        <f>IF($A179="","",IF(AND($X179&gt;=3,$W179&lt;&gt;"",$W179&lt;=15),"🔥 Se vende rápido — REABASTECE",IF($K179="Agotado","🔴 Agotado — reabastece",IF($K179="Stock bajo","🟠 Stock bajo","✅ Ok"))))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  <c r="V180" s="14">
        <f>IF($A180="","",IFERROR(IF(COUNTIF('Compras'!$B:$B,$A180)=0,"",MINIFS('Compras'!$A:$A,'Compras'!$B:$B,$A180)),""))</f>
      </c>
      <c r="W180" s="17">
        <f>IF(OR($A180="",$V180=""),"",TODAY()-$V180)</f>
      </c>
      <c r="X180" s="17">
        <f>IF($A180="","",SUMIF('Ventas'!$D:$D,$A180,'Ventas'!$F:$F))</f>
      </c>
      <c r="Y180" s="19">
        <f>IF($A180="","",IF(AND($X180&gt;=3,$W180&lt;&gt;"",$W180&lt;=15),"🔥 Se vende rápido — REABASTECE",IF($K180="Agotado","🔴 Agotado — reabastece",IF($K180="Stock bajo","🟠 Stock bajo","✅ Ok"))))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  <c r="V181" s="14">
        <f>IF($A181="","",IFERROR(IF(COUNTIF('Compras'!$B:$B,$A181)=0,"",MINIFS('Compras'!$A:$A,'Compras'!$B:$B,$A181)),""))</f>
      </c>
      <c r="W181" s="17">
        <f>IF(OR($A181="",$V181=""),"",TODAY()-$V181)</f>
      </c>
      <c r="X181" s="17">
        <f>IF($A181="","",SUMIF('Ventas'!$D:$D,$A181,'Ventas'!$F:$F))</f>
      </c>
      <c r="Y181" s="19">
        <f>IF($A181="","",IF(AND($X181&gt;=3,$W181&lt;&gt;"",$W181&lt;=15),"🔥 Se vende rápido — REABASTECE",IF($K181="Agotado","🔴 Agotado — reabastece",IF($K181="Stock bajo","🟠 Stock bajo","✅ Ok"))))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  <c r="V182" s="14">
        <f>IF($A182="","",IFERROR(IF(COUNTIF('Compras'!$B:$B,$A182)=0,"",MINIFS('Compras'!$A:$A,'Compras'!$B:$B,$A182)),""))</f>
      </c>
      <c r="W182" s="17">
        <f>IF(OR($A182="",$V182=""),"",TODAY()-$V182)</f>
      </c>
      <c r="X182" s="17">
        <f>IF($A182="","",SUMIF('Ventas'!$D:$D,$A182,'Ventas'!$F:$F))</f>
      </c>
      <c r="Y182" s="19">
        <f>IF($A182="","",IF(AND($X182&gt;=3,$W182&lt;&gt;"",$W182&lt;=15),"🔥 Se vende rápido — REABASTECE",IF($K182="Agotado","🔴 Agotado — reabastece",IF($K182="Stock bajo","🟠 Stock bajo","✅ Ok"))))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  <c r="V183" s="14">
        <f>IF($A183="","",IFERROR(IF(COUNTIF('Compras'!$B:$B,$A183)=0,"",MINIFS('Compras'!$A:$A,'Compras'!$B:$B,$A183)),""))</f>
      </c>
      <c r="W183" s="17">
        <f>IF(OR($A183="",$V183=""),"",TODAY()-$V183)</f>
      </c>
      <c r="X183" s="17">
        <f>IF($A183="","",SUMIF('Ventas'!$D:$D,$A183,'Ventas'!$F:$F))</f>
      </c>
      <c r="Y183" s="19">
        <f>IF($A183="","",IF(AND($X183&gt;=3,$W183&lt;&gt;"",$W183&lt;=15),"🔥 Se vende rápido — REABASTECE",IF($K183="Agotado","🔴 Agotado — reabastece",IF($K183="Stock bajo","🟠 Stock bajo","✅ Ok"))))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  <c r="V184" s="14">
        <f>IF($A184="","",IFERROR(IF(COUNTIF('Compras'!$B:$B,$A184)=0,"",MINIFS('Compras'!$A:$A,'Compras'!$B:$B,$A184)),""))</f>
      </c>
      <c r="W184" s="17">
        <f>IF(OR($A184="",$V184=""),"",TODAY()-$V184)</f>
      </c>
      <c r="X184" s="17">
        <f>IF($A184="","",SUMIF('Ventas'!$D:$D,$A184,'Ventas'!$F:$F))</f>
      </c>
      <c r="Y184" s="19">
        <f>IF($A184="","",IF(AND($X184&gt;=3,$W184&lt;&gt;"",$W184&lt;=15),"🔥 Se vende rápido — REABASTECE",IF($K184="Agotado","🔴 Agotado — reabastece",IF($K184="Stock bajo","🟠 Stock bajo","✅ Ok"))))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  <c r="V185" s="14">
        <f>IF($A185="","",IFERROR(IF(COUNTIF('Compras'!$B:$B,$A185)=0,"",MINIFS('Compras'!$A:$A,'Compras'!$B:$B,$A185)),""))</f>
      </c>
      <c r="W185" s="17">
        <f>IF(OR($A185="",$V185=""),"",TODAY()-$V185)</f>
      </c>
      <c r="X185" s="17">
        <f>IF($A185="","",SUMIF('Ventas'!$D:$D,$A185,'Ventas'!$F:$F))</f>
      </c>
      <c r="Y185" s="19">
        <f>IF($A185="","",IF(AND($X185&gt;=3,$W185&lt;&gt;"",$W185&lt;=15),"🔥 Se vende rápido — REABASTECE",IF($K185="Agotado","🔴 Agotado — reabastece",IF($K185="Stock bajo","🟠 Stock bajo","✅ Ok"))))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  <c r="V186" s="14">
        <f>IF($A186="","",IFERROR(IF(COUNTIF('Compras'!$B:$B,$A186)=0,"",MINIFS('Compras'!$A:$A,'Compras'!$B:$B,$A186)),""))</f>
      </c>
      <c r="W186" s="17">
        <f>IF(OR($A186="",$V186=""),"",TODAY()-$V186)</f>
      </c>
      <c r="X186" s="17">
        <f>IF($A186="","",SUMIF('Ventas'!$D:$D,$A186,'Ventas'!$F:$F))</f>
      </c>
      <c r="Y186" s="19">
        <f>IF($A186="","",IF(AND($X186&gt;=3,$W186&lt;&gt;"",$W186&lt;=15),"🔥 Se vende rápido — REABASTECE",IF($K186="Agotado","🔴 Agotado — reabastece",IF($K186="Stock bajo","🟠 Stock bajo","✅ Ok"))))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  <c r="V187" s="14">
        <f>IF($A187="","",IFERROR(IF(COUNTIF('Compras'!$B:$B,$A187)=0,"",MINIFS('Compras'!$A:$A,'Compras'!$B:$B,$A187)),""))</f>
      </c>
      <c r="W187" s="17">
        <f>IF(OR($A187="",$V187=""),"",TODAY()-$V187)</f>
      </c>
      <c r="X187" s="17">
        <f>IF($A187="","",SUMIF('Ventas'!$D:$D,$A187,'Ventas'!$F:$F))</f>
      </c>
      <c r="Y187" s="19">
        <f>IF($A187="","",IF(AND($X187&gt;=3,$W187&lt;&gt;"",$W187&lt;=15),"🔥 Se vende rápido — REABASTECE",IF($K187="Agotado","🔴 Agotado — reabastece",IF($K187="Stock bajo","🟠 Stock bajo","✅ Ok"))))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  <c r="V188" s="14">
        <f>IF($A188="","",IFERROR(IF(COUNTIF('Compras'!$B:$B,$A188)=0,"",MINIFS('Compras'!$A:$A,'Compras'!$B:$B,$A188)),""))</f>
      </c>
      <c r="W188" s="17">
        <f>IF(OR($A188="",$V188=""),"",TODAY()-$V188)</f>
      </c>
      <c r="X188" s="17">
        <f>IF($A188="","",SUMIF('Ventas'!$D:$D,$A188,'Ventas'!$F:$F))</f>
      </c>
      <c r="Y188" s="19">
        <f>IF($A188="","",IF(AND($X188&gt;=3,$W188&lt;&gt;"",$W188&lt;=15),"🔥 Se vende rápido — REABASTECE",IF($K188="Agotado","🔴 Agotado — reabastece",IF($K188="Stock bajo","🟠 Stock bajo","✅ Ok"))))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  <c r="V189" s="14">
        <f>IF($A189="","",IFERROR(IF(COUNTIF('Compras'!$B:$B,$A189)=0,"",MINIFS('Compras'!$A:$A,'Compras'!$B:$B,$A189)),""))</f>
      </c>
      <c r="W189" s="17">
        <f>IF(OR($A189="",$V189=""),"",TODAY()-$V189)</f>
      </c>
      <c r="X189" s="17">
        <f>IF($A189="","",SUMIF('Ventas'!$D:$D,$A189,'Ventas'!$F:$F))</f>
      </c>
      <c r="Y189" s="19">
        <f>IF($A189="","",IF(AND($X189&gt;=3,$W189&lt;&gt;"",$W189&lt;=15),"🔥 Se vende rápido — REABASTECE",IF($K189="Agotado","🔴 Agotado — reabastece",IF($K189="Stock bajo","🟠 Stock bajo","✅ Ok"))))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  <c r="V190" s="14">
        <f>IF($A190="","",IFERROR(IF(COUNTIF('Compras'!$B:$B,$A190)=0,"",MINIFS('Compras'!$A:$A,'Compras'!$B:$B,$A190)),""))</f>
      </c>
      <c r="W190" s="17">
        <f>IF(OR($A190="",$V190=""),"",TODAY()-$V190)</f>
      </c>
      <c r="X190" s="17">
        <f>IF($A190="","",SUMIF('Ventas'!$D:$D,$A190,'Ventas'!$F:$F))</f>
      </c>
      <c r="Y190" s="19">
        <f>IF($A190="","",IF(AND($X190&gt;=3,$W190&lt;&gt;"",$W190&lt;=15),"🔥 Se vende rápido — REABASTECE",IF($K190="Agotado","🔴 Agotado — reabastece",IF($K190="Stock bajo","🟠 Stock bajo","✅ Ok"))))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  <c r="V191" s="14">
        <f>IF($A191="","",IFERROR(IF(COUNTIF('Compras'!$B:$B,$A191)=0,"",MINIFS('Compras'!$A:$A,'Compras'!$B:$B,$A191)),""))</f>
      </c>
      <c r="W191" s="17">
        <f>IF(OR($A191="",$V191=""),"",TODAY()-$V191)</f>
      </c>
      <c r="X191" s="17">
        <f>IF($A191="","",SUMIF('Ventas'!$D:$D,$A191,'Ventas'!$F:$F))</f>
      </c>
      <c r="Y191" s="19">
        <f>IF($A191="","",IF(AND($X191&gt;=3,$W191&lt;&gt;"",$W191&lt;=15),"🔥 Se vende rápido — REABASTECE",IF($K191="Agotado","🔴 Agotado — reabastece",IF($K191="Stock bajo","🟠 Stock bajo","✅ Ok"))))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  <c r="V192" s="14">
        <f>IF($A192="","",IFERROR(IF(COUNTIF('Compras'!$B:$B,$A192)=0,"",MINIFS('Compras'!$A:$A,'Compras'!$B:$B,$A192)),""))</f>
      </c>
      <c r="W192" s="17">
        <f>IF(OR($A192="",$V192=""),"",TODAY()-$V192)</f>
      </c>
      <c r="X192" s="17">
        <f>IF($A192="","",SUMIF('Ventas'!$D:$D,$A192,'Ventas'!$F:$F))</f>
      </c>
      <c r="Y192" s="19">
        <f>IF($A192="","",IF(AND($X192&gt;=3,$W192&lt;&gt;"",$W192&lt;=15),"🔥 Se vende rápido — REABASTECE",IF($K192="Agotado","🔴 Agotado — reabastece",IF($K192="Stock bajo","🟠 Stock bajo","✅ Ok"))))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  <c r="V193" s="14">
        <f>IF($A193="","",IFERROR(IF(COUNTIF('Compras'!$B:$B,$A193)=0,"",MINIFS('Compras'!$A:$A,'Compras'!$B:$B,$A193)),""))</f>
      </c>
      <c r="W193" s="17">
        <f>IF(OR($A193="",$V193=""),"",TODAY()-$V193)</f>
      </c>
      <c r="X193" s="17">
        <f>IF($A193="","",SUMIF('Ventas'!$D:$D,$A193,'Ventas'!$F:$F))</f>
      </c>
      <c r="Y193" s="19">
        <f>IF($A193="","",IF(AND($X193&gt;=3,$W193&lt;&gt;"",$W193&lt;=15),"🔥 Se vende rápido — REABASTECE",IF($K193="Agotado","🔴 Agotado — reabastece",IF($K193="Stock bajo","🟠 Stock bajo","✅ Ok"))))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  <c r="V194" s="14">
        <f>IF($A194="","",IFERROR(IF(COUNTIF('Compras'!$B:$B,$A194)=0,"",MINIFS('Compras'!$A:$A,'Compras'!$B:$B,$A194)),""))</f>
      </c>
      <c r="W194" s="17">
        <f>IF(OR($A194="",$V194=""),"",TODAY()-$V194)</f>
      </c>
      <c r="X194" s="17">
        <f>IF($A194="","",SUMIF('Ventas'!$D:$D,$A194,'Ventas'!$F:$F))</f>
      </c>
      <c r="Y194" s="19">
        <f>IF($A194="","",IF(AND($X194&gt;=3,$W194&lt;&gt;"",$W194&lt;=15),"🔥 Se vende rápido — REABASTECE",IF($K194="Agotado","🔴 Agotado — reabastece",IF($K194="Stock bajo","🟠 Stock bajo","✅ Ok"))))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  <c r="V195" s="14">
        <f>IF($A195="","",IFERROR(IF(COUNTIF('Compras'!$B:$B,$A195)=0,"",MINIFS('Compras'!$A:$A,'Compras'!$B:$B,$A195)),""))</f>
      </c>
      <c r="W195" s="17">
        <f>IF(OR($A195="",$V195=""),"",TODAY()-$V195)</f>
      </c>
      <c r="X195" s="17">
        <f>IF($A195="","",SUMIF('Ventas'!$D:$D,$A195,'Ventas'!$F:$F))</f>
      </c>
      <c r="Y195" s="19">
        <f>IF($A195="","",IF(AND($X195&gt;=3,$W195&lt;&gt;"",$W195&lt;=15),"🔥 Se vende rápido — REABASTECE",IF($K195="Agotado","🔴 Agotado — reabastece",IF($K195="Stock bajo","🟠 Stock bajo","✅ Ok"))))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  <c r="V196" s="14">
        <f>IF($A196="","",IFERROR(IF(COUNTIF('Compras'!$B:$B,$A196)=0,"",MINIFS('Compras'!$A:$A,'Compras'!$B:$B,$A196)),""))</f>
      </c>
      <c r="W196" s="17">
        <f>IF(OR($A196="",$V196=""),"",TODAY()-$V196)</f>
      </c>
      <c r="X196" s="17">
        <f>IF($A196="","",SUMIF('Ventas'!$D:$D,$A196,'Ventas'!$F:$F))</f>
      </c>
      <c r="Y196" s="19">
        <f>IF($A196="","",IF(AND($X196&gt;=3,$W196&lt;&gt;"",$W196&lt;=15),"🔥 Se vende rápido — REABASTECE",IF($K196="Agotado","🔴 Agotado — reabastece",IF($K196="Stock bajo","🟠 Stock bajo","✅ Ok"))))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  <c r="V197" s="14">
        <f>IF($A197="","",IFERROR(IF(COUNTIF('Compras'!$B:$B,$A197)=0,"",MINIFS('Compras'!$A:$A,'Compras'!$B:$B,$A197)),""))</f>
      </c>
      <c r="W197" s="17">
        <f>IF(OR($A197="",$V197=""),"",TODAY()-$V197)</f>
      </c>
      <c r="X197" s="17">
        <f>IF($A197="","",SUMIF('Ventas'!$D:$D,$A197,'Ventas'!$F:$F))</f>
      </c>
      <c r="Y197" s="19">
        <f>IF($A197="","",IF(AND($X197&gt;=3,$W197&lt;&gt;"",$W197&lt;=15),"🔥 Se vende rápido — REABASTECE",IF($K197="Agotado","🔴 Agotado — reabastece",IF($K197="Stock bajo","🟠 Stock bajo","✅ Ok"))))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  <c r="V198" s="14">
        <f>IF($A198="","",IFERROR(IF(COUNTIF('Compras'!$B:$B,$A198)=0,"",MINIFS('Compras'!$A:$A,'Compras'!$B:$B,$A198)),""))</f>
      </c>
      <c r="W198" s="17">
        <f>IF(OR($A198="",$V198=""),"",TODAY()-$V198)</f>
      </c>
      <c r="X198" s="17">
        <f>IF($A198="","",SUMIF('Ventas'!$D:$D,$A198,'Ventas'!$F:$F))</f>
      </c>
      <c r="Y198" s="19">
        <f>IF($A198="","",IF(AND($X198&gt;=3,$W198&lt;&gt;"",$W198&lt;=15),"🔥 Se vende rápido — REABASTECE",IF($K198="Agotado","🔴 Agotado — reabastece",IF($K198="Stock bajo","🟠 Stock bajo","✅ Ok"))))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  <c r="V199" s="14">
        <f>IF($A199="","",IFERROR(IF(COUNTIF('Compras'!$B:$B,$A199)=0,"",MINIFS('Compras'!$A:$A,'Compras'!$B:$B,$A199)),""))</f>
      </c>
      <c r="W199" s="17">
        <f>IF(OR($A199="",$V199=""),"",TODAY()-$V199)</f>
      </c>
      <c r="X199" s="17">
        <f>IF($A199="","",SUMIF('Ventas'!$D:$D,$A199,'Ventas'!$F:$F))</f>
      </c>
      <c r="Y199" s="19">
        <f>IF($A199="","",IF(AND($X199&gt;=3,$W199&lt;&gt;"",$W199&lt;=15),"🔥 Se vende rápido — REABASTECE",IF($K199="Agotado","🔴 Agotado — reabastece",IF($K199="Stock bajo","🟠 Stock bajo","✅ Ok"))))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  <c r="V200" s="14">
        <f>IF($A200="","",IFERROR(IF(COUNTIF('Compras'!$B:$B,$A200)=0,"",MINIFS('Compras'!$A:$A,'Compras'!$B:$B,$A200)),""))</f>
      </c>
      <c r="W200" s="17">
        <f>IF(OR($A200="",$V200=""),"",TODAY()-$V200)</f>
      </c>
      <c r="X200" s="17">
        <f>IF($A200="","",SUMIF('Ventas'!$D:$D,$A200,'Ventas'!$F:$F))</f>
      </c>
      <c r="Y200" s="19">
        <f>IF($A200="","",IF(AND($X200&gt;=3,$W200&lt;&gt;"",$W200&lt;=15),"🔥 Se vende rápido — REABASTECE",IF($K200="Agotado","🔴 Agotado — reabastece",IF($K200="Stock bajo","🟠 Stock bajo","✅ Ok"))))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  <c r="V201" s="14">
        <f>IF($A201="","",IFERROR(IF(COUNTIF('Compras'!$B:$B,$A201)=0,"",MINIFS('Compras'!$A:$A,'Compras'!$B:$B,$A201)),""))</f>
      </c>
      <c r="W201" s="17">
        <f>IF(OR($A201="",$V201=""),"",TODAY()-$V201)</f>
      </c>
      <c r="X201" s="17">
        <f>IF($A201="","",SUMIF('Ventas'!$D:$D,$A201,'Ventas'!$F:$F))</f>
      </c>
      <c r="Y201" s="19">
        <f>IF($A201="","",IF(AND($X201&gt;=3,$W201&lt;&gt;"",$W201&lt;=15),"🔥 Se vende rápido — REABASTECE",IF($K201="Agotado","🔴 Agotado — reabastece",IF($K201="Stock bajo","🟠 Stock bajo","✅ Ok"))))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  <col min="15" max="15" width="13.00" customWidth="1"/>
    <col min="16" max="16" width="13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  <c r="O1" s="1" t="inlineStr">
        <is>
          <t xml:space="preserve">Fecha Llegada</t>
        </is>
      </c>
      <c r="P1" s="1" t="inlineStr">
        <is>
          <t xml:space="preserve">Días en Llegar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  <c r="O2" s="23">
        <v>46178</v>
      </c>
      <c r="P2" s="17">
        <f>IF(OR($B2="",$O2=""),"",$O2-$A2)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  <c r="O3" s="23">
        <v>46177</v>
      </c>
      <c r="P3" s="17">
        <f>IF(OR($B3="",$O3=""),"",$O3-$A3)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  <c r="O4" s="23">
        <v>46180</v>
      </c>
      <c r="P4" s="17">
        <f>IF(OR($B4="",$O4=""),"",$O4-$A4)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  <c r="O5" s="23">
        <v>46179</v>
      </c>
      <c r="P5" s="17">
        <f>IF(OR($B5="",$O5=""),"",$O5-$A5)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  <c r="O6" s="23">
        <v>46182</v>
      </c>
      <c r="P6" s="17">
        <f>IF(OR($B6="",$O6=""),"",$O6-$A6)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  <c r="O7" s="23"/>
      <c r="P7" s="17">
        <f>IF(OR($B7="",$O7=""),"",$O7-$A7)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  <c r="O8" s="23"/>
      <c r="P8" s="17">
        <f>IF(OR($B8="",$O8=""),"",$O8-$A8)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  <c r="O9" s="23"/>
      <c r="P9" s="17">
        <f>IF(OR($B9="",$O9=""),"",$O9-$A9)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  <c r="O10" s="23"/>
      <c r="P10" s="17">
        <f>IF(OR($B10="",$O10=""),"",$O10-$A10)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  <c r="O11" s="23"/>
      <c r="P11" s="17">
        <f>IF(OR($B11="",$O11=""),"",$O11-$A11)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  <c r="O12" s="23"/>
      <c r="P12" s="17">
        <f>IF(OR($B12="",$O12=""),"",$O12-$A12)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  <c r="O13" s="23"/>
      <c r="P13" s="17">
        <f>IF(OR($B13="",$O13=""),"",$O13-$A13)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  <c r="O14" s="23"/>
      <c r="P14" s="17">
        <f>IF(OR($B14="",$O14=""),"",$O14-$A14)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  <c r="O15" s="23"/>
      <c r="P15" s="17">
        <f>IF(OR($B15="",$O15=""),"",$O15-$A15)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  <c r="O16" s="23"/>
      <c r="P16" s="17">
        <f>IF(OR($B16="",$O16=""),"",$O16-$A16)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  <c r="O17" s="23"/>
      <c r="P17" s="17">
        <f>IF(OR($B17="",$O17=""),"",$O17-$A17)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  <c r="O18" s="23"/>
      <c r="P18" s="17">
        <f>IF(OR($B18="",$O18=""),"",$O18-$A18)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  <c r="O19" s="23"/>
      <c r="P19" s="17">
        <f>IF(OR($B19="",$O19=""),"",$O19-$A19)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  <c r="O20" s="23"/>
      <c r="P20" s="17">
        <f>IF(OR($B20="",$O20=""),"",$O20-$A20)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  <c r="O21" s="23"/>
      <c r="P21" s="17">
        <f>IF(OR($B21="",$O21=""),"",$O21-$A21)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  <c r="O22" s="23"/>
      <c r="P22" s="17">
        <f>IF(OR($B22="",$O22=""),"",$O22-$A22)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  <c r="O23" s="23"/>
      <c r="P23" s="17">
        <f>IF(OR($B23="",$O23=""),"",$O23-$A23)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  <c r="O24" s="23"/>
      <c r="P24" s="17">
        <f>IF(OR($B24="",$O24=""),"",$O24-$A24)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  <c r="O25" s="23"/>
      <c r="P25" s="17">
        <f>IF(OR($B25="",$O25=""),"",$O25-$A25)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  <c r="O26" s="23"/>
      <c r="P26" s="17">
        <f>IF(OR($B26="",$O26=""),"",$O26-$A26)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  <c r="O27" s="23"/>
      <c r="P27" s="17">
        <f>IF(OR($B27="",$O27=""),"",$O27-$A27)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  <c r="O28" s="23"/>
      <c r="P28" s="17">
        <f>IF(OR($B28="",$O28=""),"",$O28-$A28)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  <c r="O29" s="23"/>
      <c r="P29" s="17">
        <f>IF(OR($B29="",$O29=""),"",$O29-$A29)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  <c r="O30" s="23"/>
      <c r="P30" s="17">
        <f>IF(OR($B30="",$O30=""),"",$O30-$A30)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  <c r="O31" s="23"/>
      <c r="P31" s="17">
        <f>IF(OR($B31="",$O31=""),"",$O31-$A31)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  <c r="O32" s="23"/>
      <c r="P32" s="17">
        <f>IF(OR($B32="",$O32=""),"",$O32-$A32)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  <c r="O33" s="23"/>
      <c r="P33" s="17">
        <f>IF(OR($B33="",$O33=""),"",$O33-$A33)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  <c r="O34" s="23"/>
      <c r="P34" s="17">
        <f>IF(OR($B34="",$O34=""),"",$O34-$A34)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  <c r="O35" s="23"/>
      <c r="P35" s="17">
        <f>IF(OR($B35="",$O35=""),"",$O35-$A35)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  <c r="O36" s="23"/>
      <c r="P36" s="17">
        <f>IF(OR($B36="",$O36=""),"",$O36-$A36)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  <c r="O37" s="23"/>
      <c r="P37" s="17">
        <f>IF(OR($B37="",$O37=""),"",$O37-$A37)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  <c r="O38" s="23"/>
      <c r="P38" s="17">
        <f>IF(OR($B38="",$O38=""),"",$O38-$A38)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  <c r="O39" s="23"/>
      <c r="P39" s="17">
        <f>IF(OR($B39="",$O39=""),"",$O39-$A39)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  <c r="O40" s="23"/>
      <c r="P40" s="17">
        <f>IF(OR($B40="",$O40=""),"",$O40-$A40)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  <c r="O41" s="23"/>
      <c r="P41" s="17">
        <f>IF(OR($B41="",$O41=""),"",$O41-$A41)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  <c r="O42" s="23"/>
      <c r="P42" s="17">
        <f>IF(OR($B42="",$O42=""),"",$O42-$A42)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  <c r="O43" s="23"/>
      <c r="P43" s="17">
        <f>IF(OR($B43="",$O43=""),"",$O43-$A43)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  <c r="O44" s="23"/>
      <c r="P44" s="17">
        <f>IF(OR($B44="",$O44=""),"",$O44-$A44)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  <c r="O45" s="23"/>
      <c r="P45" s="17">
        <f>IF(OR($B45="",$O45=""),"",$O45-$A45)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  <c r="O46" s="23"/>
      <c r="P46" s="17">
        <f>IF(OR($B46="",$O46=""),"",$O46-$A46)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  <c r="O47" s="23"/>
      <c r="P47" s="17">
        <f>IF(OR($B47="",$O47=""),"",$O47-$A47)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  <c r="O48" s="23"/>
      <c r="P48" s="17">
        <f>IF(OR($B48="",$O48=""),"",$O48-$A48)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  <c r="O49" s="23"/>
      <c r="P49" s="17">
        <f>IF(OR($B49="",$O49=""),"",$O49-$A49)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  <c r="O50" s="23"/>
      <c r="P50" s="17">
        <f>IF(OR($B50="",$O50=""),"",$O50-$A50)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  <c r="O51" s="23"/>
      <c r="P51" s="17">
        <f>IF(OR($B51="",$O51=""),"",$O51-$A51)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  <c r="O52" s="23"/>
      <c r="P52" s="17">
        <f>IF(OR($B52="",$O52=""),"",$O52-$A52)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  <c r="O53" s="23"/>
      <c r="P53" s="17">
        <f>IF(OR($B53="",$O53=""),"",$O53-$A53)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  <c r="O54" s="23"/>
      <c r="P54" s="17">
        <f>IF(OR($B54="",$O54=""),"",$O54-$A54)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  <c r="O55" s="23"/>
      <c r="P55" s="17">
        <f>IF(OR($B55="",$O55=""),"",$O55-$A55)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  <c r="O56" s="23"/>
      <c r="P56" s="17">
        <f>IF(OR($B56="",$O56=""),"",$O56-$A56)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  <c r="O57" s="23"/>
      <c r="P57" s="17">
        <f>IF(OR($B57="",$O57=""),"",$O57-$A57)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  <c r="O58" s="23"/>
      <c r="P58" s="17">
        <f>IF(OR($B58="",$O58=""),"",$O58-$A58)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  <c r="O59" s="23"/>
      <c r="P59" s="17">
        <f>IF(OR($B59="",$O59=""),"",$O59-$A59)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  <c r="O60" s="23"/>
      <c r="P60" s="17">
        <f>IF(OR($B60="",$O60=""),"",$O60-$A60)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  <c r="O61" s="23"/>
      <c r="P61" s="17">
        <f>IF(OR($B61="",$O61=""),"",$O61-$A61)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  <c r="O62" s="23"/>
      <c r="P62" s="17">
        <f>IF(OR($B62="",$O62=""),"",$O62-$A62)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  <c r="O63" s="23"/>
      <c r="P63" s="17">
        <f>IF(OR($B63="",$O63=""),"",$O63-$A63)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  <c r="O64" s="23"/>
      <c r="P64" s="17">
        <f>IF(OR($B64="",$O64=""),"",$O64-$A64)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  <c r="O65" s="23"/>
      <c r="P65" s="17">
        <f>IF(OR($B65="",$O65=""),"",$O65-$A65)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  <c r="O66" s="23"/>
      <c r="P66" s="17">
        <f>IF(OR($B66="",$O66=""),"",$O66-$A66)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  <c r="O67" s="23"/>
      <c r="P67" s="17">
        <f>IF(OR($B67="",$O67=""),"",$O67-$A67)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  <c r="O68" s="23"/>
      <c r="P68" s="17">
        <f>IF(OR($B68="",$O68=""),"",$O68-$A68)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  <c r="O69" s="23"/>
      <c r="P69" s="17">
        <f>IF(OR($B69="",$O69=""),"",$O69-$A69)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  <c r="O70" s="23"/>
      <c r="P70" s="17">
        <f>IF(OR($B70="",$O70=""),"",$O70-$A70)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  <c r="O71" s="23"/>
      <c r="P71" s="17">
        <f>IF(OR($B71="",$O71=""),"",$O71-$A71)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  <c r="O72" s="23"/>
      <c r="P72" s="17">
        <f>IF(OR($B72="",$O72=""),"",$O72-$A72)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  <c r="O73" s="23"/>
      <c r="P73" s="17">
        <f>IF(OR($B73="",$O73=""),"",$O73-$A73)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  <c r="O74" s="23"/>
      <c r="P74" s="17">
        <f>IF(OR($B74="",$O74=""),"",$O74-$A74)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  <c r="O75" s="23"/>
      <c r="P75" s="17">
        <f>IF(OR($B75="",$O75=""),"",$O75-$A75)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  <c r="O76" s="23"/>
      <c r="P76" s="17">
        <f>IF(OR($B76="",$O76=""),"",$O76-$A76)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  <c r="O77" s="23"/>
      <c r="P77" s="17">
        <f>IF(OR($B77="",$O77=""),"",$O77-$A77)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  <c r="O78" s="23"/>
      <c r="P78" s="17">
        <f>IF(OR($B78="",$O78=""),"",$O78-$A78)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  <c r="O79" s="23"/>
      <c r="P79" s="17">
        <f>IF(OR($B79="",$O79=""),"",$O79-$A79)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  <c r="O80" s="23"/>
      <c r="P80" s="17">
        <f>IF(OR($B80="",$O80=""),"",$O80-$A80)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  <c r="O81" s="23"/>
      <c r="P81" s="17">
        <f>IF(OR($B81="",$O81=""),"",$O81-$A81)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  <c r="O82" s="23"/>
      <c r="P82" s="17">
        <f>IF(OR($B82="",$O82=""),"",$O82-$A82)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  <c r="O83" s="23"/>
      <c r="P83" s="17">
        <f>IF(OR($B83="",$O83=""),"",$O83-$A83)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  <c r="O84" s="23"/>
      <c r="P84" s="17">
        <f>IF(OR($B84="",$O84=""),"",$O84-$A84)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  <c r="O85" s="23"/>
      <c r="P85" s="17">
        <f>IF(OR($B85="",$O85=""),"",$O85-$A85)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  <c r="O86" s="23"/>
      <c r="P86" s="17">
        <f>IF(OR($B86="",$O86=""),"",$O86-$A86)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  <c r="O87" s="23"/>
      <c r="P87" s="17">
        <f>IF(OR($B87="",$O87=""),"",$O87-$A87)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  <c r="O88" s="23"/>
      <c r="P88" s="17">
        <f>IF(OR($B88="",$O88=""),"",$O88-$A88)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  <c r="O89" s="23"/>
      <c r="P89" s="17">
        <f>IF(OR($B89="",$O89=""),"",$O89-$A89)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  <c r="O90" s="23"/>
      <c r="P90" s="17">
        <f>IF(OR($B90="",$O90=""),"",$O90-$A90)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  <c r="O91" s="23"/>
      <c r="P91" s="17">
        <f>IF(OR($B91="",$O91=""),"",$O91-$A91)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  <c r="O92" s="23"/>
      <c r="P92" s="17">
        <f>IF(OR($B92="",$O92=""),"",$O92-$A92)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  <c r="O93" s="23"/>
      <c r="P93" s="17">
        <f>IF(OR($B93="",$O93=""),"",$O93-$A93)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  <c r="O94" s="23"/>
      <c r="P94" s="17">
        <f>IF(OR($B94="",$O94=""),"",$O94-$A94)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  <c r="O95" s="23"/>
      <c r="P95" s="17">
        <f>IF(OR($B95="",$O95=""),"",$O95-$A95)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  <c r="O96" s="23"/>
      <c r="P96" s="17">
        <f>IF(OR($B96="",$O96=""),"",$O96-$A96)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  <c r="O97" s="23"/>
      <c r="P97" s="17">
        <f>IF(OR($B97="",$O97=""),"",$O97-$A97)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  <c r="O98" s="23"/>
      <c r="P98" s="17">
        <f>IF(OR($B98="",$O98=""),"",$O98-$A98)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  <c r="O99" s="23"/>
      <c r="P99" s="17">
        <f>IF(OR($B99="",$O99=""),"",$O99-$A99)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  <c r="O100" s="23"/>
      <c r="P100" s="17">
        <f>IF(OR($B100="",$O100=""),"",$O100-$A100)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  <c r="O101" s="23"/>
      <c r="P101" s="17">
        <f>IF(OR($B101="",$O101=""),"",$O101-$A101)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  <c r="O102" s="23"/>
      <c r="P102" s="17">
        <f>IF(OR($B102="",$O102=""),"",$O102-$A102)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  <c r="O103" s="23"/>
      <c r="P103" s="17">
        <f>IF(OR($B103="",$O103=""),"",$O103-$A103)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  <c r="O104" s="23"/>
      <c r="P104" s="17">
        <f>IF(OR($B104="",$O104=""),"",$O104-$A104)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  <c r="O105" s="23"/>
      <c r="P105" s="17">
        <f>IF(OR($B105="",$O105=""),"",$O105-$A105)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  <c r="O106" s="23"/>
      <c r="P106" s="17">
        <f>IF(OR($B106="",$O106=""),"",$O106-$A106)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  <c r="O107" s="23"/>
      <c r="P107" s="17">
        <f>IF(OR($B107="",$O107=""),"",$O107-$A107)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  <c r="O108" s="23"/>
      <c r="P108" s="17">
        <f>IF(OR($B108="",$O108=""),"",$O108-$A108)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  <c r="O109" s="23"/>
      <c r="P109" s="17">
        <f>IF(OR($B109="",$O109=""),"",$O109-$A109)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  <c r="O110" s="23"/>
      <c r="P110" s="17">
        <f>IF(OR($B110="",$O110=""),"",$O110-$A110)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  <c r="O111" s="23"/>
      <c r="P111" s="17">
        <f>IF(OR($B111="",$O111=""),"",$O111-$A111)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  <c r="O112" s="23"/>
      <c r="P112" s="17">
        <f>IF(OR($B112="",$O112=""),"",$O112-$A112)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  <c r="O113" s="23"/>
      <c r="P113" s="17">
        <f>IF(OR($B113="",$O113=""),"",$O113-$A113)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  <c r="O114" s="23"/>
      <c r="P114" s="17">
        <f>IF(OR($B114="",$O114=""),"",$O114-$A114)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  <c r="O115" s="23"/>
      <c r="P115" s="17">
        <f>IF(OR($B115="",$O115=""),"",$O115-$A115)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  <c r="O116" s="23"/>
      <c r="P116" s="17">
        <f>IF(OR($B116="",$O116=""),"",$O116-$A116)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  <c r="O117" s="23"/>
      <c r="P117" s="17">
        <f>IF(OR($B117="",$O117=""),"",$O117-$A117)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  <c r="O118" s="23"/>
      <c r="P118" s="17">
        <f>IF(OR($B118="",$O118=""),"",$O118-$A118)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  <c r="O119" s="23"/>
      <c r="P119" s="17">
        <f>IF(OR($B119="",$O119=""),"",$O119-$A119)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  <c r="O120" s="23"/>
      <c r="P120" s="17">
        <f>IF(OR($B120="",$O120=""),"",$O120-$A120)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  <c r="O121" s="23"/>
      <c r="P121" s="17">
        <f>IF(OR($B121="",$O121=""),"",$O121-$A121)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  <c r="O122" s="23"/>
      <c r="P122" s="17">
        <f>IF(OR($B122="",$O122=""),"",$O122-$A122)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  <c r="O123" s="23"/>
      <c r="P123" s="17">
        <f>IF(OR($B123="",$O123=""),"",$O123-$A123)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  <c r="O124" s="23"/>
      <c r="P124" s="17">
        <f>IF(OR($B124="",$O124=""),"",$O124-$A124)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  <c r="O125" s="23"/>
      <c r="P125" s="17">
        <f>IF(OR($B125="",$O125=""),"",$O125-$A125)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  <c r="O126" s="23"/>
      <c r="P126" s="17">
        <f>IF(OR($B126="",$O126=""),"",$O126-$A126)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  <c r="O127" s="23"/>
      <c r="P127" s="17">
        <f>IF(OR($B127="",$O127=""),"",$O127-$A127)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  <c r="O128" s="23"/>
      <c r="P128" s="17">
        <f>IF(OR($B128="",$O128=""),"",$O128-$A128)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  <c r="O129" s="23"/>
      <c r="P129" s="17">
        <f>IF(OR($B129="",$O129=""),"",$O129-$A129)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  <c r="O130" s="23"/>
      <c r="P130" s="17">
        <f>IF(OR($B130="",$O130=""),"",$O130-$A130)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  <c r="O131" s="23"/>
      <c r="P131" s="17">
        <f>IF(OR($B131="",$O131=""),"",$O131-$A131)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  <c r="O132" s="23"/>
      <c r="P132" s="17">
        <f>IF(OR($B132="",$O132=""),"",$O132-$A132)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  <c r="O133" s="23"/>
      <c r="P133" s="17">
        <f>IF(OR($B133="",$O133=""),"",$O133-$A133)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  <c r="O134" s="23"/>
      <c r="P134" s="17">
        <f>IF(OR($B134="",$O134=""),"",$O134-$A134)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  <c r="O135" s="23"/>
      <c r="P135" s="17">
        <f>IF(OR($B135="",$O135=""),"",$O135-$A135)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  <c r="O136" s="23"/>
      <c r="P136" s="17">
        <f>IF(OR($B136="",$O136=""),"",$O136-$A136)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  <c r="O137" s="23"/>
      <c r="P137" s="17">
        <f>IF(OR($B137="",$O137=""),"",$O137-$A137)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  <c r="O138" s="23"/>
      <c r="P138" s="17">
        <f>IF(OR($B138="",$O138=""),"",$O138-$A138)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  <c r="O139" s="23"/>
      <c r="P139" s="17">
        <f>IF(OR($B139="",$O139=""),"",$O139-$A139)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  <c r="O140" s="23"/>
      <c r="P140" s="17">
        <f>IF(OR($B140="",$O140=""),"",$O140-$A140)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  <c r="O141" s="23"/>
      <c r="P141" s="17">
        <f>IF(OR($B141="",$O141=""),"",$O141-$A141)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  <c r="O142" s="23"/>
      <c r="P142" s="17">
        <f>IF(OR($B142="",$O142=""),"",$O142-$A142)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  <c r="O143" s="23"/>
      <c r="P143" s="17">
        <f>IF(OR($B143="",$O143=""),"",$O143-$A143)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  <c r="O144" s="23"/>
      <c r="P144" s="17">
        <f>IF(OR($B144="",$O144=""),"",$O144-$A144)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  <c r="O145" s="23"/>
      <c r="P145" s="17">
        <f>IF(OR($B145="",$O145=""),"",$O145-$A145)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  <c r="O146" s="23"/>
      <c r="P146" s="17">
        <f>IF(OR($B146="",$O146=""),"",$O146-$A146)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  <c r="O147" s="23"/>
      <c r="P147" s="17">
        <f>IF(OR($B147="",$O147=""),"",$O147-$A147)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  <c r="O148" s="23"/>
      <c r="P148" s="17">
        <f>IF(OR($B148="",$O148=""),"",$O148-$A148)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  <c r="O149" s="23"/>
      <c r="P149" s="17">
        <f>IF(OR($B149="",$O149=""),"",$O149-$A149)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  <c r="O150" s="23"/>
      <c r="P150" s="17">
        <f>IF(OR($B150="",$O150=""),"",$O150-$A150)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  <c r="O151" s="23"/>
      <c r="P151" s="17">
        <f>IF(OR($B151="",$O151=""),"",$O151-$A151)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  <c r="O152" s="23"/>
      <c r="P152" s="17">
        <f>IF(OR($B152="",$O152=""),"",$O152-$A152)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  <c r="O153" s="23"/>
      <c r="P153" s="17">
        <f>IF(OR($B153="",$O153=""),"",$O153-$A153)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  <c r="O154" s="23"/>
      <c r="P154" s="17">
        <f>IF(OR($B154="",$O154=""),"",$O154-$A154)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  <c r="O155" s="23"/>
      <c r="P155" s="17">
        <f>IF(OR($B155="",$O155=""),"",$O155-$A155)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  <c r="O156" s="23"/>
      <c r="P156" s="17">
        <f>IF(OR($B156="",$O156=""),"",$O156-$A156)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  <c r="O157" s="23"/>
      <c r="P157" s="17">
        <f>IF(OR($B157="",$O157=""),"",$O157-$A157)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  <c r="O158" s="23"/>
      <c r="P158" s="17">
        <f>IF(OR($B158="",$O158=""),"",$O158-$A158)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  <c r="O159" s="23"/>
      <c r="P159" s="17">
        <f>IF(OR($B159="",$O159=""),"",$O159-$A159)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  <c r="O160" s="23"/>
      <c r="P160" s="17">
        <f>IF(OR($B160="",$O160=""),"",$O160-$A160)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  <c r="O161" s="23"/>
      <c r="P161" s="17">
        <f>IF(OR($B161="",$O161=""),"",$O161-$A161)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  <c r="O162" s="23"/>
      <c r="P162" s="17">
        <f>IF(OR($B162="",$O162=""),"",$O162-$A162)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  <c r="O163" s="23"/>
      <c r="P163" s="17">
        <f>IF(OR($B163="",$O163=""),"",$O163-$A163)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  <c r="O164" s="23"/>
      <c r="P164" s="17">
        <f>IF(OR($B164="",$O164=""),"",$O164-$A164)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  <c r="O165" s="23"/>
      <c r="P165" s="17">
        <f>IF(OR($B165="",$O165=""),"",$O165-$A165)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  <c r="O166" s="23"/>
      <c r="P166" s="17">
        <f>IF(OR($B166="",$O166=""),"",$O166-$A166)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  <c r="O167" s="23"/>
      <c r="P167" s="17">
        <f>IF(OR($B167="",$O167=""),"",$O167-$A167)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  <c r="O168" s="23"/>
      <c r="P168" s="17">
        <f>IF(OR($B168="",$O168=""),"",$O168-$A168)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  <c r="O169" s="23"/>
      <c r="P169" s="17">
        <f>IF(OR($B169="",$O169=""),"",$O169-$A169)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  <c r="O170" s="23"/>
      <c r="P170" s="17">
        <f>IF(OR($B170="",$O170=""),"",$O170-$A170)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  <c r="O171" s="23"/>
      <c r="P171" s="17">
        <f>IF(OR($B171="",$O171=""),"",$O171-$A171)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  <c r="O172" s="23"/>
      <c r="P172" s="17">
        <f>IF(OR($B172="",$O172=""),"",$O172-$A172)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  <c r="O173" s="23"/>
      <c r="P173" s="17">
        <f>IF(OR($B173="",$O173=""),"",$O173-$A173)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  <c r="O174" s="23"/>
      <c r="P174" s="17">
        <f>IF(OR($B174="",$O174=""),"",$O174-$A174)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  <c r="O175" s="23"/>
      <c r="P175" s="17">
        <f>IF(OR($B175="",$O175=""),"",$O175-$A175)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  <c r="O176" s="23"/>
      <c r="P176" s="17">
        <f>IF(OR($B176="",$O176=""),"",$O176-$A176)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  <c r="O177" s="23"/>
      <c r="P177" s="17">
        <f>IF(OR($B177="",$O177=""),"",$O177-$A177)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  <c r="O178" s="23"/>
      <c r="P178" s="17">
        <f>IF(OR($B178="",$O178=""),"",$O178-$A178)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  <c r="O179" s="23"/>
      <c r="P179" s="17">
        <f>IF(OR($B179="",$O179=""),"",$O179-$A179)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  <c r="O180" s="23"/>
      <c r="P180" s="17">
        <f>IF(OR($B180="",$O180=""),"",$O180-$A180)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  <c r="O181" s="23"/>
      <c r="P181" s="17">
        <f>IF(OR($B181="",$O181=""),"",$O181-$A181)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  <c r="O182" s="23"/>
      <c r="P182" s="17">
        <f>IF(OR($B182="",$O182=""),"",$O182-$A182)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  <c r="O183" s="23"/>
      <c r="P183" s="17">
        <f>IF(OR($B183="",$O183=""),"",$O183-$A183)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  <c r="O184" s="23"/>
      <c r="P184" s="17">
        <f>IF(OR($B184="",$O184=""),"",$O184-$A184)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  <c r="O185" s="23"/>
      <c r="P185" s="17">
        <f>IF(OR($B185="",$O185=""),"",$O185-$A185)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  <c r="O186" s="23"/>
      <c r="P186" s="17">
        <f>IF(OR($B186="",$O186=""),"",$O186-$A186)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  <c r="O187" s="23"/>
      <c r="P187" s="17">
        <f>IF(OR($B187="",$O187=""),"",$O187-$A187)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  <c r="O188" s="23"/>
      <c r="P188" s="17">
        <f>IF(OR($B188="",$O188=""),"",$O188-$A188)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  <c r="O189" s="23"/>
      <c r="P189" s="17">
        <f>IF(OR($B189="",$O189=""),"",$O189-$A189)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  <c r="O190" s="23"/>
      <c r="P190" s="17">
        <f>IF(OR($B190="",$O190=""),"",$O190-$A190)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  <c r="O191" s="23"/>
      <c r="P191" s="17">
        <f>IF(OR($B191="",$O191=""),"",$O191-$A191)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  <c r="O192" s="23"/>
      <c r="P192" s="17">
        <f>IF(OR($B192="",$O192=""),"",$O192-$A192)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  <c r="O193" s="23"/>
      <c r="P193" s="17">
        <f>IF(OR($B193="",$O193=""),"",$O193-$A193)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  <c r="O194" s="23"/>
      <c r="P194" s="17">
        <f>IF(OR($B194="",$O194=""),"",$O194-$A194)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  <c r="O195" s="23"/>
      <c r="P195" s="17">
        <f>IF(OR($B195="",$O195=""),"",$O195-$A195)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  <c r="O196" s="23"/>
      <c r="P196" s="17">
        <f>IF(OR($B196="",$O196=""),"",$O196-$A196)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  <c r="O197" s="23"/>
      <c r="P197" s="17">
        <f>IF(OR($B197="",$O197=""),"",$O197-$A197)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  <c r="O198" s="23"/>
      <c r="P198" s="17">
        <f>IF(OR($B198="",$O198=""),"",$O198-$A198)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  <c r="O199" s="23"/>
      <c r="P199" s="17">
        <f>IF(OR($B199="",$O199=""),"",$O199-$A199)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  <c r="O200" s="23"/>
      <c r="P200" s="17">
        <f>IF(OR($B200="",$O200=""),"",$O200-$A200)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  <c r="O201" s="23"/>
      <c r="P201" s="17">
        <f>IF(OR($B201="",$O201=""),"",$O201-$A201)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  <c r="O202" s="23"/>
      <c r="P202" s="17">
        <f>IF(OR($B202="",$O202=""),"",$O202-$A202)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  <c r="O203" s="23"/>
      <c r="P203" s="17">
        <f>IF(OR($B203="",$O203=""),"",$O203-$A203)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  <c r="O204" s="23"/>
      <c r="P204" s="17">
        <f>IF(OR($B204="",$O204=""),"",$O204-$A204)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  <c r="O205" s="23"/>
      <c r="P205" s="17">
        <f>IF(OR($B205="",$O205=""),"",$O205-$A205)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  <c r="O206" s="23"/>
      <c r="P206" s="17">
        <f>IF(OR($B206="",$O206=""),"",$O206-$A206)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  <c r="O207" s="23"/>
      <c r="P207" s="17">
        <f>IF(OR($B207="",$O207=""),"",$O207-$A207)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  <c r="O208" s="23"/>
      <c r="P208" s="17">
        <f>IF(OR($B208="",$O208=""),"",$O208-$A208)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  <c r="O209" s="23"/>
      <c r="P209" s="17">
        <f>IF(OR($B209="",$O209=""),"",$O209-$A209)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  <c r="O210" s="23"/>
      <c r="P210" s="17">
        <f>IF(OR($B210="",$O210=""),"",$O210-$A210)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  <c r="O211" s="23"/>
      <c r="P211" s="17">
        <f>IF(OR($B211="",$O211=""),"",$O211-$A211)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  <c r="O212" s="23"/>
      <c r="P212" s="17">
        <f>IF(OR($B212="",$O212=""),"",$O212-$A212)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  <c r="O213" s="23"/>
      <c r="P213" s="17">
        <f>IF(OR($B213="",$O213=""),"",$O213-$A213)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  <c r="O214" s="23"/>
      <c r="P214" s="17">
        <f>IF(OR($B214="",$O214=""),"",$O214-$A214)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  <c r="O215" s="23"/>
      <c r="P215" s="17">
        <f>IF(OR($B215="",$O215=""),"",$O215-$A215)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  <c r="O216" s="23"/>
      <c r="P216" s="17">
        <f>IF(OR($B216="",$O216=""),"",$O216-$A216)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  <c r="O217" s="23"/>
      <c r="P217" s="17">
        <f>IF(OR($B217="",$O217=""),"",$O217-$A217)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  <c r="O218" s="23"/>
      <c r="P218" s="17">
        <f>IF(OR($B218="",$O218=""),"",$O218-$A218)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  <c r="O219" s="23"/>
      <c r="P219" s="17">
        <f>IF(OR($B219="",$O219=""),"",$O219-$A219)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  <c r="O220" s="23"/>
      <c r="P220" s="17">
        <f>IF(OR($B220="",$O220=""),"",$O220-$A220)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  <c r="O221" s="23"/>
      <c r="P221" s="17">
        <f>IF(OR($B221="",$O221=""),"",$O221-$A221)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  <c r="O222" s="23"/>
      <c r="P222" s="17">
        <f>IF(OR($B222="",$O222=""),"",$O222-$A222)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  <c r="O223" s="23"/>
      <c r="P223" s="17">
        <f>IF(OR($B223="",$O223=""),"",$O223-$A223)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  <c r="O224" s="23"/>
      <c r="P224" s="17">
        <f>IF(OR($B224="",$O224=""),"",$O224-$A224)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  <c r="O225" s="23"/>
      <c r="P225" s="17">
        <f>IF(OR($B225="",$O225=""),"",$O225-$A225)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  <c r="O226" s="23"/>
      <c r="P226" s="17">
        <f>IF(OR($B226="",$O226=""),"",$O226-$A226)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  <c r="O227" s="23"/>
      <c r="P227" s="17">
        <f>IF(OR($B227="",$O227=""),"",$O227-$A227)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  <c r="O228" s="23"/>
      <c r="P228" s="17">
        <f>IF(OR($B228="",$O228=""),"",$O228-$A228)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  <c r="O229" s="23"/>
      <c r="P229" s="17">
        <f>IF(OR($B229="",$O229=""),"",$O229-$A229)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  <c r="O230" s="23"/>
      <c r="P230" s="17">
        <f>IF(OR($B230="",$O230=""),"",$O230-$A230)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  <c r="O231" s="23"/>
      <c r="P231" s="17">
        <f>IF(OR($B231="",$O231=""),"",$O231-$A231)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  <c r="O232" s="23"/>
      <c r="P232" s="17">
        <f>IF(OR($B232="",$O232=""),"",$O232-$A232)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  <c r="O233" s="23"/>
      <c r="P233" s="17">
        <f>IF(OR($B233="",$O233=""),"",$O233-$A233)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  <c r="O234" s="23"/>
      <c r="P234" s="17">
        <f>IF(OR($B234="",$O234=""),"",$O234-$A234)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  <c r="O235" s="23"/>
      <c r="P235" s="17">
        <f>IF(OR($B235="",$O235=""),"",$O235-$A235)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  <c r="O236" s="23"/>
      <c r="P236" s="17">
        <f>IF(OR($B236="",$O236=""),"",$O236-$A236)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  <c r="O237" s="23"/>
      <c r="P237" s="17">
        <f>IF(OR($B237="",$O237=""),"",$O237-$A237)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  <c r="O238" s="23"/>
      <c r="P238" s="17">
        <f>IF(OR($B238="",$O238=""),"",$O238-$A238)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  <c r="O239" s="23"/>
      <c r="P239" s="17">
        <f>IF(OR($B239="",$O239=""),"",$O239-$A239)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  <c r="O240" s="23"/>
      <c r="P240" s="17">
        <f>IF(OR($B240="",$O240=""),"",$O240-$A240)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  <c r="O241" s="23"/>
      <c r="P241" s="17">
        <f>IF(OR($B241="",$O241=""),"",$O241-$A241)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  <c r="O242" s="23"/>
      <c r="P242" s="17">
        <f>IF(OR($B242="",$O242=""),"",$O242-$A242)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  <c r="O243" s="23"/>
      <c r="P243" s="17">
        <f>IF(OR($B243="",$O243=""),"",$O243-$A243)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  <c r="O244" s="23"/>
      <c r="P244" s="17">
        <f>IF(OR($B244="",$O244=""),"",$O244-$A244)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  <c r="O245" s="23"/>
      <c r="P245" s="17">
        <f>IF(OR($B245="",$O245=""),"",$O245-$A245)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  <c r="O246" s="23"/>
      <c r="P246" s="17">
        <f>IF(OR($B246="",$O246=""),"",$O246-$A246)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  <c r="O247" s="23"/>
      <c r="P247" s="17">
        <f>IF(OR($B247="",$O247=""),"",$O247-$A247)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  <c r="O248" s="23"/>
      <c r="P248" s="17">
        <f>IF(OR($B248="",$O248=""),"",$O248-$A248)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  <c r="O249" s="23"/>
      <c r="P249" s="17">
        <f>IF(OR($B249="",$O249=""),"",$O249-$A249)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  <c r="O250" s="23"/>
      <c r="P250" s="17">
        <f>IF(OR($B250="",$O250=""),"",$O250-$A250)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  <c r="O251" s="23"/>
      <c r="P251" s="17">
        <f>IF(OR($B251="",$O251=""),"",$O251-$A251)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  <c r="O252" s="23"/>
      <c r="P252" s="17">
        <f>IF(OR($B252="",$O252=""),"",$O252-$A252)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  <c r="O253" s="23"/>
      <c r="P253" s="17">
        <f>IF(OR($B253="",$O253=""),"",$O253-$A253)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  <c r="O254" s="23"/>
      <c r="P254" s="17">
        <f>IF(OR($B254="",$O254=""),"",$O254-$A254)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  <c r="O255" s="23"/>
      <c r="P255" s="17">
        <f>IF(OR($B255="",$O255=""),"",$O255-$A255)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  <c r="O256" s="23"/>
      <c r="P256" s="17">
        <f>IF(OR($B256="",$O256=""),"",$O256-$A256)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  <c r="O257" s="23"/>
      <c r="P257" s="17">
        <f>IF(OR($B257="",$O257=""),"",$O257-$A257)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  <c r="O258" s="23"/>
      <c r="P258" s="17">
        <f>IF(OR($B258="",$O258=""),"",$O258-$A258)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  <c r="O259" s="23"/>
      <c r="P259" s="17">
        <f>IF(OR($B259="",$O259=""),"",$O259-$A259)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  <c r="O260" s="23"/>
      <c r="P260" s="17">
        <f>IF(OR($B260="",$O260=""),"",$O260-$A260)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  <c r="O261" s="23"/>
      <c r="P261" s="17">
        <f>IF(OR($B261="",$O261=""),"",$O261-$A261)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  <c r="O262" s="23"/>
      <c r="P262" s="17">
        <f>IF(OR($B262="",$O262=""),"",$O262-$A262)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  <c r="O263" s="23"/>
      <c r="P263" s="17">
        <f>IF(OR($B263="",$O263=""),"",$O263-$A263)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  <c r="O264" s="23"/>
      <c r="P264" s="17">
        <f>IF(OR($B264="",$O264=""),"",$O264-$A264)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  <c r="O265" s="23"/>
      <c r="P265" s="17">
        <f>IF(OR($B265="",$O265=""),"",$O265-$A265)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  <c r="O266" s="23"/>
      <c r="P266" s="17">
        <f>IF(OR($B266="",$O266=""),"",$O266-$A266)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  <c r="O267" s="23"/>
      <c r="P267" s="17">
        <f>IF(OR($B267="",$O267=""),"",$O267-$A267)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  <c r="O268" s="23"/>
      <c r="P268" s="17">
        <f>IF(OR($B268="",$O268=""),"",$O268-$A268)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  <c r="O269" s="23"/>
      <c r="P269" s="17">
        <f>IF(OR($B269="",$O269=""),"",$O269-$A269)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  <c r="O270" s="23"/>
      <c r="P270" s="17">
        <f>IF(OR($B270="",$O270=""),"",$O270-$A270)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  <c r="O271" s="23"/>
      <c r="P271" s="17">
        <f>IF(OR($B271="",$O271=""),"",$O271-$A271)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  <c r="O272" s="23"/>
      <c r="P272" s="17">
        <f>IF(OR($B272="",$O272=""),"",$O272-$A272)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  <c r="O273" s="23"/>
      <c r="P273" s="17">
        <f>IF(OR($B273="",$O273=""),"",$O273-$A273)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  <c r="O274" s="23"/>
      <c r="P274" s="17">
        <f>IF(OR($B274="",$O274=""),"",$O274-$A274)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  <c r="O275" s="23"/>
      <c r="P275" s="17">
        <f>IF(OR($B275="",$O275=""),"",$O275-$A275)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  <c r="O276" s="23"/>
      <c r="P276" s="17">
        <f>IF(OR($B276="",$O276=""),"",$O276-$A276)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  <c r="O277" s="23"/>
      <c r="P277" s="17">
        <f>IF(OR($B277="",$O277=""),"",$O277-$A277)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  <c r="O278" s="23"/>
      <c r="P278" s="17">
        <f>IF(OR($B278="",$O278=""),"",$O278-$A278)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  <c r="O279" s="23"/>
      <c r="P279" s="17">
        <f>IF(OR($B279="",$O279=""),"",$O279-$A279)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  <c r="O280" s="23"/>
      <c r="P280" s="17">
        <f>IF(OR($B280="",$O280=""),"",$O280-$A280)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  <c r="O281" s="23"/>
      <c r="P281" s="17">
        <f>IF(OR($B281="",$O281=""),"",$O281-$A281)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  <c r="O282" s="23"/>
      <c r="P282" s="17">
        <f>IF(OR($B282="",$O282=""),"",$O282-$A282)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  <c r="O283" s="23"/>
      <c r="P283" s="17">
        <f>IF(OR($B283="",$O283=""),"",$O283-$A283)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  <c r="O284" s="23"/>
      <c r="P284" s="17">
        <f>IF(OR($B284="",$O284=""),"",$O284-$A284)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  <c r="O285" s="23"/>
      <c r="P285" s="17">
        <f>IF(OR($B285="",$O285=""),"",$O285-$A285)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  <c r="O286" s="23"/>
      <c r="P286" s="17">
        <f>IF(OR($B286="",$O286=""),"",$O286-$A286)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  <c r="O287" s="23"/>
      <c r="P287" s="17">
        <f>IF(OR($B287="",$O287=""),"",$O287-$A287)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  <c r="O288" s="23"/>
      <c r="P288" s="17">
        <f>IF(OR($B288="",$O288=""),"",$O288-$A288)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  <c r="O289" s="23"/>
      <c r="P289" s="17">
        <f>IF(OR($B289="",$O289=""),"",$O289-$A289)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  <c r="O290" s="23"/>
      <c r="P290" s="17">
        <f>IF(OR($B290="",$O290=""),"",$O290-$A290)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  <c r="O291" s="23"/>
      <c r="P291" s="17">
        <f>IF(OR($B291="",$O291=""),"",$O291-$A291)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  <c r="O292" s="23"/>
      <c r="P292" s="17">
        <f>IF(OR($B292="",$O292=""),"",$O292-$A292)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  <c r="O293" s="23"/>
      <c r="P293" s="17">
        <f>IF(OR($B293="",$O293=""),"",$O293-$A293)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  <c r="O294" s="23"/>
      <c r="P294" s="17">
        <f>IF(OR($B294="",$O294=""),"",$O294-$A294)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  <c r="O295" s="23"/>
      <c r="P295" s="17">
        <f>IF(OR($B295="",$O295=""),"",$O295-$A295)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  <c r="O296" s="23"/>
      <c r="P296" s="17">
        <f>IF(OR($B296="",$O296=""),"",$O296-$A296)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  <c r="O297" s="23"/>
      <c r="P297" s="17">
        <f>IF(OR($B297="",$O297=""),"",$O297-$A297)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  <c r="O298" s="23"/>
      <c r="P298" s="17">
        <f>IF(OR($B298="",$O298=""),"",$O298-$A298)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  <c r="O299" s="23"/>
      <c r="P299" s="17">
        <f>IF(OR($B299="",$O299=""),"",$O299-$A299)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  <c r="O300" s="23"/>
      <c r="P300" s="17">
        <f>IF(OR($B300="",$O300=""),"",$O300-$A300)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  <c r="O301" s="23"/>
      <c r="P301" s="17">
        <f>IF(OR($B301="",$O301=""),"",$O301-$A301)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'Config'!$R$2:$R$30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5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Bancolombia</t>
        </is>
      </c>
      <c r="B8" s="11">
        <f>SUMIFS('Ventas'!$H:$H,'Ventas'!$A:$A,$B$3,'Ventas'!$O:$O,"Bancolombia")</f>
      </c>
    </row>
    <row r="9">
      <c r="A9" s="7" t="inlineStr">
        <is>
          <t xml:space="preserve">Bancolombia MM</t>
        </is>
      </c>
      <c r="B9" s="11">
        <f>SUMIFS('Ventas'!$H:$H,'Ventas'!$A:$A,$B$3,'Ventas'!$O:$O,"Bancolombia MM")</f>
      </c>
    </row>
    <row r="10">
      <c r="A10" s="7" t="inlineStr">
        <is>
          <t xml:space="preserve">Daviplata</t>
        </is>
      </c>
      <c r="B10" s="11">
        <f>SUMIFS('Ventas'!$H:$H,'Ventas'!$A:$A,$B$3,'Ventas'!$O:$O,"Daviplata")</f>
      </c>
    </row>
    <row r="11">
      <c r="A11" s="7" t="inlineStr">
        <is>
          <t xml:space="preserve">Davivienda</t>
        </is>
      </c>
      <c r="B11" s="11">
        <f>SUMIFS('Ventas'!$H:$H,'Ventas'!$A:$A,$B$3,'Ventas'!$O:$O,"Davivienda")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Abonos recibidos en efectivo hoy (automático)</t>
        </is>
      </c>
      <c r="B38" s="11">
        <f>SUMIFS('Abonos Préstamos'!$C:$C,'Abonos Préstamos'!$A:$A,$B$3,'Abonos Préstamos'!$D:$D,"Efectivo")</f>
      </c>
      <c r="C38" s="37" t="inlineStr">
        <is>
          <t xml:space="preserve">Sale solo de los abonos marcados como 'Efectivo'.</t>
        </is>
      </c>
    </row>
    <row r="39">
      <c r="A39" s="7" t="inlineStr">
        <is>
          <t xml:space="preserve">− Salidas en efectivo (gastos / préstamos dados) →</t>
        </is>
      </c>
      <c r="B39" s="22"/>
    </row>
    <row r="40">
      <c r="A40" s="34" t="inlineStr">
        <is>
          <t xml:space="preserve">= EFECTIVO QUE DEBERÍA HABER</t>
        </is>
      </c>
      <c r="B40" s="35">
        <f>$B$36+$B$37+$B$38-$B$39</f>
      </c>
    </row>
    <row r="41">
      <c r="A41" s="7" t="inlineStr">
        <is>
          <t xml:space="preserve">Efectivo realmente contado en caja →</t>
        </is>
      </c>
      <c r="B41" s="22"/>
    </row>
    <row r="42">
      <c r="A42" s="34" t="inlineStr">
        <is>
          <t xml:space="preserve">DIFERENCIA (contado − esperado)</t>
        </is>
      </c>
      <c r="B42" s="35">
        <f>$B$41-$B$40</f>
      </c>
      <c r="C42" s="9">
        <f>IF($B$41="","Cuenta el efectivo y escríbelo arriba",IF(ROUND($B$42,0)=0,"✅ CUADRA",IF($B$42&gt;0,"🔵 Sobra efectivo","🔴 Falta efectivo")))</f>
      </c>
    </row>
    <row r="44">
      <c r="A44" s="5" t="inlineStr">
        <is>
          <t xml:space="preserve">HISTORIAL — últimos 30 días</t>
        </is>
      </c>
    </row>
    <row r="45">
      <c r="A45" s="1" t="inlineStr">
        <is>
          <t xml:space="preserve">Día</t>
        </is>
      </c>
      <c r="B45" s="1" t="inlineStr">
        <is>
          <t xml:space="preserve">Ventas a caja</t>
        </is>
      </c>
      <c r="C45" s="1" t="inlineStr">
        <is>
          <t xml:space="preserve">Ganancia neta</t>
        </is>
      </c>
    </row>
    <row r="46">
      <c r="A46" s="14">
        <f>TODAY()-0</f>
      </c>
      <c r="B46" s="11">
        <f>SUMIFS('Ventas'!$H:$H,'Ventas'!$A:$A,$A46)-SUMIFS('Ventas'!$H:$H,'Ventas'!$A:$A,$A46,'Ventas'!$O:$O,"Mercado Libre")</f>
      </c>
      <c r="C46" s="11">
        <f>SUMIFS('Ventas'!$L:$L,'Ventas'!$A:$A,$A46)</f>
      </c>
    </row>
    <row r="47">
      <c r="A47" s="14">
        <f>TODAY()-1</f>
      </c>
      <c r="B47" s="11">
        <f>SUMIFS('Ventas'!$H:$H,'Ventas'!$A:$A,$A47)-SUMIFS('Ventas'!$H:$H,'Ventas'!$A:$A,$A47,'Ventas'!$O:$O,"Mercado Libre")</f>
      </c>
      <c r="C47" s="11">
        <f>SUMIFS('Ventas'!$L:$L,'Ventas'!$A:$A,$A47)</f>
      </c>
    </row>
    <row r="48">
      <c r="A48" s="14">
        <f>TODAY()-2</f>
      </c>
      <c r="B48" s="11">
        <f>SUMIFS('Ventas'!$H:$H,'Ventas'!$A:$A,$A48)-SUMIFS('Ventas'!$H:$H,'Ventas'!$A:$A,$A48,'Ventas'!$O:$O,"Mercado Libre")</f>
      </c>
      <c r="C48" s="11">
        <f>SUMIFS('Ventas'!$L:$L,'Ventas'!$A:$A,$A48)</f>
      </c>
    </row>
    <row r="49">
      <c r="A49" s="14">
        <f>TODAY()-3</f>
      </c>
      <c r="B49" s="11">
        <f>SUMIFS('Ventas'!$H:$H,'Ventas'!$A:$A,$A49)-SUMIFS('Ventas'!$H:$H,'Ventas'!$A:$A,$A49,'Ventas'!$O:$O,"Mercado Libre")</f>
      </c>
      <c r="C49" s="11">
        <f>SUMIFS('Ventas'!$L:$L,'Ventas'!$A:$A,$A49)</f>
      </c>
    </row>
    <row r="50">
      <c r="A50" s="14">
        <f>TODAY()-4</f>
      </c>
      <c r="B50" s="11">
        <f>SUMIFS('Ventas'!$H:$H,'Ventas'!$A:$A,$A50)-SUMIFS('Ventas'!$H:$H,'Ventas'!$A:$A,$A50,'Ventas'!$O:$O,"Mercado Libre")</f>
      </c>
      <c r="C50" s="11">
        <f>SUMIFS('Ventas'!$L:$L,'Ventas'!$A:$A,$A50)</f>
      </c>
    </row>
    <row r="51">
      <c r="A51" s="14">
        <f>TODAY()-5</f>
      </c>
      <c r="B51" s="11">
        <f>SUMIFS('Ventas'!$H:$H,'Ventas'!$A:$A,$A51)-SUMIFS('Ventas'!$H:$H,'Ventas'!$A:$A,$A51,'Ventas'!$O:$O,"Mercado Libre")</f>
      </c>
      <c r="C51" s="11">
        <f>SUMIFS('Ventas'!$L:$L,'Ventas'!$A:$A,$A51)</f>
      </c>
    </row>
    <row r="52">
      <c r="A52" s="14">
        <f>TODAY()-6</f>
      </c>
      <c r="B52" s="11">
        <f>SUMIFS('Ventas'!$H:$H,'Ventas'!$A:$A,$A52)-SUMIFS('Ventas'!$H:$H,'Ventas'!$A:$A,$A52,'Ventas'!$O:$O,"Mercado Libre")</f>
      </c>
      <c r="C52" s="11">
        <f>SUMIFS('Ventas'!$L:$L,'Ventas'!$A:$A,$A52)</f>
      </c>
    </row>
    <row r="53">
      <c r="A53" s="14">
        <f>TODAY()-7</f>
      </c>
      <c r="B53" s="11">
        <f>SUMIFS('Ventas'!$H:$H,'Ventas'!$A:$A,$A53)-SUMIFS('Ventas'!$H:$H,'Ventas'!$A:$A,$A53,'Ventas'!$O:$O,"Mercado Libre")</f>
      </c>
      <c r="C53" s="11">
        <f>SUMIFS('Ventas'!$L:$L,'Ventas'!$A:$A,$A53)</f>
      </c>
    </row>
    <row r="54">
      <c r="A54" s="14">
        <f>TODAY()-8</f>
      </c>
      <c r="B54" s="11">
        <f>SUMIFS('Ventas'!$H:$H,'Ventas'!$A:$A,$A54)-SUMIFS('Ventas'!$H:$H,'Ventas'!$A:$A,$A54,'Ventas'!$O:$O,"Mercado Libre")</f>
      </c>
      <c r="C54" s="11">
        <f>SUMIFS('Ventas'!$L:$L,'Ventas'!$A:$A,$A54)</f>
      </c>
    </row>
    <row r="55">
      <c r="A55" s="14">
        <f>TODAY()-9</f>
      </c>
      <c r="B55" s="11">
        <f>SUMIFS('Ventas'!$H:$H,'Ventas'!$A:$A,$A55)-SUMIFS('Ventas'!$H:$H,'Ventas'!$A:$A,$A55,'Ventas'!$O:$O,"Mercado Libre")</f>
      </c>
      <c r="C55" s="11">
        <f>SUMIFS('Ventas'!$L:$L,'Ventas'!$A:$A,$A55)</f>
      </c>
    </row>
    <row r="56">
      <c r="A56" s="14">
        <f>TODAY()-10</f>
      </c>
      <c r="B56" s="11">
        <f>SUMIFS('Ventas'!$H:$H,'Ventas'!$A:$A,$A56)-SUMIFS('Ventas'!$H:$H,'Ventas'!$A:$A,$A56,'Ventas'!$O:$O,"Mercado Libre")</f>
      </c>
      <c r="C56" s="11">
        <f>SUMIFS('Ventas'!$L:$L,'Ventas'!$A:$A,$A56)</f>
      </c>
    </row>
    <row r="57">
      <c r="A57" s="14">
        <f>TODAY()-11</f>
      </c>
      <c r="B57" s="11">
        <f>SUMIFS('Ventas'!$H:$H,'Ventas'!$A:$A,$A57)-SUMIFS('Ventas'!$H:$H,'Ventas'!$A:$A,$A57,'Ventas'!$O:$O,"Mercado Libre")</f>
      </c>
      <c r="C57" s="11">
        <f>SUMIFS('Ventas'!$L:$L,'Ventas'!$A:$A,$A57)</f>
      </c>
    </row>
    <row r="58">
      <c r="A58" s="14">
        <f>TODAY()-12</f>
      </c>
      <c r="B58" s="11">
        <f>SUMIFS('Ventas'!$H:$H,'Ventas'!$A:$A,$A58)-SUMIFS('Ventas'!$H:$H,'Ventas'!$A:$A,$A58,'Ventas'!$O:$O,"Mercado Libre")</f>
      </c>
      <c r="C58" s="11">
        <f>SUMIFS('Ventas'!$L:$L,'Ventas'!$A:$A,$A58)</f>
      </c>
    </row>
    <row r="59">
      <c r="A59" s="14">
        <f>TODAY()-13</f>
      </c>
      <c r="B59" s="11">
        <f>SUMIFS('Ventas'!$H:$H,'Ventas'!$A:$A,$A59)-SUMIFS('Ventas'!$H:$H,'Ventas'!$A:$A,$A59,'Ventas'!$O:$O,"Mercado Libre")</f>
      </c>
      <c r="C59" s="11">
        <f>SUMIFS('Ventas'!$L:$L,'Ventas'!$A:$A,$A59)</f>
      </c>
    </row>
    <row r="60">
      <c r="A60" s="14">
        <f>TODAY()-14</f>
      </c>
      <c r="B60" s="11">
        <f>SUMIFS('Ventas'!$H:$H,'Ventas'!$A:$A,$A60)-SUMIFS('Ventas'!$H:$H,'Ventas'!$A:$A,$A60,'Ventas'!$O:$O,"Mercado Libre")</f>
      </c>
      <c r="C60" s="11">
        <f>SUMIFS('Ventas'!$L:$L,'Ventas'!$A:$A,$A60)</f>
      </c>
    </row>
    <row r="61">
      <c r="A61" s="14">
        <f>TODAY()-15</f>
      </c>
      <c r="B61" s="11">
        <f>SUMIFS('Ventas'!$H:$H,'Ventas'!$A:$A,$A61)-SUMIFS('Ventas'!$H:$H,'Ventas'!$A:$A,$A61,'Ventas'!$O:$O,"Mercado Libre")</f>
      </c>
      <c r="C61" s="11">
        <f>SUMIFS('Ventas'!$L:$L,'Ventas'!$A:$A,$A61)</f>
      </c>
    </row>
    <row r="62">
      <c r="A62" s="14">
        <f>TODAY()-16</f>
      </c>
      <c r="B62" s="11">
        <f>SUMIFS('Ventas'!$H:$H,'Ventas'!$A:$A,$A62)-SUMIFS('Ventas'!$H:$H,'Ventas'!$A:$A,$A62,'Ventas'!$O:$O,"Mercado Libre")</f>
      </c>
      <c r="C62" s="11">
        <f>SUMIFS('Ventas'!$L:$L,'Ventas'!$A:$A,$A62)</f>
      </c>
    </row>
    <row r="63">
      <c r="A63" s="14">
        <f>TODAY()-17</f>
      </c>
      <c r="B63" s="11">
        <f>SUMIFS('Ventas'!$H:$H,'Ventas'!$A:$A,$A63)-SUMIFS('Ventas'!$H:$H,'Ventas'!$A:$A,$A63,'Ventas'!$O:$O,"Mercado Libre")</f>
      </c>
      <c r="C63" s="11">
        <f>SUMIFS('Ventas'!$L:$L,'Ventas'!$A:$A,$A63)</f>
      </c>
    </row>
    <row r="64">
      <c r="A64" s="14">
        <f>TODAY()-18</f>
      </c>
      <c r="B64" s="11">
        <f>SUMIFS('Ventas'!$H:$H,'Ventas'!$A:$A,$A64)-SUMIFS('Ventas'!$H:$H,'Ventas'!$A:$A,$A64,'Ventas'!$O:$O,"Mercado Libre")</f>
      </c>
      <c r="C64" s="11">
        <f>SUMIFS('Ventas'!$L:$L,'Ventas'!$A:$A,$A64)</f>
      </c>
    </row>
    <row r="65">
      <c r="A65" s="14">
        <f>TODAY()-19</f>
      </c>
      <c r="B65" s="11">
        <f>SUMIFS('Ventas'!$H:$H,'Ventas'!$A:$A,$A65)-SUMIFS('Ventas'!$H:$H,'Ventas'!$A:$A,$A65,'Ventas'!$O:$O,"Mercado Libre")</f>
      </c>
      <c r="C65" s="11">
        <f>SUMIFS('Ventas'!$L:$L,'Ventas'!$A:$A,$A65)</f>
      </c>
    </row>
    <row r="66">
      <c r="A66" s="14">
        <f>TODAY()-20</f>
      </c>
      <c r="B66" s="11">
        <f>SUMIFS('Ventas'!$H:$H,'Ventas'!$A:$A,$A66)-SUMIFS('Ventas'!$H:$H,'Ventas'!$A:$A,$A66,'Ventas'!$O:$O,"Mercado Libre")</f>
      </c>
      <c r="C66" s="11">
        <f>SUMIFS('Ventas'!$L:$L,'Ventas'!$A:$A,$A66)</f>
      </c>
    </row>
    <row r="67">
      <c r="A67" s="14">
        <f>TODAY()-21</f>
      </c>
      <c r="B67" s="11">
        <f>SUMIFS('Ventas'!$H:$H,'Ventas'!$A:$A,$A67)-SUMIFS('Ventas'!$H:$H,'Ventas'!$A:$A,$A67,'Ventas'!$O:$O,"Mercado Libre")</f>
      </c>
      <c r="C67" s="11">
        <f>SUMIFS('Ventas'!$L:$L,'Ventas'!$A:$A,$A67)</f>
      </c>
    </row>
    <row r="68">
      <c r="A68" s="14">
        <f>TODAY()-22</f>
      </c>
      <c r="B68" s="11">
        <f>SUMIFS('Ventas'!$H:$H,'Ventas'!$A:$A,$A68)-SUMIFS('Ventas'!$H:$H,'Ventas'!$A:$A,$A68,'Ventas'!$O:$O,"Mercado Libre")</f>
      </c>
      <c r="C68" s="11">
        <f>SUMIFS('Ventas'!$L:$L,'Ventas'!$A:$A,$A68)</f>
      </c>
    </row>
    <row r="69">
      <c r="A69" s="14">
        <f>TODAY()-23</f>
      </c>
      <c r="B69" s="11">
        <f>SUMIFS('Ventas'!$H:$H,'Ventas'!$A:$A,$A69)-SUMIFS('Ventas'!$H:$H,'Ventas'!$A:$A,$A69,'Ventas'!$O:$O,"Mercado Libre")</f>
      </c>
      <c r="C69" s="11">
        <f>SUMIFS('Ventas'!$L:$L,'Ventas'!$A:$A,$A69)</f>
      </c>
    </row>
    <row r="70">
      <c r="A70" s="14">
        <f>TODAY()-24</f>
      </c>
      <c r="B70" s="11">
        <f>SUMIFS('Ventas'!$H:$H,'Ventas'!$A:$A,$A70)-SUMIFS('Ventas'!$H:$H,'Ventas'!$A:$A,$A70,'Ventas'!$O:$O,"Mercado Libre")</f>
      </c>
      <c r="C70" s="11">
        <f>SUMIFS('Ventas'!$L:$L,'Ventas'!$A:$A,$A70)</f>
      </c>
    </row>
    <row r="71">
      <c r="A71" s="14">
        <f>TODAY()-25</f>
      </c>
      <c r="B71" s="11">
        <f>SUMIFS('Ventas'!$H:$H,'Ventas'!$A:$A,$A71)-SUMIFS('Ventas'!$H:$H,'Ventas'!$A:$A,$A71,'Ventas'!$O:$O,"Mercado Libre")</f>
      </c>
      <c r="C71" s="11">
        <f>SUMIFS('Ventas'!$L:$L,'Ventas'!$A:$A,$A71)</f>
      </c>
    </row>
    <row r="72">
      <c r="A72" s="14">
        <f>TODAY()-26</f>
      </c>
      <c r="B72" s="11">
        <f>SUMIFS('Ventas'!$H:$H,'Ventas'!$A:$A,$A72)-SUMIFS('Ventas'!$H:$H,'Ventas'!$A:$A,$A72,'Ventas'!$O:$O,"Mercado Libre")</f>
      </c>
      <c r="C72" s="11">
        <f>SUMIFS('Ventas'!$L:$L,'Ventas'!$A:$A,$A72)</f>
      </c>
    </row>
    <row r="73">
      <c r="A73" s="14">
        <f>TODAY()-27</f>
      </c>
      <c r="B73" s="11">
        <f>SUMIFS('Ventas'!$H:$H,'Ventas'!$A:$A,$A73)-SUMIFS('Ventas'!$H:$H,'Ventas'!$A:$A,$A73,'Ventas'!$O:$O,"Mercado Libre")</f>
      </c>
      <c r="C73" s="11">
        <f>SUMIFS('Ventas'!$L:$L,'Ventas'!$A:$A,$A73)</f>
      </c>
    </row>
    <row r="74">
      <c r="A74" s="14">
        <f>TODAY()-28</f>
      </c>
      <c r="B74" s="11">
        <f>SUMIFS('Ventas'!$H:$H,'Ventas'!$A:$A,$A74)-SUMIFS('Ventas'!$H:$H,'Ventas'!$A:$A,$A74,'Ventas'!$O:$O,"Mercado Libre")</f>
      </c>
      <c r="C74" s="11">
        <f>SUMIFS('Ventas'!$L:$L,'Ventas'!$A:$A,$A74)</f>
      </c>
    </row>
    <row r="75">
      <c r="A75" s="14">
        <f>TODAY()-29</f>
      </c>
      <c r="B75" s="11">
        <f>SUMIFS('Ventas'!$H:$H,'Ventas'!$A:$A,$A75)-SUMIFS('Ventas'!$H:$H,'Ventas'!$A:$A,$A75,'Ventas'!$O:$O,"Mercado Libre")</f>
      </c>
      <c r="C75" s="11">
        <f>SUMIFS('Ventas'!$L:$L,'Ventas'!$A:$A,$A75)</f>
      </c>
    </row>
  </sheetData>
  <mergeCells count="7">
    <mergeCell ref="A1:C1"/>
    <mergeCell ref="A5:C5"/>
    <mergeCell ref="A17:C17"/>
    <mergeCell ref="A20:C20"/>
    <mergeCell ref="A28:C28"/>
    <mergeCell ref="A35:C35"/>
    <mergeCell ref="A44:C44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2.00" customWidth="1"/>
    <col min="2" max="2" width="18.00" customWidth="1"/>
    <col min="3" max="3" width="18.00" customWidth="1"/>
    <col min="4" max="4" width="46.00" customWidth="1"/>
  </cols>
  <sheetData>
    <row r="1" ht="36.00" customHeight="1">
      <c r="A1" s="2" t="inlineStr">
        <is>
          <t xml:space="preserve">SALDOS POR BILLETERA (en tiempo real)</t>
        </is>
      </c>
    </row>
    <row r="2">
      <c r="A2" s="1" t="inlineStr">
        <is>
          <t xml:space="preserve">Billetera</t>
        </is>
      </c>
      <c r="B2" s="1" t="inlineStr">
        <is>
          <t xml:space="preserve">Saldo Inicial</t>
        </is>
      </c>
      <c r="C2" s="1" t="inlineStr">
        <is>
          <t xml:space="preserve">Saldo Actual</t>
        </is>
      </c>
      <c r="D2" s="1" t="inlineStr">
        <is>
          <t xml:space="preserve">Nota</t>
        </is>
      </c>
    </row>
    <row r="3">
      <c r="A3" s="7" t="inlineStr">
        <is>
          <t xml:space="preserve">Efectivo</t>
        </is>
      </c>
      <c r="B3" s="22"/>
      <c r="C3" s="35">
        <f>$B3+SUMIF('Ventas'!$O:$O,$A3,'Ventas'!$H:$H)+SUMIF('Abonos Préstamos'!$D:$D,$A3,'Abonos Préstamos'!$C:$C)+SUMIF('Movimientos'!$D:$D,$A3,'Movimientos'!$E:$E)-SUMIF('Movimientos'!$C:$C,$A3,'Movimientos'!$E:$E)-SUMIF('Préstamos'!$K:$K,$A3,'Préstamos'!$E:$E)-SUMIF('Pagos Tarjeta'!$D:$D,$A3,'Pagos Tarjeta'!$C:$C)-SUMIFS('Compras'!$F:$F,'Compras'!$H:$H,"No",'Compras'!$G:$G,$A3)</f>
      </c>
      <c r="D3" s="37" t="inlineStr">
        <is>
          <t xml:space="preserve"/>
        </is>
      </c>
    </row>
    <row r="4">
      <c r="A4" s="7" t="inlineStr">
        <is>
          <t xml:space="preserve">Nequi</t>
        </is>
      </c>
      <c r="B4" s="22"/>
      <c r="C4" s="35">
        <f>$B4+SUMIF('Ventas'!$O:$O,$A4,'Ventas'!$H:$H)+SUMIF('Abonos Préstamos'!$D:$D,$A4,'Abonos Préstamos'!$C:$C)+SUMIF('Movimientos'!$D:$D,$A4,'Movimientos'!$E:$E)-SUMIF('Movimientos'!$C:$C,$A4,'Movimientos'!$E:$E)-SUMIF('Préstamos'!$K:$K,$A4,'Préstamos'!$E:$E)-SUMIF('Pagos Tarjeta'!$D:$D,$A4,'Pagos Tarjeta'!$C:$C)-SUMIFS('Compras'!$F:$F,'Compras'!$H:$H,"No",'Compras'!$G:$G,$A4)</f>
      </c>
      <c r="D4" s="37" t="inlineStr">
        <is>
          <t xml:space="preserve"/>
        </is>
      </c>
    </row>
    <row r="5">
      <c r="A5" s="7" t="inlineStr">
        <is>
          <t xml:space="preserve">Bancolombia</t>
        </is>
      </c>
      <c r="B5" s="22"/>
      <c r="C5" s="35">
        <f>$B5+SUMIF('Ventas'!$O:$O,$A5,'Ventas'!$H:$H)+SUMIF('Abonos Préstamos'!$D:$D,$A5,'Abonos Préstamos'!$C:$C)+SUMIF('Movimientos'!$D:$D,$A5,'Movimientos'!$E:$E)-SUMIF('Movimientos'!$C:$C,$A5,'Movimientos'!$E:$E)-SUMIF('Préstamos'!$K:$K,$A5,'Préstamos'!$E:$E)-SUMIF('Pagos Tarjeta'!$D:$D,$A5,'Pagos Tarjeta'!$C:$C)-SUMIFS('Compras'!$F:$F,'Compras'!$H:$H,"No",'Compras'!$G:$G,$A5)</f>
      </c>
      <c r="D5" s="37" t="inlineStr">
        <is>
          <t xml:space="preserve"/>
        </is>
      </c>
    </row>
    <row r="6">
      <c r="A6" s="7" t="inlineStr">
        <is>
          <t xml:space="preserve">Bancolombia MM</t>
        </is>
      </c>
      <c r="B6" s="22"/>
      <c r="C6" s="35">
        <f>$B6+SUMIF('Ventas'!$O:$O,$A6,'Ventas'!$H:$H)+SUMIF('Abonos Préstamos'!$D:$D,$A6,'Abonos Préstamos'!$C:$C)+SUMIF('Movimientos'!$D:$D,$A6,'Movimientos'!$E:$E)-SUMIF('Movimientos'!$C:$C,$A6,'Movimientos'!$E:$E)-SUMIF('Préstamos'!$K:$K,$A6,'Préstamos'!$E:$E)-SUMIF('Pagos Tarjeta'!$D:$D,$A6,'Pagos Tarjeta'!$C:$C)-SUMIFS('Compras'!$F:$F,'Compras'!$H:$H,"No",'Compras'!$G:$G,$A6)</f>
      </c>
      <c r="D6" s="37" t="inlineStr">
        <is>
          <t xml:space="preserve"/>
        </is>
      </c>
    </row>
    <row r="7">
      <c r="A7" s="7" t="inlineStr">
        <is>
          <t xml:space="preserve">Daviplata</t>
        </is>
      </c>
      <c r="B7" s="22"/>
      <c r="C7" s="35">
        <f>$B7+SUMIF('Ventas'!$O:$O,$A7,'Ventas'!$H:$H)+SUMIF('Abonos Préstamos'!$D:$D,$A7,'Abonos Préstamos'!$C:$C)+SUMIF('Movimientos'!$D:$D,$A7,'Movimientos'!$E:$E)-SUMIF('Movimientos'!$C:$C,$A7,'Movimientos'!$E:$E)-SUMIF('Préstamos'!$K:$K,$A7,'Préstamos'!$E:$E)-SUMIF('Pagos Tarjeta'!$D:$D,$A7,'Pagos Tarjeta'!$C:$C)-SUMIFS('Compras'!$F:$F,'Compras'!$H:$H,"No",'Compras'!$G:$G,$A7)</f>
      </c>
      <c r="D7" s="37" t="inlineStr">
        <is>
          <t xml:space="preserve"/>
        </is>
      </c>
    </row>
    <row r="8">
      <c r="A8" s="7" t="inlineStr">
        <is>
          <t xml:space="preserve">Davivienda</t>
        </is>
      </c>
      <c r="B8" s="22"/>
      <c r="C8" s="35">
        <f>$B8+SUMIF('Ventas'!$O:$O,$A8,'Ventas'!$H:$H)+SUMIF('Abonos Préstamos'!$D:$D,$A8,'Abonos Préstamos'!$C:$C)+SUMIF('Movimientos'!$D:$D,$A8,'Movimientos'!$E:$E)-SUMIF('Movimientos'!$C:$C,$A8,'Movimientos'!$E:$E)-SUMIF('Préstamos'!$K:$K,$A8,'Préstamos'!$E:$E)-SUMIF('Pagos Tarjeta'!$D:$D,$A8,'Pagos Tarjeta'!$C:$C)-SUMIFS('Compras'!$F:$F,'Compras'!$H:$H,"No",'Compras'!$G:$G,$A8)</f>
      </c>
      <c r="D8" s="37" t="inlineStr">
        <is>
          <t xml:space="preserve"/>
        </is>
      </c>
    </row>
    <row r="9">
      <c r="A9" s="7" t="inlineStr">
        <is>
          <t xml:space="preserve">Mercado Libre</t>
        </is>
      </c>
      <c r="B9" s="22"/>
      <c r="C9" s="35">
        <f>$B9+SUMIF('Ventas'!$O:$O,$A9,'Ventas'!$H:$H)+SUMIF('Abonos Préstamos'!$D:$D,$A9,'Abonos Préstamos'!$C:$C)+SUMIF('Movimientos'!$D:$D,$A9,'Movimientos'!$E:$E)-SUMIF('Movimientos'!$C:$C,$A9,'Movimientos'!$E:$E)-SUMIF('Préstamos'!$K:$K,$A9,'Préstamos'!$E:$E)-SUMIF('Pagos Tarjeta'!$D:$D,$A9,'Pagos Tarjeta'!$C:$C)-SUMIFS('Compras'!$F:$F,'Compras'!$H:$H,"No",'Compras'!$G:$G,$A9)</f>
      </c>
      <c r="D9" s="37" t="inlineStr">
        <is>
          <t xml:space="preserve">Por cobrar — retíralo a una billetera (hoja Movimientos)</t>
        </is>
      </c>
    </row>
    <row r="10">
      <c r="A10" s="7" t="inlineStr">
        <is>
          <t xml:space="preserve">Skydrops</t>
        </is>
      </c>
      <c r="B10" s="22"/>
      <c r="C10" s="35">
        <f>$B10+SUMIF('Ventas'!$O:$O,$A10,'Ventas'!$H:$H)+SUMIF('Abonos Préstamos'!$D:$D,$A10,'Abonos Préstamos'!$C:$C)+SUMIF('Movimientos'!$D:$D,$A10,'Movimientos'!$E:$E)-SUMIF('Movimientos'!$C:$C,$A10,'Movimientos'!$E:$E)-SUMIF('Préstamos'!$K:$K,$A10,'Préstamos'!$E:$E)-SUMIF('Pagos Tarjeta'!$D:$D,$A10,'Pagos Tarjeta'!$C:$C)-SUMIFS('Compras'!$F:$F,'Compras'!$H:$H,"No",'Compras'!$G:$G,$A10)</f>
      </c>
      <c r="D10" s="37" t="inlineStr">
        <is>
          <t xml:space="preserve">Por cobrar — retíralo a una billetera (hoja Movimientos)</t>
        </is>
      </c>
    </row>
    <row r="11">
      <c r="A11" s="34" t="inlineStr">
        <is>
          <t xml:space="preserve">TOTAL en billeteras</t>
        </is>
      </c>
      <c r="C11" s="35">
        <f>SUM($C$3:$C$10)</f>
      </c>
    </row>
    <row r="13">
      <c r="A13" s="37" t="inlineStr">
        <is>
          <t xml:space="preserve">Escribe el Saldo Inicial UNA vez (lo que tienes hoy). De ahí en adelante el Saldo Actual se mueve solo: ventas, abonos, transferencias, préstamos, pagos de tarjeta y compras de contado.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8.00" customWidth="1"/>
    <col min="2" max="2" width="18.00" customWidth="1"/>
    <col min="3" max="3" width="16.00" customWidth="1"/>
    <col min="4" max="4" width="16.00" customWidth="1"/>
  </cols>
  <sheetData>
    <row r="1" ht="36.00" customHeight="1">
      <c r="A1" s="2" t="inlineStr">
        <is>
          <t xml:space="preserve">DEUDA POR TARJETA DE CRÉDITO</t>
        </is>
      </c>
    </row>
    <row r="2">
      <c r="A2" s="1" t="inlineStr">
        <is>
          <t xml:space="preserve">Tarjeta</t>
        </is>
      </c>
      <c r="B2" s="1" t="inlineStr">
        <is>
          <t xml:space="preserve">Comprado a crédito</t>
        </is>
      </c>
      <c r="C2" s="1" t="inlineStr">
        <is>
          <t xml:space="preserve">Pagado</t>
        </is>
      </c>
      <c r="D2" s="1" t="inlineStr">
        <is>
          <t xml:space="preserve">Saldo (debes)</t>
        </is>
      </c>
    </row>
    <row r="3">
      <c r="A3" s="7" t="inlineStr">
        <is>
          <t xml:space="preserve">TC Bancolombia 1 (1517)</t>
        </is>
      </c>
      <c r="B3" s="11">
        <f>SUMIFS('Compras'!$F:$F,'Compras'!$H:$H,"Sí",'Compras'!$G:$G,$A3)</f>
      </c>
      <c r="C3" s="11">
        <f>SUMIF('Pagos Tarjeta'!$B:$B,$A3,'Pagos Tarjeta'!$C:$C)</f>
      </c>
      <c r="D3" s="35">
        <f>MAX($B3-$C3,0)</f>
      </c>
    </row>
    <row r="4">
      <c r="A4" s="7" t="inlineStr">
        <is>
          <t xml:space="preserve">TC Bancolombia 2 (0554)</t>
        </is>
      </c>
      <c r="B4" s="11">
        <f>SUMIFS('Compras'!$F:$F,'Compras'!$H:$H,"Sí",'Compras'!$G:$G,$A4)</f>
      </c>
      <c r="C4" s="11">
        <f>SUMIF('Pagos Tarjeta'!$B:$B,$A4,'Pagos Tarjeta'!$C:$C)</f>
      </c>
      <c r="D4" s="35">
        <f>MAX($B4-$C4,0)</f>
      </c>
    </row>
    <row r="5">
      <c r="A5" s="7" t="inlineStr">
        <is>
          <t xml:space="preserve">TC Bancolombia 3 (4582)</t>
        </is>
      </c>
      <c r="B5" s="11">
        <f>SUMIFS('Compras'!$F:$F,'Compras'!$H:$H,"Sí",'Compras'!$G:$G,$A5)</f>
      </c>
      <c r="C5" s="11">
        <f>SUMIF('Pagos Tarjeta'!$B:$B,$A5,'Pagos Tarjeta'!$C:$C)</f>
      </c>
      <c r="D5" s="35">
        <f>MAX($B5-$C5,0)</f>
      </c>
    </row>
    <row r="6">
      <c r="A6" s="7" t="inlineStr">
        <is>
          <t xml:space="preserve">TC Bancolombia 4 (8366)</t>
        </is>
      </c>
      <c r="B6" s="11">
        <f>SUMIFS('Compras'!$F:$F,'Compras'!$H:$H,"Sí",'Compras'!$G:$G,$A6)</f>
      </c>
      <c r="C6" s="11">
        <f>SUMIF('Pagos Tarjeta'!$B:$B,$A6,'Pagos Tarjeta'!$C:$C)</f>
      </c>
      <c r="D6" s="35">
        <f>MAX($B6-$C6,0)</f>
      </c>
    </row>
    <row r="7">
      <c r="A7" s="7" t="inlineStr">
        <is>
          <t xml:space="preserve">TC Bancolombia 5 (0623)</t>
        </is>
      </c>
      <c r="B7" s="11">
        <f>SUMIFS('Compras'!$F:$F,'Compras'!$H:$H,"Sí",'Compras'!$G:$G,$A7)</f>
      </c>
      <c r="C7" s="11">
        <f>SUMIF('Pagos Tarjeta'!$B:$B,$A7,'Pagos Tarjeta'!$C:$C)</f>
      </c>
      <c r="D7" s="35">
        <f>MAX($B7-$C7,0)</f>
      </c>
    </row>
    <row r="8">
      <c r="A8" s="7" t="inlineStr">
        <is>
          <t xml:space="preserve">TC Bancolombia MM 6 (6423)</t>
        </is>
      </c>
      <c r="B8" s="11">
        <f>SUMIFS('Compras'!$F:$F,'Compras'!$H:$H,"Sí",'Compras'!$G:$G,$A8)</f>
      </c>
      <c r="C8" s="11">
        <f>SUMIF('Pagos Tarjeta'!$B:$B,$A8,'Pagos Tarjeta'!$C:$C)</f>
      </c>
      <c r="D8" s="35">
        <f>MAX($B8-$C8,0)</f>
      </c>
    </row>
    <row r="9">
      <c r="A9" s="7" t="inlineStr">
        <is>
          <t xml:space="preserve">TC Bancolombia MM 7 (2459)</t>
        </is>
      </c>
      <c r="B9" s="11">
        <f>SUMIFS('Compras'!$F:$F,'Compras'!$H:$H,"Sí",'Compras'!$G:$G,$A9)</f>
      </c>
      <c r="C9" s="11">
        <f>SUMIF('Pagos Tarjeta'!$B:$B,$A9,'Pagos Tarjeta'!$C:$C)</f>
      </c>
      <c r="D9" s="35">
        <f>MAX($B9-$C9,0)</f>
      </c>
    </row>
    <row r="10">
      <c r="A10" s="7" t="inlineStr">
        <is>
          <t xml:space="preserve">TC NU 8 (3750)</t>
        </is>
      </c>
      <c r="B10" s="11">
        <f>SUMIFS('Compras'!$F:$F,'Compras'!$H:$H,"Sí",'Compras'!$G:$G,$A10)</f>
      </c>
      <c r="C10" s="11">
        <f>SUMIF('Pagos Tarjeta'!$B:$B,$A10,'Pagos Tarjeta'!$C:$C)</f>
      </c>
      <c r="D10" s="35">
        <f>MAX($B10-$C10,0)</f>
      </c>
    </row>
    <row r="11">
      <c r="A11" s="34" t="inlineStr">
        <is>
          <t xml:space="preserve">TOTAL QUE DEBO EN TARJETAS</t>
        </is>
      </c>
      <c r="D11" s="35">
        <f>SUM($D$3:$D$10)</f>
      </c>
    </row>
    <row r="13">
      <c r="A13" s="37" t="inlineStr">
        <is>
          <t xml:space="preserve">Las compras a crédito (hoja Compras) suman; los abonos (hoja Pagos Tarjeta) restan.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8.00" customWidth="1"/>
    <col min="3" max="3" width="18.00" customWidth="1"/>
    <col min="4" max="4" width="18.00" customWidth="1"/>
    <col min="5" max="5" width="15.00" customWidth="1"/>
    <col min="6" max="6" width="34.00" customWidth="1"/>
  </cols>
  <sheetData>
    <row r="1">
      <c r="A1" s="1" t="inlineStr">
        <is>
          <t xml:space="preserve">Fecha</t>
        </is>
      </c>
      <c r="B1" s="1" t="inlineStr">
        <is>
          <t xml:space="preserve">Tipo</t>
        </is>
      </c>
      <c r="C1" s="1" t="inlineStr">
        <is>
          <t xml:space="preserve">Billetera Origen</t>
        </is>
      </c>
      <c r="D1" s="1" t="inlineStr">
        <is>
          <t xml:space="preserve">Billetera Destino</t>
        </is>
      </c>
      <c r="E1" s="1" t="inlineStr">
        <is>
          <t xml:space="preserve">Valor</t>
        </is>
      </c>
      <c r="F1" s="1" t="inlineStr">
        <is>
          <t xml:space="preserve">Nota</t>
        </is>
      </c>
      <c r="H1" s="37" t="inlineStr">
        <is>
          <t xml:space="preserve">Origen = de dónde sale la plata · Destino = a dónde llega. Para un gasto, deja el Destino vacío.</t>
        </is>
      </c>
    </row>
    <row r="2">
      <c r="A2" s="23">
        <v>46181</v>
      </c>
      <c r="B2" s="20" t="inlineStr">
        <is>
          <t xml:space="preserve">Retiro plataforma</t>
        </is>
      </c>
      <c r="C2" s="20" t="inlineStr">
        <is>
          <t xml:space="preserve">Mercado Libre</t>
        </is>
      </c>
      <c r="D2" s="20" t="inlineStr">
        <is>
          <t xml:space="preserve">Bancolombia</t>
        </is>
      </c>
      <c r="E2" s="22">
        <v>45000</v>
      </c>
      <c r="F2" s="20" t="inlineStr">
        <is>
          <t xml:space="preserve">Retiro de MELI a Bancolombia</t>
        </is>
      </c>
    </row>
    <row r="3">
      <c r="A3" s="23">
        <v>46182</v>
      </c>
      <c r="B3" s="20" t="inlineStr">
        <is>
          <t xml:space="preserve">Transferencia</t>
        </is>
      </c>
      <c r="C3" s="20" t="inlineStr">
        <is>
          <t xml:space="preserve">Bancolombia</t>
        </is>
      </c>
      <c r="D3" s="20" t="inlineStr">
        <is>
          <t xml:space="preserve">Nequi</t>
        </is>
      </c>
      <c r="E3" s="22">
        <v>100000</v>
      </c>
      <c r="F3" s="20" t="inlineStr">
        <is>
          <t xml:space="preserve">Paso plata para pagar</t>
        </is>
      </c>
    </row>
    <row r="4">
      <c r="A4" s="23">
        <v>46182</v>
      </c>
      <c r="B4" s="20" t="inlineStr">
        <is>
          <t xml:space="preserve">Gasto</t>
        </is>
      </c>
      <c r="C4" s="20" t="inlineStr">
        <is>
          <t xml:space="preserve">Efectivo</t>
        </is>
      </c>
      <c r="D4" s="20"/>
      <c r="E4" s="22">
        <v>15000</v>
      </c>
      <c r="F4" s="20" t="inlineStr">
        <is>
          <t xml:space="preserve">Almuerzo / varios</t>
        </is>
      </c>
    </row>
    <row r="5">
      <c r="A5" s="23"/>
      <c r="B5" s="20"/>
      <c r="C5" s="20"/>
      <c r="D5" s="20"/>
      <c r="E5" s="22"/>
      <c r="F5" s="20"/>
    </row>
    <row r="6">
      <c r="A6" s="23"/>
      <c r="B6" s="20"/>
      <c r="C6" s="20"/>
      <c r="D6" s="20"/>
      <c r="E6" s="22"/>
      <c r="F6" s="20"/>
    </row>
    <row r="7">
      <c r="A7" s="23"/>
      <c r="B7" s="20"/>
      <c r="C7" s="20"/>
      <c r="D7" s="20"/>
      <c r="E7" s="22"/>
      <c r="F7" s="20"/>
    </row>
    <row r="8">
      <c r="A8" s="23"/>
      <c r="B8" s="20"/>
      <c r="C8" s="20"/>
      <c r="D8" s="20"/>
      <c r="E8" s="22"/>
      <c r="F8" s="20"/>
    </row>
    <row r="9">
      <c r="A9" s="23"/>
      <c r="B9" s="20"/>
      <c r="C9" s="20"/>
      <c r="D9" s="20"/>
      <c r="E9" s="22"/>
      <c r="F9" s="20"/>
    </row>
    <row r="10">
      <c r="A10" s="23"/>
      <c r="B10" s="20"/>
      <c r="C10" s="20"/>
      <c r="D10" s="20"/>
      <c r="E10" s="22"/>
      <c r="F10" s="20"/>
    </row>
    <row r="11">
      <c r="A11" s="23"/>
      <c r="B11" s="20"/>
      <c r="C11" s="20"/>
      <c r="D11" s="20"/>
      <c r="E11" s="22"/>
      <c r="F11" s="20"/>
    </row>
    <row r="12">
      <c r="A12" s="23"/>
      <c r="B12" s="20"/>
      <c r="C12" s="20"/>
      <c r="D12" s="20"/>
      <c r="E12" s="22"/>
      <c r="F12" s="20"/>
    </row>
    <row r="13">
      <c r="A13" s="23"/>
      <c r="B13" s="20"/>
      <c r="C13" s="20"/>
      <c r="D13" s="20"/>
      <c r="E13" s="22"/>
      <c r="F13" s="20"/>
    </row>
    <row r="14">
      <c r="A14" s="23"/>
      <c r="B14" s="20"/>
      <c r="C14" s="20"/>
      <c r="D14" s="20"/>
      <c r="E14" s="22"/>
      <c r="F14" s="20"/>
    </row>
    <row r="15">
      <c r="A15" s="23"/>
      <c r="B15" s="20"/>
      <c r="C15" s="20"/>
      <c r="D15" s="20"/>
      <c r="E15" s="22"/>
      <c r="F15" s="20"/>
    </row>
    <row r="16">
      <c r="A16" s="23"/>
      <c r="B16" s="20"/>
      <c r="C16" s="20"/>
      <c r="D16" s="20"/>
      <c r="E16" s="22"/>
      <c r="F16" s="20"/>
    </row>
    <row r="17">
      <c r="A17" s="23"/>
      <c r="B17" s="20"/>
      <c r="C17" s="20"/>
      <c r="D17" s="20"/>
      <c r="E17" s="22"/>
      <c r="F17" s="20"/>
    </row>
    <row r="18">
      <c r="A18" s="23"/>
      <c r="B18" s="20"/>
      <c r="C18" s="20"/>
      <c r="D18" s="20"/>
      <c r="E18" s="22"/>
      <c r="F18" s="20"/>
    </row>
    <row r="19">
      <c r="A19" s="23"/>
      <c r="B19" s="20"/>
      <c r="C19" s="20"/>
      <c r="D19" s="20"/>
      <c r="E19" s="22"/>
      <c r="F19" s="20"/>
    </row>
    <row r="20">
      <c r="A20" s="23"/>
      <c r="B20" s="20"/>
      <c r="C20" s="20"/>
      <c r="D20" s="20"/>
      <c r="E20" s="22"/>
      <c r="F20" s="20"/>
    </row>
    <row r="21">
      <c r="A21" s="23"/>
      <c r="B21" s="20"/>
      <c r="C21" s="20"/>
      <c r="D21" s="20"/>
      <c r="E21" s="22"/>
      <c r="F21" s="20"/>
    </row>
    <row r="22">
      <c r="A22" s="23"/>
      <c r="B22" s="20"/>
      <c r="C22" s="20"/>
      <c r="D22" s="20"/>
      <c r="E22" s="22"/>
      <c r="F22" s="20"/>
    </row>
    <row r="23">
      <c r="A23" s="23"/>
      <c r="B23" s="20"/>
      <c r="C23" s="20"/>
      <c r="D23" s="20"/>
      <c r="E23" s="22"/>
      <c r="F23" s="20"/>
    </row>
    <row r="24">
      <c r="A24" s="23"/>
      <c r="B24" s="20"/>
      <c r="C24" s="20"/>
      <c r="D24" s="20"/>
      <c r="E24" s="22"/>
      <c r="F24" s="20"/>
    </row>
    <row r="25">
      <c r="A25" s="23"/>
      <c r="B25" s="20"/>
      <c r="C25" s="20"/>
      <c r="D25" s="20"/>
      <c r="E25" s="22"/>
      <c r="F25" s="20"/>
    </row>
    <row r="26">
      <c r="A26" s="23"/>
      <c r="B26" s="20"/>
      <c r="C26" s="20"/>
      <c r="D26" s="20"/>
      <c r="E26" s="22"/>
      <c r="F26" s="20"/>
    </row>
    <row r="27">
      <c r="A27" s="23"/>
      <c r="B27" s="20"/>
      <c r="C27" s="20"/>
      <c r="D27" s="20"/>
      <c r="E27" s="22"/>
      <c r="F27" s="20"/>
    </row>
    <row r="28">
      <c r="A28" s="23"/>
      <c r="B28" s="20"/>
      <c r="C28" s="20"/>
      <c r="D28" s="20"/>
      <c r="E28" s="22"/>
      <c r="F28" s="20"/>
    </row>
    <row r="29">
      <c r="A29" s="23"/>
      <c r="B29" s="20"/>
      <c r="C29" s="20"/>
      <c r="D29" s="20"/>
      <c r="E29" s="22"/>
      <c r="F29" s="20"/>
    </row>
    <row r="30">
      <c r="A30" s="23"/>
      <c r="B30" s="20"/>
      <c r="C30" s="20"/>
      <c r="D30" s="20"/>
      <c r="E30" s="22"/>
      <c r="F30" s="20"/>
    </row>
    <row r="31">
      <c r="A31" s="23"/>
      <c r="B31" s="20"/>
      <c r="C31" s="20"/>
      <c r="D31" s="20"/>
      <c r="E31" s="22"/>
      <c r="F31" s="20"/>
    </row>
    <row r="32">
      <c r="A32" s="23"/>
      <c r="B32" s="20"/>
      <c r="C32" s="20"/>
      <c r="D32" s="20"/>
      <c r="E32" s="22"/>
      <c r="F32" s="20"/>
    </row>
    <row r="33">
      <c r="A33" s="23"/>
      <c r="B33" s="20"/>
      <c r="C33" s="20"/>
      <c r="D33" s="20"/>
      <c r="E33" s="22"/>
      <c r="F33" s="20"/>
    </row>
    <row r="34">
      <c r="A34" s="23"/>
      <c r="B34" s="20"/>
      <c r="C34" s="20"/>
      <c r="D34" s="20"/>
      <c r="E34" s="22"/>
      <c r="F34" s="20"/>
    </row>
    <row r="35">
      <c r="A35" s="23"/>
      <c r="B35" s="20"/>
      <c r="C35" s="20"/>
      <c r="D35" s="20"/>
      <c r="E35" s="22"/>
      <c r="F35" s="20"/>
    </row>
    <row r="36">
      <c r="A36" s="23"/>
      <c r="B36" s="20"/>
      <c r="C36" s="20"/>
      <c r="D36" s="20"/>
      <c r="E36" s="22"/>
      <c r="F36" s="20"/>
    </row>
    <row r="37">
      <c r="A37" s="23"/>
      <c r="B37" s="20"/>
      <c r="C37" s="20"/>
      <c r="D37" s="20"/>
      <c r="E37" s="22"/>
      <c r="F37" s="20"/>
    </row>
    <row r="38">
      <c r="A38" s="23"/>
      <c r="B38" s="20"/>
      <c r="C38" s="20"/>
      <c r="D38" s="20"/>
      <c r="E38" s="22"/>
      <c r="F38" s="20"/>
    </row>
    <row r="39">
      <c r="A39" s="23"/>
      <c r="B39" s="20"/>
      <c r="C39" s="20"/>
      <c r="D39" s="20"/>
      <c r="E39" s="22"/>
      <c r="F39" s="20"/>
    </row>
    <row r="40">
      <c r="A40" s="23"/>
      <c r="B40" s="20"/>
      <c r="C40" s="20"/>
      <c r="D40" s="20"/>
      <c r="E40" s="22"/>
      <c r="F40" s="20"/>
    </row>
    <row r="41">
      <c r="A41" s="23"/>
      <c r="B41" s="20"/>
      <c r="C41" s="20"/>
      <c r="D41" s="20"/>
      <c r="E41" s="22"/>
      <c r="F41" s="20"/>
    </row>
    <row r="42">
      <c r="A42" s="23"/>
      <c r="B42" s="20"/>
      <c r="C42" s="20"/>
      <c r="D42" s="20"/>
      <c r="E42" s="22"/>
      <c r="F42" s="20"/>
    </row>
    <row r="43">
      <c r="A43" s="23"/>
      <c r="B43" s="20"/>
      <c r="C43" s="20"/>
      <c r="D43" s="20"/>
      <c r="E43" s="22"/>
      <c r="F43" s="20"/>
    </row>
    <row r="44">
      <c r="A44" s="23"/>
      <c r="B44" s="20"/>
      <c r="C44" s="20"/>
      <c r="D44" s="20"/>
      <c r="E44" s="22"/>
      <c r="F44" s="20"/>
    </row>
    <row r="45">
      <c r="A45" s="23"/>
      <c r="B45" s="20"/>
      <c r="C45" s="20"/>
      <c r="D45" s="20"/>
      <c r="E45" s="22"/>
      <c r="F45" s="20"/>
    </row>
    <row r="46">
      <c r="A46" s="23"/>
      <c r="B46" s="20"/>
      <c r="C46" s="20"/>
      <c r="D46" s="20"/>
      <c r="E46" s="22"/>
      <c r="F46" s="20"/>
    </row>
    <row r="47">
      <c r="A47" s="23"/>
      <c r="B47" s="20"/>
      <c r="C47" s="20"/>
      <c r="D47" s="20"/>
      <c r="E47" s="22"/>
      <c r="F47" s="20"/>
    </row>
    <row r="48">
      <c r="A48" s="23"/>
      <c r="B48" s="20"/>
      <c r="C48" s="20"/>
      <c r="D48" s="20"/>
      <c r="E48" s="22"/>
      <c r="F48" s="20"/>
    </row>
    <row r="49">
      <c r="A49" s="23"/>
      <c r="B49" s="20"/>
      <c r="C49" s="20"/>
      <c r="D49" s="20"/>
      <c r="E49" s="22"/>
      <c r="F49" s="20"/>
    </row>
    <row r="50">
      <c r="A50" s="23"/>
      <c r="B50" s="20"/>
      <c r="C50" s="20"/>
      <c r="D50" s="20"/>
      <c r="E50" s="22"/>
      <c r="F50" s="20"/>
    </row>
    <row r="51">
      <c r="A51" s="23"/>
      <c r="B51" s="20"/>
      <c r="C51" s="20"/>
      <c r="D51" s="20"/>
      <c r="E51" s="22"/>
      <c r="F51" s="20"/>
    </row>
    <row r="52">
      <c r="A52" s="23"/>
      <c r="B52" s="20"/>
      <c r="C52" s="20"/>
      <c r="D52" s="20"/>
      <c r="E52" s="22"/>
      <c r="F52" s="20"/>
    </row>
    <row r="53">
      <c r="A53" s="23"/>
      <c r="B53" s="20"/>
      <c r="C53" s="20"/>
      <c r="D53" s="20"/>
      <c r="E53" s="22"/>
      <c r="F53" s="20"/>
    </row>
    <row r="54">
      <c r="A54" s="23"/>
      <c r="B54" s="20"/>
      <c r="C54" s="20"/>
      <c r="D54" s="20"/>
      <c r="E54" s="22"/>
      <c r="F54" s="20"/>
    </row>
    <row r="55">
      <c r="A55" s="23"/>
      <c r="B55" s="20"/>
      <c r="C55" s="20"/>
      <c r="D55" s="20"/>
      <c r="E55" s="22"/>
      <c r="F55" s="20"/>
    </row>
    <row r="56">
      <c r="A56" s="23"/>
      <c r="B56" s="20"/>
      <c r="C56" s="20"/>
      <c r="D56" s="20"/>
      <c r="E56" s="22"/>
      <c r="F56" s="20"/>
    </row>
    <row r="57">
      <c r="A57" s="23"/>
      <c r="B57" s="20"/>
      <c r="C57" s="20"/>
      <c r="D57" s="20"/>
      <c r="E57" s="22"/>
      <c r="F57" s="20"/>
    </row>
    <row r="58">
      <c r="A58" s="23"/>
      <c r="B58" s="20"/>
      <c r="C58" s="20"/>
      <c r="D58" s="20"/>
      <c r="E58" s="22"/>
      <c r="F58" s="20"/>
    </row>
    <row r="59">
      <c r="A59" s="23"/>
      <c r="B59" s="20"/>
      <c r="C59" s="20"/>
      <c r="D59" s="20"/>
      <c r="E59" s="22"/>
      <c r="F59" s="20"/>
    </row>
    <row r="60">
      <c r="A60" s="23"/>
      <c r="B60" s="20"/>
      <c r="C60" s="20"/>
      <c r="D60" s="20"/>
      <c r="E60" s="22"/>
      <c r="F60" s="20"/>
    </row>
    <row r="61">
      <c r="A61" s="23"/>
      <c r="B61" s="20"/>
      <c r="C61" s="20"/>
      <c r="D61" s="20"/>
      <c r="E61" s="22"/>
      <c r="F61" s="20"/>
    </row>
    <row r="62">
      <c r="A62" s="23"/>
      <c r="B62" s="20"/>
      <c r="C62" s="20"/>
      <c r="D62" s="20"/>
      <c r="E62" s="22"/>
      <c r="F62" s="20"/>
    </row>
    <row r="63">
      <c r="A63" s="23"/>
      <c r="B63" s="20"/>
      <c r="C63" s="20"/>
      <c r="D63" s="20"/>
      <c r="E63" s="22"/>
      <c r="F63" s="20"/>
    </row>
    <row r="64">
      <c r="A64" s="23"/>
      <c r="B64" s="20"/>
      <c r="C64" s="20"/>
      <c r="D64" s="20"/>
      <c r="E64" s="22"/>
      <c r="F64" s="20"/>
    </row>
    <row r="65">
      <c r="A65" s="23"/>
      <c r="B65" s="20"/>
      <c r="C65" s="20"/>
      <c r="D65" s="20"/>
      <c r="E65" s="22"/>
      <c r="F65" s="20"/>
    </row>
    <row r="66">
      <c r="A66" s="23"/>
      <c r="B66" s="20"/>
      <c r="C66" s="20"/>
      <c r="D66" s="20"/>
      <c r="E66" s="22"/>
      <c r="F66" s="20"/>
    </row>
    <row r="67">
      <c r="A67" s="23"/>
      <c r="B67" s="20"/>
      <c r="C67" s="20"/>
      <c r="D67" s="20"/>
      <c r="E67" s="22"/>
      <c r="F67" s="20"/>
    </row>
    <row r="68">
      <c r="A68" s="23"/>
      <c r="B68" s="20"/>
      <c r="C68" s="20"/>
      <c r="D68" s="20"/>
      <c r="E68" s="22"/>
      <c r="F68" s="20"/>
    </row>
    <row r="69">
      <c r="A69" s="23"/>
      <c r="B69" s="20"/>
      <c r="C69" s="20"/>
      <c r="D69" s="20"/>
      <c r="E69" s="22"/>
      <c r="F69" s="20"/>
    </row>
    <row r="70">
      <c r="A70" s="23"/>
      <c r="B70" s="20"/>
      <c r="C70" s="20"/>
      <c r="D70" s="20"/>
      <c r="E70" s="22"/>
      <c r="F70" s="20"/>
    </row>
    <row r="71">
      <c r="A71" s="23"/>
      <c r="B71" s="20"/>
      <c r="C71" s="20"/>
      <c r="D71" s="20"/>
      <c r="E71" s="22"/>
      <c r="F71" s="20"/>
    </row>
    <row r="72">
      <c r="A72" s="23"/>
      <c r="B72" s="20"/>
      <c r="C72" s="20"/>
      <c r="D72" s="20"/>
      <c r="E72" s="22"/>
      <c r="F72" s="20"/>
    </row>
    <row r="73">
      <c r="A73" s="23"/>
      <c r="B73" s="20"/>
      <c r="C73" s="20"/>
      <c r="D73" s="20"/>
      <c r="E73" s="22"/>
      <c r="F73" s="20"/>
    </row>
    <row r="74">
      <c r="A74" s="23"/>
      <c r="B74" s="20"/>
      <c r="C74" s="20"/>
      <c r="D74" s="20"/>
      <c r="E74" s="22"/>
      <c r="F74" s="20"/>
    </row>
    <row r="75">
      <c r="A75" s="23"/>
      <c r="B75" s="20"/>
      <c r="C75" s="20"/>
      <c r="D75" s="20"/>
      <c r="E75" s="22"/>
      <c r="F75" s="20"/>
    </row>
    <row r="76">
      <c r="A76" s="23"/>
      <c r="B76" s="20"/>
      <c r="C76" s="20"/>
      <c r="D76" s="20"/>
      <c r="E76" s="22"/>
      <c r="F76" s="20"/>
    </row>
    <row r="77">
      <c r="A77" s="23"/>
      <c r="B77" s="20"/>
      <c r="C77" s="20"/>
      <c r="D77" s="20"/>
      <c r="E77" s="22"/>
      <c r="F77" s="20"/>
    </row>
    <row r="78">
      <c r="A78" s="23"/>
      <c r="B78" s="20"/>
      <c r="C78" s="20"/>
      <c r="D78" s="20"/>
      <c r="E78" s="22"/>
      <c r="F78" s="20"/>
    </row>
    <row r="79">
      <c r="A79" s="23"/>
      <c r="B79" s="20"/>
      <c r="C79" s="20"/>
      <c r="D79" s="20"/>
      <c r="E79" s="22"/>
      <c r="F79" s="20"/>
    </row>
    <row r="80">
      <c r="A80" s="23"/>
      <c r="B80" s="20"/>
      <c r="C80" s="20"/>
      <c r="D80" s="20"/>
      <c r="E80" s="22"/>
      <c r="F80" s="20"/>
    </row>
    <row r="81">
      <c r="A81" s="23"/>
      <c r="B81" s="20"/>
      <c r="C81" s="20"/>
      <c r="D81" s="20"/>
      <c r="E81" s="22"/>
      <c r="F81" s="20"/>
    </row>
    <row r="82">
      <c r="A82" s="23"/>
      <c r="B82" s="20"/>
      <c r="C82" s="20"/>
      <c r="D82" s="20"/>
      <c r="E82" s="22"/>
      <c r="F82" s="20"/>
    </row>
    <row r="83">
      <c r="A83" s="23"/>
      <c r="B83" s="20"/>
      <c r="C83" s="20"/>
      <c r="D83" s="20"/>
      <c r="E83" s="22"/>
      <c r="F83" s="20"/>
    </row>
    <row r="84">
      <c r="A84" s="23"/>
      <c r="B84" s="20"/>
      <c r="C84" s="20"/>
      <c r="D84" s="20"/>
      <c r="E84" s="22"/>
      <c r="F84" s="20"/>
    </row>
    <row r="85">
      <c r="A85" s="23"/>
      <c r="B85" s="20"/>
      <c r="C85" s="20"/>
      <c r="D85" s="20"/>
      <c r="E85" s="22"/>
      <c r="F85" s="20"/>
    </row>
    <row r="86">
      <c r="A86" s="23"/>
      <c r="B86" s="20"/>
      <c r="C86" s="20"/>
      <c r="D86" s="20"/>
      <c r="E86" s="22"/>
      <c r="F86" s="20"/>
    </row>
    <row r="87">
      <c r="A87" s="23"/>
      <c r="B87" s="20"/>
      <c r="C87" s="20"/>
      <c r="D87" s="20"/>
      <c r="E87" s="22"/>
      <c r="F87" s="20"/>
    </row>
    <row r="88">
      <c r="A88" s="23"/>
      <c r="B88" s="20"/>
      <c r="C88" s="20"/>
      <c r="D88" s="20"/>
      <c r="E88" s="22"/>
      <c r="F88" s="20"/>
    </row>
    <row r="89">
      <c r="A89" s="23"/>
      <c r="B89" s="20"/>
      <c r="C89" s="20"/>
      <c r="D89" s="20"/>
      <c r="E89" s="22"/>
      <c r="F89" s="20"/>
    </row>
    <row r="90">
      <c r="A90" s="23"/>
      <c r="B90" s="20"/>
      <c r="C90" s="20"/>
      <c r="D90" s="20"/>
      <c r="E90" s="22"/>
      <c r="F90" s="20"/>
    </row>
    <row r="91">
      <c r="A91" s="23"/>
      <c r="B91" s="20"/>
      <c r="C91" s="20"/>
      <c r="D91" s="20"/>
      <c r="E91" s="22"/>
      <c r="F91" s="20"/>
    </row>
    <row r="92">
      <c r="A92" s="23"/>
      <c r="B92" s="20"/>
      <c r="C92" s="20"/>
      <c r="D92" s="20"/>
      <c r="E92" s="22"/>
      <c r="F92" s="20"/>
    </row>
    <row r="93">
      <c r="A93" s="23"/>
      <c r="B93" s="20"/>
      <c r="C93" s="20"/>
      <c r="D93" s="20"/>
      <c r="E93" s="22"/>
      <c r="F93" s="20"/>
    </row>
    <row r="94">
      <c r="A94" s="23"/>
      <c r="B94" s="20"/>
      <c r="C94" s="20"/>
      <c r="D94" s="20"/>
      <c r="E94" s="22"/>
      <c r="F94" s="20"/>
    </row>
    <row r="95">
      <c r="A95" s="23"/>
      <c r="B95" s="20"/>
      <c r="C95" s="20"/>
      <c r="D95" s="20"/>
      <c r="E95" s="22"/>
      <c r="F95" s="20"/>
    </row>
    <row r="96">
      <c r="A96" s="23"/>
      <c r="B96" s="20"/>
      <c r="C96" s="20"/>
      <c r="D96" s="20"/>
      <c r="E96" s="22"/>
      <c r="F96" s="20"/>
    </row>
    <row r="97">
      <c r="A97" s="23"/>
      <c r="B97" s="20"/>
      <c r="C97" s="20"/>
      <c r="D97" s="20"/>
      <c r="E97" s="22"/>
      <c r="F97" s="20"/>
    </row>
    <row r="98">
      <c r="A98" s="23"/>
      <c r="B98" s="20"/>
      <c r="C98" s="20"/>
      <c r="D98" s="20"/>
      <c r="E98" s="22"/>
      <c r="F98" s="20"/>
    </row>
    <row r="99">
      <c r="A99" s="23"/>
      <c r="B99" s="20"/>
      <c r="C99" s="20"/>
      <c r="D99" s="20"/>
      <c r="E99" s="22"/>
      <c r="F99" s="20"/>
    </row>
    <row r="100">
      <c r="A100" s="23"/>
      <c r="B100" s="20"/>
      <c r="C100" s="20"/>
      <c r="D100" s="20"/>
      <c r="E100" s="22"/>
      <c r="F100" s="20"/>
    </row>
    <row r="101">
      <c r="A101" s="23"/>
      <c r="B101" s="20"/>
      <c r="C101" s="20"/>
      <c r="D101" s="20"/>
      <c r="E101" s="22"/>
      <c r="F101" s="20"/>
    </row>
    <row r="102">
      <c r="A102" s="23"/>
      <c r="B102" s="20"/>
      <c r="C102" s="20"/>
      <c r="D102" s="20"/>
      <c r="E102" s="22"/>
      <c r="F102" s="20"/>
    </row>
    <row r="103">
      <c r="A103" s="23"/>
      <c r="B103" s="20"/>
      <c r="C103" s="20"/>
      <c r="D103" s="20"/>
      <c r="E103" s="22"/>
      <c r="F103" s="20"/>
    </row>
    <row r="104">
      <c r="A104" s="23"/>
      <c r="B104" s="20"/>
      <c r="C104" s="20"/>
      <c r="D104" s="20"/>
      <c r="E104" s="22"/>
      <c r="F104" s="20"/>
    </row>
    <row r="105">
      <c r="A105" s="23"/>
      <c r="B105" s="20"/>
      <c r="C105" s="20"/>
      <c r="D105" s="20"/>
      <c r="E105" s="22"/>
      <c r="F105" s="20"/>
    </row>
    <row r="106">
      <c r="A106" s="23"/>
      <c r="B106" s="20"/>
      <c r="C106" s="20"/>
      <c r="D106" s="20"/>
      <c r="E106" s="22"/>
      <c r="F106" s="20"/>
    </row>
    <row r="107">
      <c r="A107" s="23"/>
      <c r="B107" s="20"/>
      <c r="C107" s="20"/>
      <c r="D107" s="20"/>
      <c r="E107" s="22"/>
      <c r="F107" s="20"/>
    </row>
    <row r="108">
      <c r="A108" s="23"/>
      <c r="B108" s="20"/>
      <c r="C108" s="20"/>
      <c r="D108" s="20"/>
      <c r="E108" s="22"/>
      <c r="F108" s="20"/>
    </row>
    <row r="109">
      <c r="A109" s="23"/>
      <c r="B109" s="20"/>
      <c r="C109" s="20"/>
      <c r="D109" s="20"/>
      <c r="E109" s="22"/>
      <c r="F109" s="20"/>
    </row>
    <row r="110">
      <c r="A110" s="23"/>
      <c r="B110" s="20"/>
      <c r="C110" s="20"/>
      <c r="D110" s="20"/>
      <c r="E110" s="22"/>
      <c r="F110" s="20"/>
    </row>
    <row r="111">
      <c r="A111" s="23"/>
      <c r="B111" s="20"/>
      <c r="C111" s="20"/>
      <c r="D111" s="20"/>
      <c r="E111" s="22"/>
      <c r="F111" s="20"/>
    </row>
    <row r="112">
      <c r="A112" s="23"/>
      <c r="B112" s="20"/>
      <c r="C112" s="20"/>
      <c r="D112" s="20"/>
      <c r="E112" s="22"/>
      <c r="F112" s="20"/>
    </row>
    <row r="113">
      <c r="A113" s="23"/>
      <c r="B113" s="20"/>
      <c r="C113" s="20"/>
      <c r="D113" s="20"/>
      <c r="E113" s="22"/>
      <c r="F113" s="20"/>
    </row>
    <row r="114">
      <c r="A114" s="23"/>
      <c r="B114" s="20"/>
      <c r="C114" s="20"/>
      <c r="D114" s="20"/>
      <c r="E114" s="22"/>
      <c r="F114" s="20"/>
    </row>
    <row r="115">
      <c r="A115" s="23"/>
      <c r="B115" s="20"/>
      <c r="C115" s="20"/>
      <c r="D115" s="20"/>
      <c r="E115" s="22"/>
      <c r="F115" s="20"/>
    </row>
    <row r="116">
      <c r="A116" s="23"/>
      <c r="B116" s="20"/>
      <c r="C116" s="20"/>
      <c r="D116" s="20"/>
      <c r="E116" s="22"/>
      <c r="F116" s="20"/>
    </row>
    <row r="117">
      <c r="A117" s="23"/>
      <c r="B117" s="20"/>
      <c r="C117" s="20"/>
      <c r="D117" s="20"/>
      <c r="E117" s="22"/>
      <c r="F117" s="20"/>
    </row>
    <row r="118">
      <c r="A118" s="23"/>
      <c r="B118" s="20"/>
      <c r="C118" s="20"/>
      <c r="D118" s="20"/>
      <c r="E118" s="22"/>
      <c r="F118" s="20"/>
    </row>
    <row r="119">
      <c r="A119" s="23"/>
      <c r="B119" s="20"/>
      <c r="C119" s="20"/>
      <c r="D119" s="20"/>
      <c r="E119" s="22"/>
      <c r="F119" s="20"/>
    </row>
    <row r="120">
      <c r="A120" s="23"/>
      <c r="B120" s="20"/>
      <c r="C120" s="20"/>
      <c r="D120" s="20"/>
      <c r="E120" s="22"/>
      <c r="F120" s="20"/>
    </row>
    <row r="121">
      <c r="A121" s="23"/>
      <c r="B121" s="20"/>
      <c r="C121" s="20"/>
      <c r="D121" s="20"/>
      <c r="E121" s="22"/>
      <c r="F121" s="20"/>
    </row>
    <row r="122">
      <c r="A122" s="23"/>
      <c r="B122" s="20"/>
      <c r="C122" s="20"/>
      <c r="D122" s="20"/>
      <c r="E122" s="22"/>
      <c r="F122" s="20"/>
    </row>
    <row r="123">
      <c r="A123" s="23"/>
      <c r="B123" s="20"/>
      <c r="C123" s="20"/>
      <c r="D123" s="20"/>
      <c r="E123" s="22"/>
      <c r="F123" s="20"/>
    </row>
    <row r="124">
      <c r="A124" s="23"/>
      <c r="B124" s="20"/>
      <c r="C124" s="20"/>
      <c r="D124" s="20"/>
      <c r="E124" s="22"/>
      <c r="F124" s="20"/>
    </row>
    <row r="125">
      <c r="A125" s="23"/>
      <c r="B125" s="20"/>
      <c r="C125" s="20"/>
      <c r="D125" s="20"/>
      <c r="E125" s="22"/>
      <c r="F125" s="20"/>
    </row>
    <row r="126">
      <c r="A126" s="23"/>
      <c r="B126" s="20"/>
      <c r="C126" s="20"/>
      <c r="D126" s="20"/>
      <c r="E126" s="22"/>
      <c r="F126" s="20"/>
    </row>
    <row r="127">
      <c r="A127" s="23"/>
      <c r="B127" s="20"/>
      <c r="C127" s="20"/>
      <c r="D127" s="20"/>
      <c r="E127" s="22"/>
      <c r="F127" s="20"/>
    </row>
    <row r="128">
      <c r="A128" s="23"/>
      <c r="B128" s="20"/>
      <c r="C128" s="20"/>
      <c r="D128" s="20"/>
      <c r="E128" s="22"/>
      <c r="F128" s="20"/>
    </row>
    <row r="129">
      <c r="A129" s="23"/>
      <c r="B129" s="20"/>
      <c r="C129" s="20"/>
      <c r="D129" s="20"/>
      <c r="E129" s="22"/>
      <c r="F129" s="20"/>
    </row>
    <row r="130">
      <c r="A130" s="23"/>
      <c r="B130" s="20"/>
      <c r="C130" s="20"/>
      <c r="D130" s="20"/>
      <c r="E130" s="22"/>
      <c r="F130" s="20"/>
    </row>
    <row r="131">
      <c r="A131" s="23"/>
      <c r="B131" s="20"/>
      <c r="C131" s="20"/>
      <c r="D131" s="20"/>
      <c r="E131" s="22"/>
      <c r="F131" s="20"/>
    </row>
    <row r="132">
      <c r="A132" s="23"/>
      <c r="B132" s="20"/>
      <c r="C132" s="20"/>
      <c r="D132" s="20"/>
      <c r="E132" s="22"/>
      <c r="F132" s="20"/>
    </row>
    <row r="133">
      <c r="A133" s="23"/>
      <c r="B133" s="20"/>
      <c r="C133" s="20"/>
      <c r="D133" s="20"/>
      <c r="E133" s="22"/>
      <c r="F133" s="20"/>
    </row>
    <row r="134">
      <c r="A134" s="23"/>
      <c r="B134" s="20"/>
      <c r="C134" s="20"/>
      <c r="D134" s="20"/>
      <c r="E134" s="22"/>
      <c r="F134" s="20"/>
    </row>
    <row r="135">
      <c r="A135" s="23"/>
      <c r="B135" s="20"/>
      <c r="C135" s="20"/>
      <c r="D135" s="20"/>
      <c r="E135" s="22"/>
      <c r="F135" s="20"/>
    </row>
    <row r="136">
      <c r="A136" s="23"/>
      <c r="B136" s="20"/>
      <c r="C136" s="20"/>
      <c r="D136" s="20"/>
      <c r="E136" s="22"/>
      <c r="F136" s="20"/>
    </row>
    <row r="137">
      <c r="A137" s="23"/>
      <c r="B137" s="20"/>
      <c r="C137" s="20"/>
      <c r="D137" s="20"/>
      <c r="E137" s="22"/>
      <c r="F137" s="20"/>
    </row>
    <row r="138">
      <c r="A138" s="23"/>
      <c r="B138" s="20"/>
      <c r="C138" s="20"/>
      <c r="D138" s="20"/>
      <c r="E138" s="22"/>
      <c r="F138" s="20"/>
    </row>
    <row r="139">
      <c r="A139" s="23"/>
      <c r="B139" s="20"/>
      <c r="C139" s="20"/>
      <c r="D139" s="20"/>
      <c r="E139" s="22"/>
      <c r="F139" s="20"/>
    </row>
    <row r="140">
      <c r="A140" s="23"/>
      <c r="B140" s="20"/>
      <c r="C140" s="20"/>
      <c r="D140" s="20"/>
      <c r="E140" s="22"/>
      <c r="F140" s="20"/>
    </row>
    <row r="141">
      <c r="A141" s="23"/>
      <c r="B141" s="20"/>
      <c r="C141" s="20"/>
      <c r="D141" s="20"/>
      <c r="E141" s="22"/>
      <c r="F141" s="20"/>
    </row>
    <row r="142">
      <c r="A142" s="23"/>
      <c r="B142" s="20"/>
      <c r="C142" s="20"/>
      <c r="D142" s="20"/>
      <c r="E142" s="22"/>
      <c r="F142" s="20"/>
    </row>
    <row r="143">
      <c r="A143" s="23"/>
      <c r="B143" s="20"/>
      <c r="C143" s="20"/>
      <c r="D143" s="20"/>
      <c r="E143" s="22"/>
      <c r="F143" s="20"/>
    </row>
    <row r="144">
      <c r="A144" s="23"/>
      <c r="B144" s="20"/>
      <c r="C144" s="20"/>
      <c r="D144" s="20"/>
      <c r="E144" s="22"/>
      <c r="F144" s="20"/>
    </row>
    <row r="145">
      <c r="A145" s="23"/>
      <c r="B145" s="20"/>
      <c r="C145" s="20"/>
      <c r="D145" s="20"/>
      <c r="E145" s="22"/>
      <c r="F145" s="20"/>
    </row>
    <row r="146">
      <c r="A146" s="23"/>
      <c r="B146" s="20"/>
      <c r="C146" s="20"/>
      <c r="D146" s="20"/>
      <c r="E146" s="22"/>
      <c r="F146" s="20"/>
    </row>
    <row r="147">
      <c r="A147" s="23"/>
      <c r="B147" s="20"/>
      <c r="C147" s="20"/>
      <c r="D147" s="20"/>
      <c r="E147" s="22"/>
      <c r="F147" s="20"/>
    </row>
    <row r="148">
      <c r="A148" s="23"/>
      <c r="B148" s="20"/>
      <c r="C148" s="20"/>
      <c r="D148" s="20"/>
      <c r="E148" s="22"/>
      <c r="F148" s="20"/>
    </row>
    <row r="149">
      <c r="A149" s="23"/>
      <c r="B149" s="20"/>
      <c r="C149" s="20"/>
      <c r="D149" s="20"/>
      <c r="E149" s="22"/>
      <c r="F149" s="20"/>
    </row>
    <row r="150">
      <c r="A150" s="23"/>
      <c r="B150" s="20"/>
      <c r="C150" s="20"/>
      <c r="D150" s="20"/>
      <c r="E150" s="22"/>
      <c r="F150" s="20"/>
    </row>
    <row r="151">
      <c r="A151" s="23"/>
      <c r="B151" s="20"/>
      <c r="C151" s="20"/>
      <c r="D151" s="20"/>
      <c r="E151" s="22"/>
      <c r="F151" s="20"/>
    </row>
    <row r="152">
      <c r="A152" s="23"/>
      <c r="B152" s="20"/>
      <c r="C152" s="20"/>
      <c r="D152" s="20"/>
      <c r="E152" s="22"/>
      <c r="F152" s="20"/>
    </row>
    <row r="153">
      <c r="A153" s="23"/>
      <c r="B153" s="20"/>
      <c r="C153" s="20"/>
      <c r="D153" s="20"/>
      <c r="E153" s="22"/>
      <c r="F153" s="20"/>
    </row>
    <row r="154">
      <c r="A154" s="23"/>
      <c r="B154" s="20"/>
      <c r="C154" s="20"/>
      <c r="D154" s="20"/>
      <c r="E154" s="22"/>
      <c r="F154" s="20"/>
    </row>
    <row r="155">
      <c r="A155" s="23"/>
      <c r="B155" s="20"/>
      <c r="C155" s="20"/>
      <c r="D155" s="20"/>
      <c r="E155" s="22"/>
      <c r="F155" s="20"/>
    </row>
    <row r="156">
      <c r="A156" s="23"/>
      <c r="B156" s="20"/>
      <c r="C156" s="20"/>
      <c r="D156" s="20"/>
      <c r="E156" s="22"/>
      <c r="F156" s="20"/>
    </row>
    <row r="157">
      <c r="A157" s="23"/>
      <c r="B157" s="20"/>
      <c r="C157" s="20"/>
      <c r="D157" s="20"/>
      <c r="E157" s="22"/>
      <c r="F157" s="20"/>
    </row>
    <row r="158">
      <c r="A158" s="23"/>
      <c r="B158" s="20"/>
      <c r="C158" s="20"/>
      <c r="D158" s="20"/>
      <c r="E158" s="22"/>
      <c r="F158" s="20"/>
    </row>
    <row r="159">
      <c r="A159" s="23"/>
      <c r="B159" s="20"/>
      <c r="C159" s="20"/>
      <c r="D159" s="20"/>
      <c r="E159" s="22"/>
      <c r="F159" s="20"/>
    </row>
    <row r="160">
      <c r="A160" s="23"/>
      <c r="B160" s="20"/>
      <c r="C160" s="20"/>
      <c r="D160" s="20"/>
      <c r="E160" s="22"/>
      <c r="F160" s="20"/>
    </row>
    <row r="161">
      <c r="A161" s="23"/>
      <c r="B161" s="20"/>
      <c r="C161" s="20"/>
      <c r="D161" s="20"/>
      <c r="E161" s="22"/>
      <c r="F161" s="20"/>
    </row>
    <row r="162">
      <c r="A162" s="23"/>
      <c r="B162" s="20"/>
      <c r="C162" s="20"/>
      <c r="D162" s="20"/>
      <c r="E162" s="22"/>
      <c r="F162" s="20"/>
    </row>
    <row r="163">
      <c r="A163" s="23"/>
      <c r="B163" s="20"/>
      <c r="C163" s="20"/>
      <c r="D163" s="20"/>
      <c r="E163" s="22"/>
      <c r="F163" s="20"/>
    </row>
    <row r="164">
      <c r="A164" s="23"/>
      <c r="B164" s="20"/>
      <c r="C164" s="20"/>
      <c r="D164" s="20"/>
      <c r="E164" s="22"/>
      <c r="F164" s="20"/>
    </row>
    <row r="165">
      <c r="A165" s="23"/>
      <c r="B165" s="20"/>
      <c r="C165" s="20"/>
      <c r="D165" s="20"/>
      <c r="E165" s="22"/>
      <c r="F165" s="20"/>
    </row>
    <row r="166">
      <c r="A166" s="23"/>
      <c r="B166" s="20"/>
      <c r="C166" s="20"/>
      <c r="D166" s="20"/>
      <c r="E166" s="22"/>
      <c r="F166" s="20"/>
    </row>
    <row r="167">
      <c r="A167" s="23"/>
      <c r="B167" s="20"/>
      <c r="C167" s="20"/>
      <c r="D167" s="20"/>
      <c r="E167" s="22"/>
      <c r="F167" s="20"/>
    </row>
    <row r="168">
      <c r="A168" s="23"/>
      <c r="B168" s="20"/>
      <c r="C168" s="20"/>
      <c r="D168" s="20"/>
      <c r="E168" s="22"/>
      <c r="F168" s="20"/>
    </row>
    <row r="169">
      <c r="A169" s="23"/>
      <c r="B169" s="20"/>
      <c r="C169" s="20"/>
      <c r="D169" s="20"/>
      <c r="E169" s="22"/>
      <c r="F169" s="20"/>
    </row>
    <row r="170">
      <c r="A170" s="23"/>
      <c r="B170" s="20"/>
      <c r="C170" s="20"/>
      <c r="D170" s="20"/>
      <c r="E170" s="22"/>
      <c r="F170" s="20"/>
    </row>
    <row r="171">
      <c r="A171" s="23"/>
      <c r="B171" s="20"/>
      <c r="C171" s="20"/>
      <c r="D171" s="20"/>
      <c r="E171" s="22"/>
      <c r="F171" s="20"/>
    </row>
    <row r="172">
      <c r="A172" s="23"/>
      <c r="B172" s="20"/>
      <c r="C172" s="20"/>
      <c r="D172" s="20"/>
      <c r="E172" s="22"/>
      <c r="F172" s="20"/>
    </row>
    <row r="173">
      <c r="A173" s="23"/>
      <c r="B173" s="20"/>
      <c r="C173" s="20"/>
      <c r="D173" s="20"/>
      <c r="E173" s="22"/>
      <c r="F173" s="20"/>
    </row>
    <row r="174">
      <c r="A174" s="23"/>
      <c r="B174" s="20"/>
      <c r="C174" s="20"/>
      <c r="D174" s="20"/>
      <c r="E174" s="22"/>
      <c r="F174" s="20"/>
    </row>
    <row r="175">
      <c r="A175" s="23"/>
      <c r="B175" s="20"/>
      <c r="C175" s="20"/>
      <c r="D175" s="20"/>
      <c r="E175" s="22"/>
      <c r="F175" s="20"/>
    </row>
    <row r="176">
      <c r="A176" s="23"/>
      <c r="B176" s="20"/>
      <c r="C176" s="20"/>
      <c r="D176" s="20"/>
      <c r="E176" s="22"/>
      <c r="F176" s="20"/>
    </row>
    <row r="177">
      <c r="A177" s="23"/>
      <c r="B177" s="20"/>
      <c r="C177" s="20"/>
      <c r="D177" s="20"/>
      <c r="E177" s="22"/>
      <c r="F177" s="20"/>
    </row>
    <row r="178">
      <c r="A178" s="23"/>
      <c r="B178" s="20"/>
      <c r="C178" s="20"/>
      <c r="D178" s="20"/>
      <c r="E178" s="22"/>
      <c r="F178" s="20"/>
    </row>
    <row r="179">
      <c r="A179" s="23"/>
      <c r="B179" s="20"/>
      <c r="C179" s="20"/>
      <c r="D179" s="20"/>
      <c r="E179" s="22"/>
      <c r="F179" s="20"/>
    </row>
    <row r="180">
      <c r="A180" s="23"/>
      <c r="B180" s="20"/>
      <c r="C180" s="20"/>
      <c r="D180" s="20"/>
      <c r="E180" s="22"/>
      <c r="F180" s="20"/>
    </row>
    <row r="181">
      <c r="A181" s="23"/>
      <c r="B181" s="20"/>
      <c r="C181" s="20"/>
      <c r="D181" s="20"/>
      <c r="E181" s="22"/>
      <c r="F181" s="20"/>
    </row>
    <row r="182">
      <c r="A182" s="23"/>
      <c r="B182" s="20"/>
      <c r="C182" s="20"/>
      <c r="D182" s="20"/>
      <c r="E182" s="22"/>
      <c r="F182" s="20"/>
    </row>
    <row r="183">
      <c r="A183" s="23"/>
      <c r="B183" s="20"/>
      <c r="C183" s="20"/>
      <c r="D183" s="20"/>
      <c r="E183" s="22"/>
      <c r="F183" s="20"/>
    </row>
    <row r="184">
      <c r="A184" s="23"/>
      <c r="B184" s="20"/>
      <c r="C184" s="20"/>
      <c r="D184" s="20"/>
      <c r="E184" s="22"/>
      <c r="F184" s="20"/>
    </row>
    <row r="185">
      <c r="A185" s="23"/>
      <c r="B185" s="20"/>
      <c r="C185" s="20"/>
      <c r="D185" s="20"/>
      <c r="E185" s="22"/>
      <c r="F185" s="20"/>
    </row>
    <row r="186">
      <c r="A186" s="23"/>
      <c r="B186" s="20"/>
      <c r="C186" s="20"/>
      <c r="D186" s="20"/>
      <c r="E186" s="22"/>
      <c r="F186" s="20"/>
    </row>
    <row r="187">
      <c r="A187" s="23"/>
      <c r="B187" s="20"/>
      <c r="C187" s="20"/>
      <c r="D187" s="20"/>
      <c r="E187" s="22"/>
      <c r="F187" s="20"/>
    </row>
    <row r="188">
      <c r="A188" s="23"/>
      <c r="B188" s="20"/>
      <c r="C188" s="20"/>
      <c r="D188" s="20"/>
      <c r="E188" s="22"/>
      <c r="F188" s="20"/>
    </row>
    <row r="189">
      <c r="A189" s="23"/>
      <c r="B189" s="20"/>
      <c r="C189" s="20"/>
      <c r="D189" s="20"/>
      <c r="E189" s="22"/>
      <c r="F189" s="20"/>
    </row>
    <row r="190">
      <c r="A190" s="23"/>
      <c r="B190" s="20"/>
      <c r="C190" s="20"/>
      <c r="D190" s="20"/>
      <c r="E190" s="22"/>
      <c r="F190" s="20"/>
    </row>
    <row r="191">
      <c r="A191" s="23"/>
      <c r="B191" s="20"/>
      <c r="C191" s="20"/>
      <c r="D191" s="20"/>
      <c r="E191" s="22"/>
      <c r="F191" s="20"/>
    </row>
    <row r="192">
      <c r="A192" s="23"/>
      <c r="B192" s="20"/>
      <c r="C192" s="20"/>
      <c r="D192" s="20"/>
      <c r="E192" s="22"/>
      <c r="F192" s="20"/>
    </row>
    <row r="193">
      <c r="A193" s="23"/>
      <c r="B193" s="20"/>
      <c r="C193" s="20"/>
      <c r="D193" s="20"/>
      <c r="E193" s="22"/>
      <c r="F193" s="20"/>
    </row>
    <row r="194">
      <c r="A194" s="23"/>
      <c r="B194" s="20"/>
      <c r="C194" s="20"/>
      <c r="D194" s="20"/>
      <c r="E194" s="22"/>
      <c r="F194" s="20"/>
    </row>
    <row r="195">
      <c r="A195" s="23"/>
      <c r="B195" s="20"/>
      <c r="C195" s="20"/>
      <c r="D195" s="20"/>
      <c r="E195" s="22"/>
      <c r="F195" s="20"/>
    </row>
    <row r="196">
      <c r="A196" s="23"/>
      <c r="B196" s="20"/>
      <c r="C196" s="20"/>
      <c r="D196" s="20"/>
      <c r="E196" s="22"/>
      <c r="F196" s="20"/>
    </row>
    <row r="197">
      <c r="A197" s="23"/>
      <c r="B197" s="20"/>
      <c r="C197" s="20"/>
      <c r="D197" s="20"/>
      <c r="E197" s="22"/>
      <c r="F197" s="20"/>
    </row>
    <row r="198">
      <c r="A198" s="23"/>
      <c r="B198" s="20"/>
      <c r="C198" s="20"/>
      <c r="D198" s="20"/>
      <c r="E198" s="22"/>
      <c r="F198" s="20"/>
    </row>
    <row r="199">
      <c r="A199" s="23"/>
      <c r="B199" s="20"/>
      <c r="C199" s="20"/>
      <c r="D199" s="20"/>
      <c r="E199" s="22"/>
      <c r="F199" s="20"/>
    </row>
    <row r="200">
      <c r="A200" s="23"/>
      <c r="B200" s="20"/>
      <c r="C200" s="20"/>
      <c r="D200" s="20"/>
      <c r="E200" s="22"/>
      <c r="F200" s="20"/>
    </row>
    <row r="201">
      <c r="A201" s="23"/>
      <c r="B201" s="20"/>
      <c r="C201" s="20"/>
      <c r="D201" s="20"/>
      <c r="E201" s="22"/>
      <c r="F201" s="20"/>
    </row>
    <row r="202">
      <c r="A202" s="23"/>
      <c r="B202" s="20"/>
      <c r="C202" s="20"/>
      <c r="D202" s="20"/>
      <c r="E202" s="22"/>
      <c r="F202" s="20"/>
    </row>
    <row r="203">
      <c r="A203" s="23"/>
      <c r="B203" s="20"/>
      <c r="C203" s="20"/>
      <c r="D203" s="20"/>
      <c r="E203" s="22"/>
      <c r="F203" s="20"/>
    </row>
    <row r="204">
      <c r="A204" s="23"/>
      <c r="B204" s="20"/>
      <c r="C204" s="20"/>
      <c r="D204" s="20"/>
      <c r="E204" s="22"/>
      <c r="F204" s="20"/>
    </row>
    <row r="205">
      <c r="A205" s="23"/>
      <c r="B205" s="20"/>
      <c r="C205" s="20"/>
      <c r="D205" s="20"/>
      <c r="E205" s="22"/>
      <c r="F205" s="20"/>
    </row>
    <row r="206">
      <c r="A206" s="23"/>
      <c r="B206" s="20"/>
      <c r="C206" s="20"/>
      <c r="D206" s="20"/>
      <c r="E206" s="22"/>
      <c r="F206" s="20"/>
    </row>
    <row r="207">
      <c r="A207" s="23"/>
      <c r="B207" s="20"/>
      <c r="C207" s="20"/>
      <c r="D207" s="20"/>
      <c r="E207" s="22"/>
      <c r="F207" s="20"/>
    </row>
    <row r="208">
      <c r="A208" s="23"/>
      <c r="B208" s="20"/>
      <c r="C208" s="20"/>
      <c r="D208" s="20"/>
      <c r="E208" s="22"/>
      <c r="F208" s="20"/>
    </row>
    <row r="209">
      <c r="A209" s="23"/>
      <c r="B209" s="20"/>
      <c r="C209" s="20"/>
      <c r="D209" s="20"/>
      <c r="E209" s="22"/>
      <c r="F209" s="20"/>
    </row>
    <row r="210">
      <c r="A210" s="23"/>
      <c r="B210" s="20"/>
      <c r="C210" s="20"/>
      <c r="D210" s="20"/>
      <c r="E210" s="22"/>
      <c r="F210" s="20"/>
    </row>
    <row r="211">
      <c r="A211" s="23"/>
      <c r="B211" s="20"/>
      <c r="C211" s="20"/>
      <c r="D211" s="20"/>
      <c r="E211" s="22"/>
      <c r="F211" s="20"/>
    </row>
    <row r="212">
      <c r="A212" s="23"/>
      <c r="B212" s="20"/>
      <c r="C212" s="20"/>
      <c r="D212" s="20"/>
      <c r="E212" s="22"/>
      <c r="F212" s="20"/>
    </row>
    <row r="213">
      <c r="A213" s="23"/>
      <c r="B213" s="20"/>
      <c r="C213" s="20"/>
      <c r="D213" s="20"/>
      <c r="E213" s="22"/>
      <c r="F213" s="20"/>
    </row>
    <row r="214">
      <c r="A214" s="23"/>
      <c r="B214" s="20"/>
      <c r="C214" s="20"/>
      <c r="D214" s="20"/>
      <c r="E214" s="22"/>
      <c r="F214" s="20"/>
    </row>
    <row r="215">
      <c r="A215" s="23"/>
      <c r="B215" s="20"/>
      <c r="C215" s="20"/>
      <c r="D215" s="20"/>
      <c r="E215" s="22"/>
      <c r="F215" s="20"/>
    </row>
    <row r="216">
      <c r="A216" s="23"/>
      <c r="B216" s="20"/>
      <c r="C216" s="20"/>
      <c r="D216" s="20"/>
      <c r="E216" s="22"/>
      <c r="F216" s="20"/>
    </row>
    <row r="217">
      <c r="A217" s="23"/>
      <c r="B217" s="20"/>
      <c r="C217" s="20"/>
      <c r="D217" s="20"/>
      <c r="E217" s="22"/>
      <c r="F217" s="20"/>
    </row>
    <row r="218">
      <c r="A218" s="23"/>
      <c r="B218" s="20"/>
      <c r="C218" s="20"/>
      <c r="D218" s="20"/>
      <c r="E218" s="22"/>
      <c r="F218" s="20"/>
    </row>
    <row r="219">
      <c r="A219" s="23"/>
      <c r="B219" s="20"/>
      <c r="C219" s="20"/>
      <c r="D219" s="20"/>
      <c r="E219" s="22"/>
      <c r="F219" s="20"/>
    </row>
    <row r="220">
      <c r="A220" s="23"/>
      <c r="B220" s="20"/>
      <c r="C220" s="20"/>
      <c r="D220" s="20"/>
      <c r="E220" s="22"/>
      <c r="F220" s="20"/>
    </row>
    <row r="221">
      <c r="A221" s="23"/>
      <c r="B221" s="20"/>
      <c r="C221" s="20"/>
      <c r="D221" s="20"/>
      <c r="E221" s="22"/>
      <c r="F221" s="20"/>
    </row>
    <row r="222">
      <c r="A222" s="23"/>
      <c r="B222" s="20"/>
      <c r="C222" s="20"/>
      <c r="D222" s="20"/>
      <c r="E222" s="22"/>
      <c r="F222" s="20"/>
    </row>
    <row r="223">
      <c r="A223" s="23"/>
      <c r="B223" s="20"/>
      <c r="C223" s="20"/>
      <c r="D223" s="20"/>
      <c r="E223" s="22"/>
      <c r="F223" s="20"/>
    </row>
    <row r="224">
      <c r="A224" s="23"/>
      <c r="B224" s="20"/>
      <c r="C224" s="20"/>
      <c r="D224" s="20"/>
      <c r="E224" s="22"/>
      <c r="F224" s="20"/>
    </row>
    <row r="225">
      <c r="A225" s="23"/>
      <c r="B225" s="20"/>
      <c r="C225" s="20"/>
      <c r="D225" s="20"/>
      <c r="E225" s="22"/>
      <c r="F225" s="20"/>
    </row>
    <row r="226">
      <c r="A226" s="23"/>
      <c r="B226" s="20"/>
      <c r="C226" s="20"/>
      <c r="D226" s="20"/>
      <c r="E226" s="22"/>
      <c r="F226" s="20"/>
    </row>
    <row r="227">
      <c r="A227" s="23"/>
      <c r="B227" s="20"/>
      <c r="C227" s="20"/>
      <c r="D227" s="20"/>
      <c r="E227" s="22"/>
      <c r="F227" s="20"/>
    </row>
    <row r="228">
      <c r="A228" s="23"/>
      <c r="B228" s="20"/>
      <c r="C228" s="20"/>
      <c r="D228" s="20"/>
      <c r="E228" s="22"/>
      <c r="F228" s="20"/>
    </row>
    <row r="229">
      <c r="A229" s="23"/>
      <c r="B229" s="20"/>
      <c r="C229" s="20"/>
      <c r="D229" s="20"/>
      <c r="E229" s="22"/>
      <c r="F229" s="20"/>
    </row>
    <row r="230">
      <c r="A230" s="23"/>
      <c r="B230" s="20"/>
      <c r="C230" s="20"/>
      <c r="D230" s="20"/>
      <c r="E230" s="22"/>
      <c r="F230" s="20"/>
    </row>
    <row r="231">
      <c r="A231" s="23"/>
      <c r="B231" s="20"/>
      <c r="C231" s="20"/>
      <c r="D231" s="20"/>
      <c r="E231" s="22"/>
      <c r="F231" s="20"/>
    </row>
    <row r="232">
      <c r="A232" s="23"/>
      <c r="B232" s="20"/>
      <c r="C232" s="20"/>
      <c r="D232" s="20"/>
      <c r="E232" s="22"/>
      <c r="F232" s="20"/>
    </row>
    <row r="233">
      <c r="A233" s="23"/>
      <c r="B233" s="20"/>
      <c r="C233" s="20"/>
      <c r="D233" s="20"/>
      <c r="E233" s="22"/>
      <c r="F233" s="20"/>
    </row>
    <row r="234">
      <c r="A234" s="23"/>
      <c r="B234" s="20"/>
      <c r="C234" s="20"/>
      <c r="D234" s="20"/>
      <c r="E234" s="22"/>
      <c r="F234" s="20"/>
    </row>
    <row r="235">
      <c r="A235" s="23"/>
      <c r="B235" s="20"/>
      <c r="C235" s="20"/>
      <c r="D235" s="20"/>
      <c r="E235" s="22"/>
      <c r="F235" s="20"/>
    </row>
    <row r="236">
      <c r="A236" s="23"/>
      <c r="B236" s="20"/>
      <c r="C236" s="20"/>
      <c r="D236" s="20"/>
      <c r="E236" s="22"/>
      <c r="F236" s="20"/>
    </row>
    <row r="237">
      <c r="A237" s="23"/>
      <c r="B237" s="20"/>
      <c r="C237" s="20"/>
      <c r="D237" s="20"/>
      <c r="E237" s="22"/>
      <c r="F237" s="20"/>
    </row>
    <row r="238">
      <c r="A238" s="23"/>
      <c r="B238" s="20"/>
      <c r="C238" s="20"/>
      <c r="D238" s="20"/>
      <c r="E238" s="22"/>
      <c r="F238" s="20"/>
    </row>
    <row r="239">
      <c r="A239" s="23"/>
      <c r="B239" s="20"/>
      <c r="C239" s="20"/>
      <c r="D239" s="20"/>
      <c r="E239" s="22"/>
      <c r="F239" s="20"/>
    </row>
    <row r="240">
      <c r="A240" s="23"/>
      <c r="B240" s="20"/>
      <c r="C240" s="20"/>
      <c r="D240" s="20"/>
      <c r="E240" s="22"/>
      <c r="F240" s="20"/>
    </row>
    <row r="241">
      <c r="A241" s="23"/>
      <c r="B241" s="20"/>
      <c r="C241" s="20"/>
      <c r="D241" s="20"/>
      <c r="E241" s="22"/>
      <c r="F241" s="20"/>
    </row>
    <row r="242">
      <c r="A242" s="23"/>
      <c r="B242" s="20"/>
      <c r="C242" s="20"/>
      <c r="D242" s="20"/>
      <c r="E242" s="22"/>
      <c r="F242" s="20"/>
    </row>
    <row r="243">
      <c r="A243" s="23"/>
      <c r="B243" s="20"/>
      <c r="C243" s="20"/>
      <c r="D243" s="20"/>
      <c r="E243" s="22"/>
      <c r="F243" s="20"/>
    </row>
    <row r="244">
      <c r="A244" s="23"/>
      <c r="B244" s="20"/>
      <c r="C244" s="20"/>
      <c r="D244" s="20"/>
      <c r="E244" s="22"/>
      <c r="F244" s="20"/>
    </row>
    <row r="245">
      <c r="A245" s="23"/>
      <c r="B245" s="20"/>
      <c r="C245" s="20"/>
      <c r="D245" s="20"/>
      <c r="E245" s="22"/>
      <c r="F245" s="20"/>
    </row>
    <row r="246">
      <c r="A246" s="23"/>
      <c r="B246" s="20"/>
      <c r="C246" s="20"/>
      <c r="D246" s="20"/>
      <c r="E246" s="22"/>
      <c r="F246" s="20"/>
    </row>
    <row r="247">
      <c r="A247" s="23"/>
      <c r="B247" s="20"/>
      <c r="C247" s="20"/>
      <c r="D247" s="20"/>
      <c r="E247" s="22"/>
      <c r="F247" s="20"/>
    </row>
    <row r="248">
      <c r="A248" s="23"/>
      <c r="B248" s="20"/>
      <c r="C248" s="20"/>
      <c r="D248" s="20"/>
      <c r="E248" s="22"/>
      <c r="F248" s="20"/>
    </row>
    <row r="249">
      <c r="A249" s="23"/>
      <c r="B249" s="20"/>
      <c r="C249" s="20"/>
      <c r="D249" s="20"/>
      <c r="E249" s="22"/>
      <c r="F249" s="20"/>
    </row>
    <row r="250">
      <c r="A250" s="23"/>
      <c r="B250" s="20"/>
      <c r="C250" s="20"/>
      <c r="D250" s="20"/>
      <c r="E250" s="22"/>
      <c r="F250" s="20"/>
    </row>
    <row r="251">
      <c r="A251" s="23"/>
      <c r="B251" s="20"/>
      <c r="C251" s="20"/>
      <c r="D251" s="20"/>
      <c r="E251" s="22"/>
      <c r="F251" s="20"/>
    </row>
    <row r="252">
      <c r="A252" s="23"/>
      <c r="B252" s="20"/>
      <c r="C252" s="20"/>
      <c r="D252" s="20"/>
      <c r="E252" s="22"/>
      <c r="F252" s="20"/>
    </row>
    <row r="253">
      <c r="A253" s="23"/>
      <c r="B253" s="20"/>
      <c r="C253" s="20"/>
      <c r="D253" s="20"/>
      <c r="E253" s="22"/>
      <c r="F253" s="20"/>
    </row>
    <row r="254">
      <c r="A254" s="23"/>
      <c r="B254" s="20"/>
      <c r="C254" s="20"/>
      <c r="D254" s="20"/>
      <c r="E254" s="22"/>
      <c r="F254" s="20"/>
    </row>
    <row r="255">
      <c r="A255" s="23"/>
      <c r="B255" s="20"/>
      <c r="C255" s="20"/>
      <c r="D255" s="20"/>
      <c r="E255" s="22"/>
      <c r="F255" s="20"/>
    </row>
    <row r="256">
      <c r="A256" s="23"/>
      <c r="B256" s="20"/>
      <c r="C256" s="20"/>
      <c r="D256" s="20"/>
      <c r="E256" s="22"/>
      <c r="F256" s="20"/>
    </row>
    <row r="257">
      <c r="A257" s="23"/>
      <c r="B257" s="20"/>
      <c r="C257" s="20"/>
      <c r="D257" s="20"/>
      <c r="E257" s="22"/>
      <c r="F257" s="20"/>
    </row>
    <row r="258">
      <c r="A258" s="23"/>
      <c r="B258" s="20"/>
      <c r="C258" s="20"/>
      <c r="D258" s="20"/>
      <c r="E258" s="22"/>
      <c r="F258" s="20"/>
    </row>
    <row r="259">
      <c r="A259" s="23"/>
      <c r="B259" s="20"/>
      <c r="C259" s="20"/>
      <c r="D259" s="20"/>
      <c r="E259" s="22"/>
      <c r="F259" s="20"/>
    </row>
    <row r="260">
      <c r="A260" s="23"/>
      <c r="B260" s="20"/>
      <c r="C260" s="20"/>
      <c r="D260" s="20"/>
      <c r="E260" s="22"/>
      <c r="F260" s="20"/>
    </row>
    <row r="261">
      <c r="A261" s="23"/>
      <c r="B261" s="20"/>
      <c r="C261" s="20"/>
      <c r="D261" s="20"/>
      <c r="E261" s="22"/>
      <c r="F261" s="20"/>
    </row>
    <row r="262">
      <c r="A262" s="23"/>
      <c r="B262" s="20"/>
      <c r="C262" s="20"/>
      <c r="D262" s="20"/>
      <c r="E262" s="22"/>
      <c r="F262" s="20"/>
    </row>
    <row r="263">
      <c r="A263" s="23"/>
      <c r="B263" s="20"/>
      <c r="C263" s="20"/>
      <c r="D263" s="20"/>
      <c r="E263" s="22"/>
      <c r="F263" s="20"/>
    </row>
    <row r="264">
      <c r="A264" s="23"/>
      <c r="B264" s="20"/>
      <c r="C264" s="20"/>
      <c r="D264" s="20"/>
      <c r="E264" s="22"/>
      <c r="F264" s="20"/>
    </row>
    <row r="265">
      <c r="A265" s="23"/>
      <c r="B265" s="20"/>
      <c r="C265" s="20"/>
      <c r="D265" s="20"/>
      <c r="E265" s="22"/>
      <c r="F265" s="20"/>
    </row>
    <row r="266">
      <c r="A266" s="23"/>
      <c r="B266" s="20"/>
      <c r="C266" s="20"/>
      <c r="D266" s="20"/>
      <c r="E266" s="22"/>
      <c r="F266" s="20"/>
    </row>
    <row r="267">
      <c r="A267" s="23"/>
      <c r="B267" s="20"/>
      <c r="C267" s="20"/>
      <c r="D267" s="20"/>
      <c r="E267" s="22"/>
      <c r="F267" s="20"/>
    </row>
    <row r="268">
      <c r="A268" s="23"/>
      <c r="B268" s="20"/>
      <c r="C268" s="20"/>
      <c r="D268" s="20"/>
      <c r="E268" s="22"/>
      <c r="F268" s="20"/>
    </row>
    <row r="269">
      <c r="A269" s="23"/>
      <c r="B269" s="20"/>
      <c r="C269" s="20"/>
      <c r="D269" s="20"/>
      <c r="E269" s="22"/>
      <c r="F269" s="20"/>
    </row>
    <row r="270">
      <c r="A270" s="23"/>
      <c r="B270" s="20"/>
      <c r="C270" s="20"/>
      <c r="D270" s="20"/>
      <c r="E270" s="22"/>
      <c r="F270" s="20"/>
    </row>
    <row r="271">
      <c r="A271" s="23"/>
      <c r="B271" s="20"/>
      <c r="C271" s="20"/>
      <c r="D271" s="20"/>
      <c r="E271" s="22"/>
      <c r="F271" s="20"/>
    </row>
    <row r="272">
      <c r="A272" s="23"/>
      <c r="B272" s="20"/>
      <c r="C272" s="20"/>
      <c r="D272" s="20"/>
      <c r="E272" s="22"/>
      <c r="F272" s="20"/>
    </row>
    <row r="273">
      <c r="A273" s="23"/>
      <c r="B273" s="20"/>
      <c r="C273" s="20"/>
      <c r="D273" s="20"/>
      <c r="E273" s="22"/>
      <c r="F273" s="20"/>
    </row>
    <row r="274">
      <c r="A274" s="23"/>
      <c r="B274" s="20"/>
      <c r="C274" s="20"/>
      <c r="D274" s="20"/>
      <c r="E274" s="22"/>
      <c r="F274" s="20"/>
    </row>
    <row r="275">
      <c r="A275" s="23"/>
      <c r="B275" s="20"/>
      <c r="C275" s="20"/>
      <c r="D275" s="20"/>
      <c r="E275" s="22"/>
      <c r="F275" s="20"/>
    </row>
    <row r="276">
      <c r="A276" s="23"/>
      <c r="B276" s="20"/>
      <c r="C276" s="20"/>
      <c r="D276" s="20"/>
      <c r="E276" s="22"/>
      <c r="F276" s="20"/>
    </row>
    <row r="277">
      <c r="A277" s="23"/>
      <c r="B277" s="20"/>
      <c r="C277" s="20"/>
      <c r="D277" s="20"/>
      <c r="E277" s="22"/>
      <c r="F277" s="20"/>
    </row>
    <row r="278">
      <c r="A278" s="23"/>
      <c r="B278" s="20"/>
      <c r="C278" s="20"/>
      <c r="D278" s="20"/>
      <c r="E278" s="22"/>
      <c r="F278" s="20"/>
    </row>
    <row r="279">
      <c r="A279" s="23"/>
      <c r="B279" s="20"/>
      <c r="C279" s="20"/>
      <c r="D279" s="20"/>
      <c r="E279" s="22"/>
      <c r="F279" s="20"/>
    </row>
    <row r="280">
      <c r="A280" s="23"/>
      <c r="B280" s="20"/>
      <c r="C280" s="20"/>
      <c r="D280" s="20"/>
      <c r="E280" s="22"/>
      <c r="F280" s="20"/>
    </row>
    <row r="281">
      <c r="A281" s="23"/>
      <c r="B281" s="20"/>
      <c r="C281" s="20"/>
      <c r="D281" s="20"/>
      <c r="E281" s="22"/>
      <c r="F281" s="20"/>
    </row>
    <row r="282">
      <c r="A282" s="23"/>
      <c r="B282" s="20"/>
      <c r="C282" s="20"/>
      <c r="D282" s="20"/>
      <c r="E282" s="22"/>
      <c r="F282" s="20"/>
    </row>
    <row r="283">
      <c r="A283" s="23"/>
      <c r="B283" s="20"/>
      <c r="C283" s="20"/>
      <c r="D283" s="20"/>
      <c r="E283" s="22"/>
      <c r="F283" s="20"/>
    </row>
    <row r="284">
      <c r="A284" s="23"/>
      <c r="B284" s="20"/>
      <c r="C284" s="20"/>
      <c r="D284" s="20"/>
      <c r="E284" s="22"/>
      <c r="F284" s="20"/>
    </row>
    <row r="285">
      <c r="A285" s="23"/>
      <c r="B285" s="20"/>
      <c r="C285" s="20"/>
      <c r="D285" s="20"/>
      <c r="E285" s="22"/>
      <c r="F285" s="20"/>
    </row>
    <row r="286">
      <c r="A286" s="23"/>
      <c r="B286" s="20"/>
      <c r="C286" s="20"/>
      <c r="D286" s="20"/>
      <c r="E286" s="22"/>
      <c r="F286" s="20"/>
    </row>
    <row r="287">
      <c r="A287" s="23"/>
      <c r="B287" s="20"/>
      <c r="C287" s="20"/>
      <c r="D287" s="20"/>
      <c r="E287" s="22"/>
      <c r="F287" s="20"/>
    </row>
    <row r="288">
      <c r="A288" s="23"/>
      <c r="B288" s="20"/>
      <c r="C288" s="20"/>
      <c r="D288" s="20"/>
      <c r="E288" s="22"/>
      <c r="F288" s="20"/>
    </row>
    <row r="289">
      <c r="A289" s="23"/>
      <c r="B289" s="20"/>
      <c r="C289" s="20"/>
      <c r="D289" s="20"/>
      <c r="E289" s="22"/>
      <c r="F289" s="20"/>
    </row>
    <row r="290">
      <c r="A290" s="23"/>
      <c r="B290" s="20"/>
      <c r="C290" s="20"/>
      <c r="D290" s="20"/>
      <c r="E290" s="22"/>
      <c r="F290" s="20"/>
    </row>
    <row r="291">
      <c r="A291" s="23"/>
      <c r="B291" s="20"/>
      <c r="C291" s="20"/>
      <c r="D291" s="20"/>
      <c r="E291" s="22"/>
      <c r="F291" s="20"/>
    </row>
    <row r="292">
      <c r="A292" s="23"/>
      <c r="B292" s="20"/>
      <c r="C292" s="20"/>
      <c r="D292" s="20"/>
      <c r="E292" s="22"/>
      <c r="F292" s="20"/>
    </row>
    <row r="293">
      <c r="A293" s="23"/>
      <c r="B293" s="20"/>
      <c r="C293" s="20"/>
      <c r="D293" s="20"/>
      <c r="E293" s="22"/>
      <c r="F293" s="20"/>
    </row>
    <row r="294">
      <c r="A294" s="23"/>
      <c r="B294" s="20"/>
      <c r="C294" s="20"/>
      <c r="D294" s="20"/>
      <c r="E294" s="22"/>
      <c r="F294" s="20"/>
    </row>
    <row r="295">
      <c r="A295" s="23"/>
      <c r="B295" s="20"/>
      <c r="C295" s="20"/>
      <c r="D295" s="20"/>
      <c r="E295" s="22"/>
      <c r="F295" s="20"/>
    </row>
    <row r="296">
      <c r="A296" s="23"/>
      <c r="B296" s="20"/>
      <c r="C296" s="20"/>
      <c r="D296" s="20"/>
      <c r="E296" s="22"/>
      <c r="F296" s="20"/>
    </row>
    <row r="297">
      <c r="A297" s="23"/>
      <c r="B297" s="20"/>
      <c r="C297" s="20"/>
      <c r="D297" s="20"/>
      <c r="E297" s="22"/>
      <c r="F297" s="20"/>
    </row>
    <row r="298">
      <c r="A298" s="23"/>
      <c r="B298" s="20"/>
      <c r="C298" s="20"/>
      <c r="D298" s="20"/>
      <c r="E298" s="22"/>
      <c r="F298" s="20"/>
    </row>
    <row r="299">
      <c r="A299" s="23"/>
      <c r="B299" s="20"/>
      <c r="C299" s="20"/>
      <c r="D299" s="20"/>
      <c r="E299" s="22"/>
      <c r="F299" s="20"/>
    </row>
    <row r="300">
      <c r="A300" s="23"/>
      <c r="B300" s="20"/>
      <c r="C300" s="20"/>
      <c r="D300" s="20"/>
      <c r="E300" s="22"/>
      <c r="F300" s="20"/>
    </row>
    <row r="301">
      <c r="A301" s="23"/>
      <c r="B301" s="20"/>
      <c r="C301" s="20"/>
      <c r="D301" s="20"/>
      <c r="E301" s="22"/>
      <c r="F301" s="20"/>
    </row>
  </sheetData>
  <dataValidations count="3">
    <dataValidation type="list" allowBlank="1" showInputMessage="1" showErrorMessage="0" sqref="B2:B301">
      <formula1>"Transferencia,Retiro plataforma,Gasto,Aporte,Otro"</formula1>
    </dataValidation>
    <dataValidation type="list" allowBlank="1" showInputMessage="1" showErrorMessage="0" sqref="C2:C301">
      <formula1>'Config'!$P$2:$P$15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6.00" customWidth="1"/>
    <col min="3" max="3" width="15.00" customWidth="1"/>
    <col min="4" max="4" width="24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Tarjeta</t>
        </is>
      </c>
      <c r="C1" s="1" t="inlineStr">
        <is>
          <t xml:space="preserve">Valor</t>
        </is>
      </c>
      <c r="D1" s="1" t="inlineStr">
        <is>
          <t xml:space="preserve">Billetera (de dónde salió)</t>
        </is>
      </c>
      <c r="E1" s="1" t="inlineStr">
        <is>
          <t xml:space="preserve">Nota</t>
        </is>
      </c>
    </row>
    <row r="2">
      <c r="A2" s="23">
        <v>46189</v>
      </c>
      <c r="B2" s="20" t="inlineStr">
        <is>
          <t xml:space="preserve">TC Bancolombia 1 (1517)</t>
        </is>
      </c>
      <c r="C2" s="22">
        <v>100000</v>
      </c>
      <c r="D2" s="20" t="inlineStr">
        <is>
          <t xml:space="preserve">Bancolombia</t>
        </is>
      </c>
      <c r="E2" s="20" t="inlineStr">
        <is>
          <t xml:space="preserve">Abono a la deuda</t>
        </is>
      </c>
    </row>
    <row r="3">
      <c r="A3" s="23"/>
      <c r="B3" s="20"/>
      <c r="C3" s="22"/>
      <c r="D3" s="20"/>
      <c r="E3" s="20"/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'Config'!$N$2:$N$15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  <col min="11" max="11" width="1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  <c r="K1" s="1" t="inlineStr">
        <is>
          <t xml:space="preserve">Billetera origen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  <c r="K2" s="20" t="inlineStr">
        <is>
          <t xml:space="preserve">Nequi</t>
        </is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  <c r="K3" s="20" t="inlineStr">
        <is>
          <t xml:space="preserve">Efectivo</t>
        </is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  <c r="K4" s="20" t="inlineStr">
        <is>
          <t xml:space="preserve">Bancolombia</t>
        </is>
      </c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  <c r="K5" s="20"/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  <c r="K6" s="20"/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  <c r="K7" s="20"/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  <c r="K8" s="20"/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  <c r="K9" s="20"/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  <c r="K10" s="20"/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  <c r="K11" s="20"/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  <c r="K12" s="20"/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  <c r="K13" s="20"/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  <c r="K14" s="20"/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  <c r="K15" s="20"/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  <c r="K16" s="20"/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  <c r="K17" s="20"/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  <c r="K18" s="20"/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  <c r="K19" s="20"/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  <c r="K20" s="20"/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  <c r="K21" s="20"/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  <c r="K22" s="20"/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  <c r="K23" s="20"/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  <c r="K24" s="20"/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  <c r="K25" s="20"/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  <c r="K26" s="20"/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  <c r="K27" s="20"/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  <c r="K28" s="20"/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  <c r="K29" s="20"/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  <c r="K30" s="20"/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  <c r="K31" s="20"/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  <c r="K32" s="20"/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  <c r="K33" s="20"/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  <c r="K34" s="20"/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  <c r="K35" s="20"/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  <c r="K36" s="20"/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  <c r="K37" s="20"/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  <c r="K38" s="20"/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  <c r="K39" s="20"/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  <c r="K40" s="20"/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  <c r="K41" s="20"/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  <c r="K42" s="20"/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  <c r="K43" s="20"/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  <c r="K44" s="20"/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  <c r="K45" s="20"/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  <c r="K46" s="20"/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  <c r="K47" s="20"/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  <c r="K48" s="20"/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  <c r="K49" s="20"/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  <c r="K50" s="20"/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  <c r="K51" s="20"/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  <c r="K52" s="20"/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  <c r="K53" s="20"/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  <c r="K54" s="20"/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  <c r="K55" s="20"/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  <c r="K56" s="20"/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  <c r="K57" s="20"/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  <c r="K58" s="20"/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  <c r="K59" s="20"/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  <c r="K60" s="20"/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  <c r="K61" s="20"/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  <c r="K62" s="20"/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  <c r="K63" s="20"/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  <c r="K64" s="20"/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  <c r="K65" s="20"/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  <c r="K66" s="20"/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  <c r="K67" s="20"/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  <c r="K68" s="20"/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  <c r="K69" s="20"/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  <c r="K70" s="20"/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  <c r="K71" s="20"/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  <c r="K72" s="20"/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  <c r="K73" s="20"/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  <c r="K74" s="20"/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  <c r="K75" s="20"/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  <c r="K76" s="20"/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  <c r="K77" s="20"/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  <c r="K78" s="20"/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  <c r="K79" s="20"/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  <c r="K80" s="20"/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  <c r="K81" s="20"/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  <c r="K82" s="20"/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  <c r="K83" s="20"/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  <c r="K84" s="20"/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  <c r="K85" s="20"/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  <c r="K86" s="20"/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  <c r="K87" s="20"/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  <c r="K88" s="20"/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  <c r="K89" s="20"/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  <c r="K90" s="20"/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  <c r="K91" s="20"/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  <c r="K92" s="20"/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  <c r="K93" s="20"/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  <c r="K94" s="20"/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  <c r="K95" s="20"/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  <c r="K96" s="20"/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  <c r="K97" s="20"/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  <c r="K98" s="20"/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  <c r="K99" s="20"/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  <c r="K100" s="20"/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  <c r="K101" s="20"/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  <c r="K102" s="20"/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  <c r="K103" s="20"/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  <c r="K104" s="20"/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  <c r="K105" s="20"/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  <c r="K106" s="20"/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  <c r="K107" s="20"/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  <c r="K108" s="20"/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  <c r="K109" s="20"/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  <c r="K110" s="20"/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  <c r="K111" s="20"/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  <c r="K112" s="20"/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  <c r="K113" s="20"/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  <c r="K114" s="20"/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  <c r="K115" s="20"/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  <c r="K116" s="20"/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  <c r="K117" s="20"/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  <c r="K118" s="20"/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  <c r="K119" s="20"/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  <c r="K120" s="20"/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  <c r="K121" s="20"/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  <c r="K122" s="20"/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  <c r="K123" s="20"/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  <c r="K124" s="20"/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  <c r="K125" s="20"/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  <c r="K126" s="20"/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  <c r="K127" s="20"/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  <c r="K128" s="20"/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  <c r="K129" s="20"/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  <c r="K130" s="20"/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  <c r="K131" s="20"/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  <c r="K132" s="20"/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  <c r="K133" s="20"/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  <c r="K134" s="20"/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  <c r="K135" s="20"/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  <c r="K136" s="20"/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  <c r="K137" s="20"/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  <c r="K138" s="20"/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  <c r="K139" s="20"/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  <c r="K140" s="20"/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  <c r="K141" s="20"/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  <c r="K142" s="20"/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  <c r="K143" s="20"/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  <c r="K144" s="20"/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  <c r="K145" s="20"/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  <c r="K146" s="20"/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  <c r="K147" s="20"/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  <c r="K148" s="20"/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  <c r="K149" s="20"/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  <c r="K150" s="20"/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  <c r="K151" s="20"/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  <c r="K152" s="20"/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  <c r="K153" s="20"/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  <c r="K154" s="20"/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  <c r="K155" s="20"/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  <c r="K156" s="20"/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  <c r="K157" s="20"/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  <c r="K158" s="20"/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  <c r="K159" s="20"/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  <c r="K160" s="20"/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  <c r="K161" s="20"/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  <c r="K162" s="20"/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  <c r="K163" s="20"/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  <c r="K164" s="20"/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  <c r="K165" s="20"/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  <c r="K166" s="20"/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  <c r="K167" s="20"/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  <c r="K168" s="20"/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  <c r="K169" s="20"/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  <c r="K170" s="20"/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  <c r="K171" s="20"/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  <c r="K172" s="20"/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  <c r="K173" s="20"/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  <c r="K174" s="20"/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  <c r="K175" s="20"/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  <c r="K176" s="20"/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  <c r="K177" s="20"/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  <c r="K178" s="20"/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  <c r="K179" s="20"/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  <c r="K180" s="20"/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  <c r="K181" s="20"/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  <c r="K182" s="20"/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  <c r="K183" s="20"/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  <c r="K184" s="20"/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  <c r="K185" s="20"/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  <c r="K186" s="20"/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  <c r="K187" s="20"/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  <c r="K188" s="20"/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  <c r="K189" s="20"/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  <c r="K190" s="20"/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  <c r="K191" s="20"/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  <c r="K192" s="20"/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  <c r="K193" s="20"/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  <c r="K194" s="20"/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  <c r="K195" s="20"/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  <c r="K196" s="20"/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  <c r="K197" s="20"/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  <c r="K198" s="20"/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  <c r="K199" s="20"/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  <c r="K200" s="20"/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  <c r="K201" s="20"/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  <c r="K202" s="20"/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  <c r="K203" s="20"/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  <c r="K204" s="20"/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  <c r="K205" s="20"/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  <c r="K206" s="20"/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  <c r="K207" s="20"/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  <c r="K208" s="20"/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  <c r="K209" s="20"/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  <c r="K210" s="20"/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  <c r="K211" s="20"/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  <c r="K212" s="20"/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  <c r="K213" s="20"/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  <c r="K214" s="20"/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  <c r="K215" s="20"/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  <c r="K216" s="20"/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  <c r="K217" s="20"/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  <c r="K218" s="20"/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  <c r="K219" s="20"/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  <c r="K220" s="20"/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  <c r="K221" s="20"/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  <c r="K222" s="20"/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  <c r="K223" s="20"/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  <c r="K224" s="20"/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  <c r="K225" s="20"/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  <c r="K226" s="20"/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  <c r="K227" s="20"/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  <c r="K228" s="20"/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  <c r="K229" s="20"/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  <c r="K230" s="20"/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  <c r="K231" s="20"/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  <c r="K232" s="20"/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  <c r="K233" s="20"/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  <c r="K234" s="20"/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  <c r="K235" s="20"/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  <c r="K236" s="20"/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  <c r="K237" s="20"/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  <c r="K238" s="20"/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  <c r="K239" s="20"/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  <c r="K240" s="20"/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  <c r="K241" s="20"/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  <c r="K242" s="20"/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  <c r="K243" s="20"/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  <c r="K244" s="20"/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  <c r="K245" s="20"/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  <c r="K246" s="20"/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  <c r="K247" s="20"/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  <c r="K248" s="20"/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  <c r="K249" s="20"/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  <c r="K250" s="20"/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  <c r="K251" s="20"/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  <c r="K252" s="20"/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  <c r="K253" s="20"/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  <c r="K254" s="20"/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  <c r="K255" s="20"/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  <c r="K256" s="20"/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  <c r="K257" s="20"/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  <c r="K258" s="20"/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  <c r="K259" s="20"/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  <c r="K260" s="20"/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  <c r="K261" s="20"/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  <c r="K262" s="20"/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  <c r="K263" s="20"/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  <c r="K264" s="20"/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  <c r="K265" s="20"/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  <c r="K266" s="20"/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  <c r="K267" s="20"/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  <c r="K268" s="20"/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  <c r="K269" s="20"/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  <c r="K270" s="20"/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  <c r="K271" s="20"/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  <c r="K272" s="20"/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  <c r="K273" s="20"/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  <c r="K274" s="20"/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  <c r="K275" s="20"/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  <c r="K276" s="20"/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  <c r="K277" s="20"/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  <c r="K278" s="20"/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  <c r="K279" s="20"/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  <c r="K280" s="20"/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  <c r="K281" s="20"/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  <c r="K282" s="20"/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  <c r="K283" s="20"/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  <c r="K284" s="20"/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  <c r="K285" s="20"/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  <c r="K286" s="20"/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  <c r="K287" s="20"/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  <c r="K288" s="20"/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  <c r="K289" s="20"/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  <c r="K290" s="20"/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  <c r="K291" s="20"/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  <c r="K292" s="20"/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  <c r="K293" s="20"/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  <c r="K294" s="20"/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  <c r="K295" s="20"/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  <c r="K296" s="20"/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  <c r="K297" s="20"/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  <c r="K298" s="20"/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  <c r="K299" s="20"/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  <c r="K300" s="20"/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  <c r="K301" s="20"/>
    </row>
  </sheetData>
  <dataValidations count="1">
    <dataValidation type="list" allowBlank="1" showInputMessage="1" showErrorMessage="0" sqref="K2:K301">
      <formula1>'Config'!$P$2:$P$15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18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Forma de Cobro</t>
        </is>
      </c>
      <c r="E1" s="1" t="inlineStr">
        <is>
          <t xml:space="preserve">Nota</t>
        </is>
      </c>
      <c r="G1" s="37" t="inlineStr">
        <is>
          <t xml:space="preserve">Cada vez que te devuelven plata de un préstamo, anótalo aquí (con su fecha y cómo te pagaron).</t>
        </is>
      </c>
    </row>
    <row r="2">
      <c r="A2" s="23">
        <v>46178</v>
      </c>
      <c r="B2" s="20" t="inlineStr">
        <is>
          <t xml:space="preserve">Pedro Gómez</t>
        </is>
      </c>
      <c r="C2" s="22">
        <v>50000</v>
      </c>
      <c r="D2" s="20" t="inlineStr">
        <is>
          <t xml:space="preserve">Efectivo</t>
        </is>
      </c>
      <c r="E2" s="20" t="inlineStr">
        <is>
          <t xml:space="preserve">Primer abono</t>
        </is>
      </c>
    </row>
    <row r="3">
      <c r="A3" s="23">
        <v>46183</v>
      </c>
      <c r="B3" s="20" t="inlineStr">
        <is>
          <t xml:space="preserve">Ana Ruiz</t>
        </is>
      </c>
      <c r="C3" s="22">
        <v>100000</v>
      </c>
      <c r="D3" s="20" t="inlineStr">
        <is>
          <t xml:space="preserve">Nequi</t>
        </is>
      </c>
      <c r="E3" s="20" t="inlineStr">
        <is>
          <t xml:space="preserve">Pagó todo</t>
        </is>
      </c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'Préstamos'!$B$2:$B$301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Venta N°:</t>
        </is>
      </c>
      <c r="E2" s="44" t="inlineStr">
        <is>
          <t xml:space="preserve">FAC-0001</t>
        </is>
      </c>
    </row>
    <row r="3">
      <c r="B3" s="9">
        <f>'Config'!$B$4</f>
      </c>
      <c r="D3" s="8" t="inlineStr">
        <is>
          <t xml:space="preserve">Fecha:</t>
        </is>
      </c>
      <c r="E3" s="14">
        <f>IFERROR(INDEX('Ventas'!$A$2:$A$2000,MATCH($E$2,'Ventas'!$B$2:$B$2000,0)),"")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9">
        <f>IFERROR(INDEX('Ventas'!$O$2:$O$2000,MATCH($E$2,'Ventas'!$B$2:$B$2000,0)),"")</f>
      </c>
    </row>
    <row r="5">
      <c r="B5" s="38">
        <f>'Config'!$B$7</f>
      </c>
      <c r="D5" s="8" t="inlineStr">
        <is>
          <t xml:space="preserve">Origen inv.:</t>
        </is>
      </c>
      <c r="E5" s="9">
        <f>IFERROR(INDEX('Ventas'!$G$2:$G$2000,MATCH($E$2,'Ventas'!$B$2:$B$2000,0)),"")</f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9">
        <f>IFERROR(INDEX('Ventas'!$C$2:$C$2000,MATCH($E$2,'Ventas'!$B$2:$B$2000,0)),"")</f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19">
        <f>IF($J13="","",$J13)</f>
      </c>
      <c r="B13" s="19">
        <f>IF($A13="","",IFERROR(VLOOKUP($A13,'Catálogo'!$A:$B,2,FALSE),""))</f>
      </c>
      <c r="D13" s="12">
        <f>IF($J13="","",$L13)</f>
      </c>
      <c r="E13" s="11">
        <f>IF(OR($J13="",$L13=0),"",$N13/$L13)</f>
      </c>
      <c r="F13" s="16">
        <f>IF($A13="","",$D13*$E13)</f>
      </c>
      <c r="G13" s="17">
        <f>IF($A13="","",IFERROR(VLOOKUP($A13,'Catálogo'!$A:$L,12,FALSE),0))</f>
      </c>
      <c r="H13" s="16">
        <f>IF($F13="","",ROUND($F13*$G13/100,0))</f>
      </c>
      <c r="J13" s="9">
        <f>IFERROR(FILTER('Ventas'!$D$2:$H$2000,'Ventas'!$B$2:$B$2000=$E$2),"")</f>
      </c>
    </row>
    <row r="14">
      <c r="A14" s="19">
        <f>IF($J14="","",$J14)</f>
      </c>
      <c r="B14" s="19">
        <f>IF($A14="","",IFERROR(VLOOKUP($A14,'Catálogo'!$A:$B,2,FALSE),""))</f>
      </c>
      <c r="D14" s="12">
        <f>IF($J14="","",$L14)</f>
      </c>
      <c r="E14" s="11">
        <f>IF(OR($J14="",$L14=0),"",$N14/$L14)</f>
      </c>
      <c r="F14" s="16">
        <f>IF($A14="","",$D14*$E14)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19">
        <f>IF($J15="","",$J15)</f>
      </c>
      <c r="B15" s="19">
        <f>IF($A15="","",IFERROR(VLOOKUP($A15,'Catálogo'!$A:$B,2,FALSE),""))</f>
      </c>
      <c r="D15" s="12">
        <f>IF($J15="","",$L15)</f>
      </c>
      <c r="E15" s="11">
        <f>IF(OR($J15="",$L15=0),"",$N15/$L15)</f>
      </c>
      <c r="F15" s="16">
        <f>IF($A15="","",$D15*$E15)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19">
        <f>IF($J16="","",$J16)</f>
      </c>
      <c r="B16" s="19">
        <f>IF($A16="","",IFERROR(VLOOKUP($A16,'Catálogo'!$A:$B,2,FALSE),""))</f>
      </c>
      <c r="D16" s="12">
        <f>IF($J16="","",$L16)</f>
      </c>
      <c r="E16" s="11">
        <f>IF(OR($J16="",$L16=0),"",$N16/$L16)</f>
      </c>
      <c r="F16" s="16">
        <f>IF($A16="","",$D16*$E16)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19">
        <f>IF($J17="","",$J17)</f>
      </c>
      <c r="B17" s="19">
        <f>IF($A17="","",IFERROR(VLOOKUP($A17,'Catálogo'!$A:$B,2,FALSE),""))</f>
      </c>
      <c r="D17" s="12">
        <f>IF($J17="","",$L17)</f>
      </c>
      <c r="E17" s="11">
        <f>IF(OR($J17="",$L17=0),"",$N17/$L17)</f>
      </c>
      <c r="F17" s="16">
        <f>IF($A17="","",$D17*$E17)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19">
        <f>IF($J18="","",$J18)</f>
      </c>
      <c r="B18" s="19">
        <f>IF($A18="","",IFERROR(VLOOKUP($A18,'Catálogo'!$A:$B,2,FALSE),""))</f>
      </c>
      <c r="D18" s="12">
        <f>IF($J18="","",$L18)</f>
      </c>
      <c r="E18" s="11">
        <f>IF(OR($J18="",$L18=0),"",$N18/$L18)</f>
      </c>
      <c r="F18" s="16">
        <f>IF($A18="","",$D18*$E18)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19">
        <f>IF($J19="","",$J19)</f>
      </c>
      <c r="B19" s="19">
        <f>IF($A19="","",IFERROR(VLOOKUP($A19,'Catálogo'!$A:$B,2,FALSE),""))</f>
      </c>
      <c r="D19" s="12">
        <f>IF($J19="","",$L19)</f>
      </c>
      <c r="E19" s="11">
        <f>IF(OR($J19="",$L19=0),"",$N19/$L19)</f>
      </c>
      <c r="F19" s="16">
        <f>IF($A19="","",$D19*$E19)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19">
        <f>IF($J20="","",$J20)</f>
      </c>
      <c r="B20" s="19">
        <f>IF($A20="","",IFERROR(VLOOKUP($A20,'Catálogo'!$A:$B,2,FALSE),""))</f>
      </c>
      <c r="D20" s="12">
        <f>IF($J20="","",$L20)</f>
      </c>
      <c r="E20" s="11">
        <f>IF(OR($J20="",$L20=0),"",$N20/$L20)</f>
      </c>
      <c r="F20" s="16">
        <f>IF($A20="","",$D20*$E20)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19">
        <f>IF($J21="","",$J21)</f>
      </c>
      <c r="B21" s="19">
        <f>IF($A21="","",IFERROR(VLOOKUP($A21,'Catálogo'!$A:$B,2,FALSE),""))</f>
      </c>
      <c r="D21" s="12">
        <f>IF($J21="","",$L21)</f>
      </c>
      <c r="E21" s="11">
        <f>IF(OR($J21="",$L21=0),"",$N21/$L21)</f>
      </c>
      <c r="F21" s="16">
        <f>IF($A21="","",$D21*$E21)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19">
        <f>IF($J22="","",$J22)</f>
      </c>
      <c r="B22" s="19">
        <f>IF($A22="","",IFERROR(VLOOKUP($A22,'Catálogo'!$A:$B,2,FALSE),""))</f>
      </c>
      <c r="D22" s="12">
        <f>IF($J22="","",$L22)</f>
      </c>
      <c r="E22" s="11">
        <f>IF(OR($J22="",$L22=0),"",$N22/$L22)</f>
      </c>
      <c r="F22" s="16">
        <f>IF($A22="","",$D22*$E22)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19">
        <f>IF($J23="","",$J23)</f>
      </c>
      <c r="B23" s="19">
        <f>IF($A23="","",IFERROR(VLOOKUP($A23,'Catálogo'!$A:$B,2,FALSE),""))</f>
      </c>
      <c r="D23" s="12">
        <f>IF($J23="","",$L23)</f>
      </c>
      <c r="E23" s="11">
        <f>IF(OR($J23="",$L23=0),"",$N23/$L23)</f>
      </c>
      <c r="F23" s="16">
        <f>IF($A23="","",$D23*$E23)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19">
        <f>IF($J24="","",$J24)</f>
      </c>
      <c r="B24" s="19">
        <f>IF($A24="","",IFERROR(VLOOKUP($A24,'Catálogo'!$A:$B,2,FALSE),""))</f>
      </c>
      <c r="D24" s="12">
        <f>IF($J24="","",$L24)</f>
      </c>
      <c r="E24" s="11">
        <f>IF(OR($J24="",$L24=0),"",$N24/$L24)</f>
      </c>
      <c r="F24" s="16">
        <f>IF($A24="","",$D24*$E24)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1">
    <dataValidation type="list" allowBlank="1" showInputMessage="1" showErrorMessage="0" sqref="E2:E2">
      <formula1>'Ventas'!$B$2:$B$301</formula1>
    </dataValidation>
  </dataValidations>
  <pageMargins left="0.5" right="0.5" top="0.5" bottom="0.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5" max="5" width="16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  <c r="E5" s="1" t="inlineStr">
        <is>
          <t xml:space="preserve">Disp. Casa (und)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E6" s="12">
        <f>IF($H6="","",$N6)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  <c r="E7" s="12">
        <f>IF($H7="","",$N7)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  <c r="E8" s="12">
        <f>IF($H8="","",$N8)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  <c r="E9" s="12">
        <f>IF($H9="","",$N9)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  <c r="E10" s="12">
        <f>IF($H10="","",$N10)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  <c r="E11" s="12">
        <f>IF($H11="","",$N11)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  <c r="E12" s="12">
        <f>IF($H12="","",$N12)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  <c r="E13" s="12">
        <f>IF($H13="","",$N13)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  <c r="E14" s="12">
        <f>IF($H14="","",$N14)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  <c r="E15" s="12">
        <f>IF($H15="","",$N15)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  <c r="E16" s="12">
        <f>IF($H16="","",$N16)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  <c r="E17" s="12">
        <f>IF($H17="","",$N17)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  <c r="E18" s="12">
        <f>IF($H18="","",$N18)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  <c r="E19" s="12">
        <f>IF($H19="","",$N19)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  <c r="E20" s="12">
        <f>IF($H20="","",$N20)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  <c r="E21" s="12">
        <f>IF($H21="","",$N21)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  <c r="E22" s="12">
        <f>IF($H22="","",$N22)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  <c r="E23" s="12">
        <f>IF($H23="","",$N23)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  <c r="E24" s="12">
        <f>IF($H24="","",$N24)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  <c r="E25" s="12">
        <f>IF($H25="","",$N25)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  <c r="E26" s="12">
        <f>IF($H26="","",$N26)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  <c r="E27" s="12">
        <f>IF($H27="","",$N27)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  <c r="E28" s="12">
        <f>IF($H28="","",$N28)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  <c r="E29" s="12">
        <f>IF($H29="","",$N29)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  <c r="E30" s="12">
        <f>IF($H30="","",$N30)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  <c r="E31" s="12">
        <f>IF($H31="","",$N31)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  <c r="E32" s="12">
        <f>IF($H32="","",$N32)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  <c r="E33" s="12">
        <f>IF($H33="","",$N33)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  <c r="E34" s="12">
        <f>IF($H34="","",$N34)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  <c r="E35" s="12">
        <f>IF($H35="","",$N35)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  <c r="E36" s="12">
        <f>IF($H36="","",$N36)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  <c r="E37" s="12">
        <f>IF($H37="","",$N37)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  <c r="E38" s="12">
        <f>IF($H38="","",$N38)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  <c r="E39" s="12">
        <f>IF($H39="","",$N39)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  <c r="E40" s="12">
        <f>IF($H40="","",$N40)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  <c r="E41" s="12">
        <f>IF($H41="","",$N41)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  <c r="E42" s="12">
        <f>IF($H42="","",$N42)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  <c r="E43" s="12">
        <f>IF($H43="","",$N43)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  <c r="E44" s="12">
        <f>IF($H44="","",$N44)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  <c r="E45" s="12">
        <f>IF($H45="","",$N45)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  <c r="E46" s="12">
        <f>IF($H46="","",$N46)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  <c r="E47" s="12">
        <f>IF($H47="","",$N47)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  <c r="E48" s="12">
        <f>IF($H48="","",$N48)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  <c r="E49" s="12">
        <f>IF($H49="","",$N49)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  <c r="E50" s="12">
        <f>IF($H50="","",$N50)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  <c r="E51" s="12">
        <f>IF($H51="","",$N51)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  <c r="E52" s="12">
        <f>IF($H52="","",$N52)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  <c r="E53" s="12">
        <f>IF($H53="","",$N53)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  <c r="E54" s="12">
        <f>IF($H54="","",$N54)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  <c r="E55" s="12">
        <f>IF($H55="","",$N55)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  <c r="E56" s="12">
        <f>IF($H56="","",$N56)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  <c r="E57" s="12">
        <f>IF($H57="","",$N57)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  <c r="E58" s="12">
        <f>IF($H58="","",$N58)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  <c r="E59" s="12">
        <f>IF($H59="","",$N59)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  <c r="E60" s="12">
        <f>IF($H60="","",$N60)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  <c r="E61" s="12">
        <f>IF($H61="","",$N61)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  <c r="E62" s="12">
        <f>IF($H62="","",$N62)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  <c r="E63" s="12">
        <f>IF($H63="","",$N63)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  <c r="E64" s="12">
        <f>IF($H64="","",$N64)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  <c r="E65" s="12">
        <f>IF($H65="","",$N65)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  <c r="E66" s="12">
        <f>IF($H66="","",$N66)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  <c r="E67" s="12">
        <f>IF($H67="","",$N67)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  <c r="E68" s="12">
        <f>IF($H68="","",$N68)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  <c r="E69" s="12">
        <f>IF($H69="","",$N69)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  <c r="E70" s="12">
        <f>IF($H70="","",$N70)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  <c r="E71" s="12">
        <f>IF($H71="","",$N71)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  <c r="E72" s="12">
        <f>IF($H72="","",$N72)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  <c r="E73" s="12">
        <f>IF($H73="","",$N73)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  <c r="E74" s="12">
        <f>IF($H74="","",$N74)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  <c r="E75" s="12">
        <f>IF($H75="","",$N75)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  <c r="E76" s="12">
        <f>IF($H76="","",$N76)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  <c r="E77" s="12">
        <f>IF($H77="","",$N77)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  <c r="E78" s="12">
        <f>IF($H78="","",$N78)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  <c r="E79" s="12">
        <f>IF($H79="","",$N79)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  <c r="E80" s="12">
        <f>IF($H80="","",$N80)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  <c r="E81" s="12">
        <f>IF($H81="","",$N81)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  <c r="E82" s="12">
        <f>IF($H82="","",$N82)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  <c r="E83" s="12">
        <f>IF($H83="","",$N83)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  <c r="E84" s="12">
        <f>IF($H84="","",$N84)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  <c r="E85" s="12">
        <f>IF($H85="","",$N85)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  <c r="E86" s="12">
        <f>IF($H86="","",$N86)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  <c r="E87" s="12">
        <f>IF($H87="","",$N87)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  <c r="E88" s="12">
        <f>IF($H88="","",$N88)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  <c r="E89" s="12">
        <f>IF($H89="","",$N89)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  <c r="E90" s="12">
        <f>IF($H90="","",$N90)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  <c r="E91" s="12">
        <f>IF($H91="","",$N91)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  <c r="E92" s="12">
        <f>IF($H92="","",$N92)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  <c r="E93" s="12">
        <f>IF($H93="","",$N93)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  <c r="E94" s="12">
        <f>IF($H94="","",$N94)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  <c r="E95" s="12">
        <f>IF($H95="","",$N95)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  <c r="E96" s="12">
        <f>IF($H96="","",$N96)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  <c r="E97" s="12">
        <f>IF($H97="","",$N97)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  <c r="E98" s="12">
        <f>IF($H98="","",$N98)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  <c r="E99" s="12">
        <f>IF($H99="","",$N99)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  <c r="E100" s="12">
        <f>IF($H100="","",$N100)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  <c r="E101" s="12">
        <f>IF($H101="","",$N101)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  <c r="E102" s="12">
        <f>IF($H102="","",$N102)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  <c r="E103" s="12">
        <f>IF($H103="","",$N103)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  <c r="E104" s="12">
        <f>IF($H104="","",$N104)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  <c r="E105" s="12">
        <f>IF($H105="","",$N105)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  <c r="E106" s="12">
        <f>IF($H106="","",$N106)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  <c r="E107" s="12">
        <f>IF($H107="","",$N107)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  <c r="E108" s="12">
        <f>IF($H108="","",$N108)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  <c r="E109" s="12">
        <f>IF($H109="","",$N109)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  <c r="E110" s="12">
        <f>IF($H110="","",$N110)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  <c r="E111" s="12">
        <f>IF($H111="","",$N111)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  <c r="E112" s="12">
        <f>IF($H112="","",$N112)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  <c r="E113" s="12">
        <f>IF($H113="","",$N113)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  <c r="E114" s="12">
        <f>IF($H114="","",$N114)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  <c r="E115" s="12">
        <f>IF($H115="","",$N115)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  <c r="E116" s="12">
        <f>IF($H116="","",$N116)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  <c r="E117" s="12">
        <f>IF($H117="","",$N117)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  <c r="E118" s="12">
        <f>IF($H118="","",$N118)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  <c r="E119" s="12">
        <f>IF($H119="","",$N119)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  <c r="E120" s="12">
        <f>IF($H120="","",$N120)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  <c r="E121" s="12">
        <f>IF($H121="","",$N121)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  <c r="E122" s="12">
        <f>IF($H122="","",$N122)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  <c r="E123" s="12">
        <f>IF($H123="","",$N123)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  <c r="E124" s="12">
        <f>IF($H124="","",$N124)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  <c r="E125" s="12">
        <f>IF($H125="","",$N125)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  <c r="E126" s="12">
        <f>IF($H126="","",$N126)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  <c r="E127" s="12">
        <f>IF($H127="","",$N127)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  <c r="E128" s="12">
        <f>IF($H128="","",$N128)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  <c r="E129" s="12">
        <f>IF($H129="","",$N129)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  <c r="E130" s="12">
        <f>IF($H130="","",$N130)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  <c r="E131" s="12">
        <f>IF($H131="","",$N131)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  <c r="E132" s="12">
        <f>IF($H132="","",$N132)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  <c r="E133" s="12">
        <f>IF($H133="","",$N133)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  <c r="E134" s="12">
        <f>IF($H134="","",$N134)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  <c r="E135" s="12">
        <f>IF($H135="","",$N135)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  <c r="E136" s="12">
        <f>IF($H136="","",$N136)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  <c r="E137" s="12">
        <f>IF($H137="","",$N137)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  <c r="E138" s="12">
        <f>IF($H138="","",$N138)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  <c r="E139" s="12">
        <f>IF($H139="","",$N139)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  <c r="E140" s="12">
        <f>IF($H140="","",$N140)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  <c r="E141" s="12">
        <f>IF($H141="","",$N141)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  <c r="E142" s="12">
        <f>IF($H142="","",$N142)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  <c r="E143" s="12">
        <f>IF($H143="","",$N143)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  <c r="E144" s="12">
        <f>IF($H144="","",$N144)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  <c r="E145" s="12">
        <f>IF($H145="","",$N145)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  <c r="E146" s="12">
        <f>IF($H146="","",$N146)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  <c r="E147" s="12">
        <f>IF($H147="","",$N147)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  <c r="E148" s="12">
        <f>IF($H148="","",$N148)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  <c r="E149" s="12">
        <f>IF($H149="","",$N149)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  <c r="E150" s="12">
        <f>IF($H150="","",$N150)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  <c r="E151" s="12">
        <f>IF($H151="","",$N151)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  <c r="E152" s="12">
        <f>IF($H152="","",$N152)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  <c r="E153" s="12">
        <f>IF($H153="","",$N153)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  <c r="E154" s="12">
        <f>IF($H154="","",$N154)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  <c r="E155" s="12">
        <f>IF($H155="","",$N155)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  <c r="E156" s="12">
        <f>IF($H156="","",$N156)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  <c r="E157" s="12">
        <f>IF($H157="","",$N157)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  <c r="E158" s="12">
        <f>IF($H158="","",$N158)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  <c r="E159" s="12">
        <f>IF($H159="","",$N159)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  <c r="E160" s="12">
        <f>IF($H160="","",$N160)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  <c r="E161" s="12">
        <f>IF($H161="","",$N161)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  <c r="E162" s="12">
        <f>IF($H162="","",$N162)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  <c r="E163" s="12">
        <f>IF($H163="","",$N163)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  <c r="E164" s="12">
        <f>IF($H164="","",$N164)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  <c r="E165" s="12">
        <f>IF($H165="","",$N165)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  <c r="E166" s="12">
        <f>IF($H166="","",$N166)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  <c r="E167" s="12">
        <f>IF($H167="","",$N167)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  <c r="E168" s="12">
        <f>IF($H168="","",$N168)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  <c r="E169" s="12">
        <f>IF($H169="","",$N169)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  <c r="E170" s="12">
        <f>IF($H170="","",$N170)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  <c r="E171" s="12">
        <f>IF($H171="","",$N171)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  <c r="E172" s="12">
        <f>IF($H172="","",$N172)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  <c r="E173" s="12">
        <f>IF($H173="","",$N173)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  <c r="E174" s="12">
        <f>IF($H174="","",$N174)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  <c r="E175" s="12">
        <f>IF($H175="","",$N175)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  <c r="E176" s="12">
        <f>IF($H176="","",$N176)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  <c r="E177" s="12">
        <f>IF($H177="","",$N177)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  <c r="E178" s="12">
        <f>IF($H178="","",$N178)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  <c r="E179" s="12">
        <f>IF($H179="","",$N179)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  <c r="E180" s="12">
        <f>IF($H180="","",$N180)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  <c r="E181" s="12">
        <f>IF($H181="","",$N181)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  <c r="E182" s="12">
        <f>IF($H182="","",$N182)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  <c r="E183" s="12">
        <f>IF($H183="","",$N183)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  <c r="E184" s="12">
        <f>IF($H184="","",$N184)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  <c r="E185" s="12">
        <f>IF($H185="","",$N185)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  <c r="E186" s="12">
        <f>IF($H186="","",$N186)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  <c r="E187" s="12">
        <f>IF($H187="","",$N187)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  <c r="E188" s="12">
        <f>IF($H188="","",$N188)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  <c r="E189" s="12">
        <f>IF($H189="","",$N189)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  <c r="E190" s="12">
        <f>IF($H190="","",$N190)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  <c r="E191" s="12">
        <f>IF($H191="","",$N191)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  <c r="E192" s="12">
        <f>IF($H192="","",$N192)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  <c r="E193" s="12">
        <f>IF($H193="","",$N193)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  <c r="E194" s="12">
        <f>IF($H194="","",$N194)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  <c r="E195" s="12">
        <f>IF($H195="","",$N195)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  <c r="E196" s="12">
        <f>IF($H196="","",$N196)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  <c r="E197" s="12">
        <f>IF($H197="","",$N197)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  <c r="E198" s="12">
        <f>IF($H198="","",$N198)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  <c r="E199" s="12">
        <f>IF($H199="","",$N199)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  <c r="E200" s="12">
        <f>IF($H200="","",$N200)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  <c r="E201" s="12">
        <f>IF($H201="","",$N201)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  <c r="E202" s="12">
        <f>IF($H202="","",$N202)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  <c r="E203" s="12">
        <f>IF($H203="","",$N203)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  <c r="E204" s="12">
        <f>IF($H204="","",$N204)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  <c r="E205" s="12">
        <f>IF($H205="","",$N205)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  <c r="E206" s="12">
        <f>IF($H206="","",$N206)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  <c r="E207" s="12">
        <f>IF($H207="","",$N207)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  <c r="E208" s="12">
        <f>IF($H208="","",$N208)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  <c r="E209" s="12">
        <f>IF($H209="","",$N209)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  <c r="E210" s="12">
        <f>IF($H210="","",$N210)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  <c r="E211" s="12">
        <f>IF($H211="","",$N211)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  <c r="E212" s="12">
        <f>IF($H212="","",$N212)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  <c r="E213" s="12">
        <f>IF($H213="","",$N213)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  <c r="E214" s="12">
        <f>IF($H214="","",$N214)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  <c r="E215" s="12">
        <f>IF($H215="","",$N215)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  <c r="E216" s="12">
        <f>IF($H216="","",$N216)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  <c r="E217" s="12">
        <f>IF($H217="","",$N217)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  <c r="E218" s="12">
        <f>IF($H218="","",$N218)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  <c r="E219" s="12">
        <f>IF($H219="","",$N219)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  <c r="E220" s="12">
        <f>IF($H220="","",$N220)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  <c r="E221" s="12">
        <f>IF($H221="","",$N221)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  <c r="E222" s="12">
        <f>IF($H222="","",$N222)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  <c r="E223" s="12">
        <f>IF($H223="","",$N223)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  <c r="E224" s="12">
        <f>IF($H224="","",$N224)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  <c r="E225" s="12">
        <f>IF($H225="","",$N225)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  <c r="E226" s="12">
        <f>IF($H226="","",$N226)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  <c r="E227" s="12">
        <f>IF($H227="","",$N227)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  <c r="E228" s="12">
        <f>IF($H228="","",$N228)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  <c r="E229" s="12">
        <f>IF($H229="","",$N229)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  <c r="E230" s="12">
        <f>IF($H230="","",$N230)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  <c r="E231" s="12">
        <f>IF($H231="","",$N231)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  <c r="E232" s="12">
        <f>IF($H232="","",$N232)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  <c r="E233" s="12">
        <f>IF($H233="","",$N233)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  <c r="E234" s="12">
        <f>IF($H234="","",$N234)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  <c r="E235" s="12">
        <f>IF($H235="","",$N235)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  <c r="E236" s="12">
        <f>IF($H236="","",$N236)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  <c r="E237" s="12">
        <f>IF($H237="","",$N237)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  <c r="E238" s="12">
        <f>IF($H238="","",$N238)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  <c r="E239" s="12">
        <f>IF($H239="","",$N239)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  <c r="E240" s="12">
        <f>IF($H240="","",$N240)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  <c r="E241" s="12">
        <f>IF($H241="","",$N241)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  <c r="E242" s="12">
        <f>IF($H242="","",$N242)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  <c r="E243" s="12">
        <f>IF($H243="","",$N243)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  <c r="E244" s="12">
        <f>IF($H244="","",$N244)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  <c r="E245" s="12">
        <f>IF($H245="","",$N245)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  <c r="E246" s="12">
        <f>IF($H246="","",$N246)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  <c r="E247" s="12">
        <f>IF($H247="","",$N247)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  <c r="E248" s="12">
        <f>IF($H248="","",$N248)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  <c r="E249" s="12">
        <f>IF($H249="","",$N249)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  <c r="E250" s="12">
        <f>IF($H250="","",$N250)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  <c r="E251" s="12">
        <f>IF($H251="","",$N251)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  <c r="E252" s="12">
        <f>IF($H252="","",$N252)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  <c r="E253" s="12">
        <f>IF($H253="","",$N253)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  <c r="E254" s="12">
        <f>IF($H254="","",$N254)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  <c r="E255" s="12">
        <f>IF($H255="","",$N255)</f>
      </c>
    </row>
  </sheetData>
  <mergeCells count="2">
    <mergeCell ref="A1:E1"/>
    <mergeCell ref="A2:E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20.00" customWidth="1"/>
    <col min="16" max="16" width="200.00" customWidth="1"/>
    <col min="18" max="18" width="24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Tarjetas de crédito</t>
        </is>
      </c>
      <c r="P1" s="6" t="inlineStr">
        <is>
          <t xml:space="preserve">Billeteras (formas de cobro)</t>
        </is>
      </c>
      <c r="R1" s="6" t="inlineStr">
        <is>
          <t xml:space="preserve">Medio de compra (billetera o tarjeta)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TC Bancolombia 1 (1517)</t>
        </is>
      </c>
      <c r="P2" s="9" t="inlineStr">
        <is>
          <t xml:space="preserve">Efectivo</t>
        </is>
      </c>
      <c r="R2" s="9" t="inlineStr">
        <is>
          <t xml:space="preserve">Inventario inicial (ya pagado)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TC Bancolombia 2 (0554)</t>
        </is>
      </c>
      <c r="P3" s="9" t="inlineStr">
        <is>
          <t xml:space="preserve">Nequi</t>
        </is>
      </c>
      <c r="R3" s="9" t="inlineStr">
        <is>
          <t xml:space="preserve">Efectivo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TC Bancolombia 3 (4582)</t>
        </is>
      </c>
      <c r="P4" s="9" t="inlineStr">
        <is>
          <t xml:space="preserve">Bancolombia</t>
        </is>
      </c>
      <c r="R4" s="9" t="inlineStr">
        <is>
          <t xml:space="preserve">Nequi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TC Bancolombia 4 (8366)</t>
        </is>
      </c>
      <c r="P5" s="9" t="inlineStr">
        <is>
          <t xml:space="preserve">Bancolombia MM</t>
        </is>
      </c>
      <c r="R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TC Bancolombia 5 (0623)</t>
        </is>
      </c>
      <c r="P6" s="9" t="inlineStr">
        <is>
          <t xml:space="preserve">Daviplata</t>
        </is>
      </c>
      <c r="R6" s="9" t="inlineStr">
        <is>
          <t xml:space="preserve">Bancolombia MM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TC Bancolombia MM 6 (6423)</t>
        </is>
      </c>
      <c r="P7" s="9" t="inlineStr">
        <is>
          <t xml:space="preserve">Davivienda</t>
        </is>
      </c>
      <c r="R7" s="9" t="inlineStr">
        <is>
          <t xml:space="preserve">Daviplata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TC Bancolombia MM 7 (2459)</t>
        </is>
      </c>
      <c r="P8" s="9" t="inlineStr">
        <is>
          <t xml:space="preserve">Mercado Libre</t>
        </is>
      </c>
      <c r="R8" s="9" t="inlineStr">
        <is>
          <t xml:space="preserve">Davivienda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TC NU 8 (3750)</t>
        </is>
      </c>
      <c r="P9" s="9" t="inlineStr">
        <is>
          <t xml:space="preserve">Skydrops</t>
        </is>
      </c>
      <c r="R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  <c r="R10" s="9" t="inlineStr">
        <is>
          <t xml:space="preserve">Skydrops</t>
        </is>
      </c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  <c r="R11" s="9" t="inlineStr">
        <is>
          <t xml:space="preserve">TC Bancolombia 1 (1517)</t>
        </is>
      </c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  <c r="R12" s="9" t="inlineStr">
        <is>
          <t xml:space="preserve">TC Bancolombia 2 (0554)</t>
        </is>
      </c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  <c r="R13" s="9" t="inlineStr">
        <is>
          <t xml:space="preserve">TC Bancolombia 3 (4582)</t>
        </is>
      </c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  <c r="R14" s="9" t="inlineStr">
        <is>
          <t xml:space="preserve">TC Bancolombia 4 (8366)</t>
        </is>
      </c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  <c r="R15" s="9" t="inlineStr">
        <is>
          <t xml:space="preserve">TC Bancolombia 5 (0623)</t>
        </is>
      </c>
    </row>
    <row r="16">
      <c r="D16" s="20"/>
      <c r="E16" s="21"/>
      <c r="L16" s="9">
        <f>IF($D15="","",$D15)</f>
      </c>
      <c r="N16" s="20"/>
      <c r="P16" s="20"/>
      <c r="R16" s="9" t="inlineStr">
        <is>
          <t xml:space="preserve">TC Bancolombia MM 6 (6423)</t>
        </is>
      </c>
    </row>
    <row r="17">
      <c r="D17" s="20"/>
      <c r="E17" s="21"/>
      <c r="L17" s="9">
        <f>IF($D16="","",$D16)</f>
      </c>
      <c r="N17" s="20"/>
      <c r="P17" s="20"/>
      <c r="R17" s="9" t="inlineStr">
        <is>
          <t xml:space="preserve">TC Bancolombia MM 7 (2459)</t>
        </is>
      </c>
    </row>
    <row r="18">
      <c r="D18" s="20"/>
      <c r="E18" s="21"/>
      <c r="L18" s="9">
        <f>IF($D17="","",$D17)</f>
      </c>
      <c r="N18" s="20"/>
      <c r="P18" s="20"/>
      <c r="R18" s="9" t="inlineStr">
        <is>
          <t xml:space="preserve">TC NU 8 (3750)</t>
        </is>
      </c>
    </row>
    <row r="19">
      <c r="D19" s="20"/>
      <c r="E19" s="21"/>
      <c r="L19" s="9">
        <f>IF($D18="","",$D18)</f>
      </c>
      <c r="N19" s="20"/>
      <c r="P19" s="20"/>
      <c r="R19" s="20"/>
    </row>
    <row r="20">
      <c r="D20" s="20"/>
      <c r="E20" s="21"/>
      <c r="L20" s="9">
        <f>IF($D19="","",$D19)</f>
      </c>
      <c r="N20" s="20"/>
      <c r="P20" s="20"/>
      <c r="R20" s="20"/>
    </row>
    <row r="21">
      <c r="D21" s="20"/>
      <c r="E21" s="21"/>
      <c r="L21" s="9">
        <f>IF($D20="","",$D20)</f>
      </c>
      <c r="R21" s="20"/>
    </row>
    <row r="22">
      <c r="D22" s="20"/>
      <c r="E22" s="21"/>
      <c r="L22" s="9">
        <f>IF($D21="","",$D21)</f>
      </c>
      <c r="R22" s="20"/>
    </row>
    <row r="23">
      <c r="D23" s="20"/>
      <c r="E23" s="21"/>
      <c r="L23" s="9">
        <f>IF($D22="","",$D22)</f>
      </c>
      <c r="R23" s="20"/>
    </row>
    <row r="24">
      <c r="D24" s="20"/>
      <c r="E24" s="21"/>
      <c r="L24" s="9">
        <f>IF($D23="","",$D23)</f>
      </c>
      <c r="R24" s="20"/>
    </row>
    <row r="25">
      <c r="D25" s="20"/>
      <c r="E25" s="21"/>
      <c r="L25" s="9">
        <f>IF($D24="","",$D24)</f>
      </c>
      <c r="R25" s="20"/>
    </row>
    <row r="26">
      <c r="D26" s="20"/>
      <c r="E26" s="21"/>
      <c r="L26" s="9">
        <f>IF($D25="","",$D25)</f>
      </c>
      <c r="R26" s="20"/>
    </row>
    <row r="27">
      <c r="D27" s="20"/>
      <c r="E27" s="21"/>
      <c r="L27" s="9">
        <f>IF($D26="","",$D26)</f>
      </c>
      <c r="R27" s="20"/>
    </row>
    <row r="28">
      <c r="D28" s="20"/>
      <c r="E28" s="21"/>
      <c r="L28" s="9">
        <f>IF($D27="","",$D27)</f>
      </c>
      <c r="R28" s="20"/>
    </row>
    <row r="29">
      <c r="D29" s="20"/>
      <c r="E29" s="21"/>
      <c r="L29" s="9">
        <f>IF($D28="","",$D28)</f>
      </c>
      <c r="R29" s="20"/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