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Traslados" sheetId="6" r:id="rId6"/>
    <sheet name="Ajustes" sheetId="7" r:id="rId7"/>
    <sheet name="Préstamos" sheetId="8" r:id="rId8"/>
    <sheet name="Abonos Préstamos" sheetId="9" r:id="rId9"/>
    <sheet name="Inventario" sheetId="10" r:id="rId10"/>
    <sheet name="Clientes" sheetId="11" r:id="rId11"/>
    <sheet name="Factura" sheetId="12" r:id="rId12"/>
    <sheet name="Catálogo Venta" sheetId="13" r:id="rId13"/>
    <sheet name="Config" sheetId="14" r:id="rId14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>
        <v>46178</v>
      </c>
      <c r="P2" s="17">
        <f>IF(OR($B2="",$O2=""),"",$O2-$A2)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>
        <v>46177</v>
      </c>
      <c r="P3" s="17">
        <f>IF(OR($B3="",$O3=""),"",$O3-$A3)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>
        <v>46180</v>
      </c>
      <c r="P4" s="17">
        <f>IF(OR($B4="",$O4=""),"",$O4-$A4)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>
        <v>46179</v>
      </c>
      <c r="P5" s="17">
        <f>IF(OR($B5="",$O5=""),"",$O5-$A5)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>
        <v>46182</v>
      </c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5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Daviplata</t>
        </is>
      </c>
      <c r="B8" s="11">
        <f>SUMIFS('Ventas'!$H:$H,'Ventas'!$A:$A,$B$3,'Ventas'!$O:$O,"Daviplata")</f>
      </c>
    </row>
    <row r="9">
      <c r="A9" s="7" t="inlineStr">
        <is>
          <t xml:space="preserve">Bancolombia</t>
        </is>
      </c>
      <c r="B9" s="11">
        <f>SUMIFS('Ventas'!$H:$H,'Ventas'!$A:$A,$B$3,'Ventas'!$O:$O,"Bancolombia")</f>
      </c>
    </row>
    <row r="10">
      <c r="A10" s="7" t="inlineStr">
        <is>
          <t xml:space="preserve">Davivienda</t>
        </is>
      </c>
      <c r="B10" s="11">
        <f>SUMIFS('Ventas'!$H:$H,'Ventas'!$A:$A,$B$3,'Ventas'!$O:$O,"Davivienda")</f>
      </c>
    </row>
    <row r="11">
      <c r="A11" s="7" t="inlineStr">
        <is>
          <t xml:space="preserve">BBVA</t>
        </is>
      </c>
      <c r="B11" s="11">
        <f>SUMIFS('Ventas'!$H:$H,'Ventas'!$A:$A,$B$3,'Ventas'!$O:$O,"BBVA")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− Salidas en efectivo (gastos / préstamos dados) →</t>
        </is>
      </c>
      <c r="B39" s="22"/>
    </row>
    <row r="40">
      <c r="A40" s="34" t="inlineStr">
        <is>
          <t xml:space="preserve">= EFECTIVO QUE DEBERÍA HABER</t>
        </is>
      </c>
      <c r="B40" s="35">
        <f>$B$36+$B$37+$B$38-$B$39</f>
      </c>
    </row>
    <row r="41">
      <c r="A41" s="7" t="inlineStr">
        <is>
          <t xml:space="preserve">Efectivo realmente contado en caja →</t>
        </is>
      </c>
      <c r="B41" s="22"/>
    </row>
    <row r="42">
      <c r="A42" s="34" t="inlineStr">
        <is>
          <t xml:space="preserve">DIFERENCIA (contado − esperado)</t>
        </is>
      </c>
      <c r="B42" s="35">
        <f>$B$41-$B$40</f>
      </c>
      <c r="C42" s="9">
        <f>IF($B$41="","Cuenta el efectivo y escríbelo arriba",IF(ROUND($B$42,0)=0,"✅ CUADRA",IF($B$42&gt;0,"🔵 Sobra efectivo","🔴 Falta efectivo")))</f>
      </c>
    </row>
    <row r="44">
      <c r="A44" s="5" t="inlineStr">
        <is>
          <t xml:space="preserve">HISTORIAL — últimos 30 días</t>
        </is>
      </c>
    </row>
    <row r="45">
      <c r="A45" s="1" t="inlineStr">
        <is>
          <t xml:space="preserve">Día</t>
        </is>
      </c>
      <c r="B45" s="1" t="inlineStr">
        <is>
          <t xml:space="preserve">Ventas a caja</t>
        </is>
      </c>
      <c r="C45" s="1" t="inlineStr">
        <is>
          <t xml:space="preserve">Ganancia neta</t>
        </is>
      </c>
    </row>
    <row r="46">
      <c r="A46" s="14">
        <f>TODAY()-0</f>
      </c>
      <c r="B46" s="11">
        <f>SUMIFS('Ventas'!$H:$H,'Ventas'!$A:$A,$A46)-SUMIFS('Ventas'!$H:$H,'Ventas'!$A:$A,$A46,'Ventas'!$O:$O,"Mercado Libre")</f>
      </c>
      <c r="C46" s="11">
        <f>SUMIFS('Ventas'!$L:$L,'Ventas'!$A:$A,$A46)</f>
      </c>
    </row>
    <row r="47">
      <c r="A47" s="14">
        <f>TODAY()-1</f>
      </c>
      <c r="B47" s="11">
        <f>SUMIFS('Ventas'!$H:$H,'Ventas'!$A:$A,$A47)-SUMIFS('Ventas'!$H:$H,'Ventas'!$A:$A,$A47,'Ventas'!$O:$O,"Mercado Libre")</f>
      </c>
      <c r="C47" s="11">
        <f>SUMIFS('Ventas'!$L:$L,'Ventas'!$A:$A,$A47)</f>
      </c>
    </row>
    <row r="48">
      <c r="A48" s="14">
        <f>TODAY()-2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TODAY()-3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TODAY()-4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TODAY()-5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TODAY()-6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TODAY()-7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TODAY()-8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TODAY()-9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TODAY()-10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TODAY()-11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TODAY()-12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TODAY()-13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TODAY()-14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TODAY()-15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TODAY()-16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TODAY()-17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TODAY()-18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TODAY()-19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TODAY()-20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TODAY()-21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TODAY()-22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TODAY()-23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TODAY()-24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TODAY()-25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TODAY()-26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TODAY()-27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TODAY()-28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TODAY()-29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</sheetData>
  <mergeCells count="7">
    <mergeCell ref="A1:C1"/>
    <mergeCell ref="A5:C5"/>
    <mergeCell ref="A17:C17"/>
    <mergeCell ref="A20:C20"/>
    <mergeCell ref="A28:C28"/>
    <mergeCell ref="A35:C35"/>
    <mergeCell ref="A44:C44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Efectivo</t>
        </is>
      </c>
      <c r="E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Nequi</t>
        </is>
      </c>
      <c r="E3" s="20" t="inlineStr">
        <is>
          <t xml:space="preserve">Pagó todo</t>
        </is>
      </c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>FAC-0001</t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P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  <col min="16" max="16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  <c r="P1" s="6" t="inlineStr">
        <is>
          <t xml:space="preserve">Formas de cobro (ventas)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  <c r="P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  <c r="P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  <c r="P4" s="9" t="inlineStr">
        <is>
          <t xml:space="preserve">Daviplata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  <c r="P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  <c r="P6" s="9" t="inlineStr">
        <is>
          <t xml:space="preserve">Davivienda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  <c r="P7" s="9" t="inlineStr">
        <is>
          <t xml:space="preserve">BBVA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  <c r="P8" s="9" t="inlineStr">
        <is>
          <t xml:space="preserve">Skydrops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  <c r="P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</row>
    <row r="16">
      <c r="D16" s="20"/>
      <c r="E16" s="21"/>
      <c r="L16" s="9">
        <f>IF($D15="","",$D15)</f>
      </c>
      <c r="N16" s="20"/>
      <c r="P16" s="20"/>
    </row>
    <row r="17">
      <c r="D17" s="20"/>
      <c r="E17" s="21"/>
      <c r="L17" s="9">
        <f>IF($D16="","",$D16)</f>
      </c>
      <c r="N17" s="20"/>
      <c r="P17" s="20"/>
    </row>
    <row r="18">
      <c r="D18" s="20"/>
      <c r="E18" s="21"/>
      <c r="L18" s="9">
        <f>IF($D17="","",$D17)</f>
      </c>
      <c r="N18" s="20"/>
      <c r="P18" s="20"/>
    </row>
    <row r="19">
      <c r="D19" s="20"/>
      <c r="E19" s="21"/>
      <c r="L19" s="9">
        <f>IF($D18="","",$D18)</f>
      </c>
      <c r="N19" s="20"/>
      <c r="P19" s="20"/>
    </row>
    <row r="20">
      <c r="D20" s="20"/>
      <c r="E20" s="21"/>
      <c r="L20" s="9">
        <f>IF($D19="","",$D19)</f>
      </c>
      <c r="N20" s="20"/>
      <c r="P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