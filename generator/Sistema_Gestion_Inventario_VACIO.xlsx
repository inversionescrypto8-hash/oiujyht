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Catálogo" sheetId="2" r:id="rId2"/>
    <sheet name="Compras" sheetId="3" r:id="rId3"/>
    <sheet name="Ventas" sheetId="4" r:id="rId4"/>
    <sheet name="Cierre Diario" sheetId="5" r:id="rId5"/>
    <sheet name="Billeteras" sheetId="6" r:id="rId6"/>
    <sheet name="Tarjetas" sheetId="7" r:id="rId7"/>
    <sheet name="Movimientos" sheetId="8" r:id="rId8"/>
    <sheet name="Pagos Tarjeta" sheetId="9" r:id="rId9"/>
    <sheet name="Traslados" sheetId="10" r:id="rId10"/>
    <sheet name="Ajustes" sheetId="11" r:id="rId11"/>
    <sheet name="Préstamos" sheetId="12" r:id="rId12"/>
    <sheet name="Abonos Préstamos" sheetId="13" r:id="rId13"/>
    <sheet name="Inventario" sheetId="14" r:id="rId14"/>
    <sheet name="Clientes" sheetId="15" r:id="rId15"/>
    <sheet name="Factura" sheetId="16" r:id="rId16"/>
    <sheet name="Catálogo Venta" sheetId="17" r:id="rId17"/>
    <sheet name="Config" sheetId="18" r:id="rId18"/>
  </sheets>
  <definedNames>
    <definedName name="_xlnm.Print_Area" localSheetId="15">'Factura'!$A$1:$F$33</definedName>
    <definedName name="_xlnm.Print_Area" localSheetId="16">'Catálogo Venta'!$A$1:$E$120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&quot;$ &quot;#,##0"/>
    <numFmt numFmtId="165" formatCode="#,##0"/>
    <numFmt numFmtId="166" formatCode="0.0%"/>
    <numFmt numFmtId="167" formatCode="dd/mm/yyyy"/>
    <numFmt numFmtId="168" formatCode="+#,##0;\-#,##0;0"/>
  </numFmts>
  <fonts count="17">
    <font>
      <sz val="11"/>
      <color rgb="FF2C3E50"/>
      <name val="Arial"/>
    </font>
    <font>
      <b/>
      <sz val="10"/>
      <color rgb="FFFFFFFF"/>
      <name val="Arial"/>
    </font>
    <font>
      <b/>
      <sz val="11"/>
      <color rgb="FF2C3E50"/>
      <name val="Arial"/>
    </font>
    <font>
      <b/>
      <sz val="20"/>
      <color rgb="FFFFFFFF"/>
      <name val="Arial"/>
    </font>
    <font>
      <b/>
      <sz val="11"/>
      <color rgb="FFFFFFFF"/>
      <name val="Arial"/>
    </font>
    <font>
      <b/>
      <sz val="11"/>
      <color rgb="FFC0392B"/>
      <name val="Arial"/>
    </font>
    <font>
      <sz val="11"/>
      <color rgb="FF2E6DA4"/>
      <name val="Arial"/>
    </font>
    <font>
      <sz val="8"/>
      <color rgb="FF95A5A6"/>
      <name val="Arial"/>
    </font>
    <font>
      <b/>
      <sz val="13"/>
      <color rgb="FFFFFFFF"/>
      <name val="Arial"/>
    </font>
    <font>
      <b/>
      <sz val="18"/>
      <color rgb="FF1F3A5F"/>
      <name val="Arial"/>
    </font>
    <font>
      <b/>
      <sz val="18"/>
      <color rgb="FFFFFFFF"/>
      <name val="Arial"/>
    </font>
    <font>
      <b/>
      <sz val="16"/>
      <color rgb="FF1F3A5F"/>
      <name val="Arial"/>
    </font>
    <font>
      <b/>
      <sz val="13"/>
      <color rgb="FFFFFFFF"/>
      <name val="Arial"/>
    </font>
    <font>
      <b/>
      <sz val="12"/>
      <color rgb="FF1F3A5F"/>
      <name val="Arial"/>
    </font>
    <font>
      <b/>
      <sz val="12"/>
      <color rgb="FF1F3A5F"/>
      <name val="Arial"/>
    </font>
    <font>
      <b/>
      <sz val="16"/>
      <color rgb="FF16A085"/>
      <name val="Arial"/>
    </font>
    <font>
      <b/>
      <sz val="22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right" vertical="center"/>
    </xf>
    <xf numFmtId="165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167" fontId="0" fillId="6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64" fontId="15" fillId="0" borderId="1" xfId="0" applyNumberFormat="1" applyFont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workbookViewId="0" showGridLines="0">
      <pane xSplit="0" ySplit="2" topLeftCell="A3" activePane="bottomRight" state="frozen"/>
      <selection pane="bottomRight" activeCell="A3" sqref="A3"/>
    </sheetView>
  </sheetViews>
  <sheetFormatPr defaultRowHeight="15"/>
  <cols>
    <col min="1" max="1" width="13.00" customWidth="1"/>
    <col min="2" max="2" width="13.00" customWidth="1"/>
    <col min="3" max="3" width="13.00" customWidth="1"/>
    <col min="4" max="4" width="13.00" customWidth="1"/>
    <col min="5" max="5" width="13.00" customWidth="1"/>
    <col min="6" max="6" width="13.00" customWidth="1"/>
    <col min="7" max="7" width="13.00" customWidth="1"/>
    <col min="8" max="8" width="13.00" customWidth="1"/>
    <col min="9" max="9" width="13.00" customWidth="1"/>
    <col min="10" max="10" width="13.00" customWidth="1"/>
    <col min="11" max="11" width="13.00" customWidth="1"/>
    <col min="12" max="12" width="13.00" customWidth="1"/>
    <col min="16" max="16" width="8.00" customWidth="1"/>
    <col min="17" max="17" width="8.00" customWidth="1"/>
    <col min="18" max="18" width="8.00" customWidth="1"/>
  </cols>
  <sheetData>
    <row r="1" ht="40.00" customHeight="1">
      <c r="A1" s="2" t="inlineStr">
        <is>
          <t xml:space="preserve">DASHBOARD EJECUTIVO</t>
        </is>
      </c>
    </row>
    <row r="2" ht="22.00" customHeight="1">
      <c r="A2" s="6">
        <f>"Mes en curso: "&amp;TEXT(TODAY(),"mmmm yyyy")&amp;"   ·   Actualizado: "&amp;TEXT(NOW(),"dd/mm/yyyy hh:mm")</f>
      </c>
      <c r="P2" s="0">
        <f>IF('Catálogo'!$A2="","",'Catálogo'!$B2)</f>
      </c>
      <c r="Q2" s="0">
        <f>IF('Catálogo'!$A2="","",SUMIF('Ventas'!$D:$D,'Catálogo'!$A2,'Ventas'!$F:$F))</f>
      </c>
      <c r="R2" s="0">
        <f>IF('Catálogo'!$A2="","",$Q2+ROW()/100000)</f>
      </c>
    </row>
    <row r="3">
      <c r="P3" s="0">
        <f>IF('Catálogo'!$A3="","",'Catálogo'!$B3)</f>
      </c>
      <c r="Q3" s="0">
        <f>IF('Catálogo'!$A3="","",SUMIF('Ventas'!$D:$D,'Catálogo'!$A3,'Ventas'!$F:$F))</f>
      </c>
      <c r="R3" s="0">
        <f>IF('Catálogo'!$A3="","",$Q3+ROW()/100000)</f>
      </c>
    </row>
    <row r="4" ht="22.00" customHeight="1">
      <c r="A4" s="24" t="inlineStr">
        <is>
          <t xml:space="preserve">VENTAS DEL MES</t>
        </is>
      </c>
      <c r="D4" s="25" t="inlineStr">
        <is>
          <t xml:space="preserve">GANANCIA DEL MES</t>
        </is>
      </c>
      <c r="G4" s="26" t="inlineStr">
        <is>
          <t xml:space="preserve">COMPRAS DEL MES</t>
        </is>
      </c>
      <c r="J4" s="27" t="inlineStr">
        <is>
          <t xml:space="preserve">VALOR DEL INVENTARIO</t>
        </is>
      </c>
      <c r="P4" s="0">
        <f>IF('Catálogo'!$A4="","",'Catálogo'!$B4)</f>
      </c>
      <c r="Q4" s="0">
        <f>IF('Catálogo'!$A4="","",SUMIF('Ventas'!$D:$D,'Catálogo'!$A4,'Ventas'!$F:$F))</f>
      </c>
      <c r="R4" s="0">
        <f>IF('Catálogo'!$A4="","",$Q4+ROW()/100000)</f>
      </c>
    </row>
    <row r="5" ht="38.00" customHeight="1">
      <c r="A5" s="30">
        <f>SUMIFS('Ventas'!$H:$H,'Ventas'!$A:$A,"&gt;="&amp;EOMONTH(TODAY(),-1)+1,'Ventas'!$A:$A,"&lt;="&amp;EOMONTH(TODAY(),0))</f>
      </c>
      <c r="D5" s="30">
        <f>SUMIFS('Ventas'!$L:$L,'Ventas'!$A:$A,"&gt;="&amp;EOMONTH(TODAY(),-1)+1,'Ventas'!$A:$A,"&lt;="&amp;EOMONTH(TODAY(),0))</f>
      </c>
      <c r="G5" s="30">
        <f>SUMIFS('Compras'!$F:$F,'Compras'!$A:$A,"&gt;="&amp;EOMONTH(TODAY(),-1)+1,'Compras'!$A:$A,"&lt;="&amp;EOMONTH(TODAY(),0))</f>
      </c>
      <c r="J5" s="30">
        <f>SUM('Catálogo'!$J$2:$J$201)</f>
      </c>
      <c r="P5" s="0">
        <f>IF('Catálogo'!$A5="","",'Catálogo'!$B5)</f>
      </c>
      <c r="Q5" s="0">
        <f>IF('Catálogo'!$A5="","",SUMIF('Ventas'!$D:$D,'Catálogo'!$A5,'Ventas'!$F:$F))</f>
      </c>
      <c r="R5" s="0">
        <f>IF('Catálogo'!$A5="","",$Q5+ROW()/100000)</f>
      </c>
    </row>
    <row r="6">
      <c r="P6" s="0">
        <f>IF('Catálogo'!$A6="","",'Catálogo'!$B6)</f>
      </c>
      <c r="Q6" s="0">
        <f>IF('Catálogo'!$A6="","",SUMIF('Ventas'!$D:$D,'Catálogo'!$A6,'Ventas'!$F:$F))</f>
      </c>
      <c r="R6" s="0">
        <f>IF('Catálogo'!$A6="","",$Q6+ROW()/100000)</f>
      </c>
    </row>
    <row r="7" ht="22.00" customHeight="1">
      <c r="A7" s="28" t="inlineStr">
        <is>
          <t xml:space="preserve">INVENTARIO EN CASA (UNID)</t>
        </is>
      </c>
      <c r="D7" s="28" t="inlineStr">
        <is>
          <t xml:space="preserve">INVENTARIO EN ML (UNID)</t>
        </is>
      </c>
      <c r="G7" s="26" t="inlineStr">
        <is>
          <t xml:space="preserve">PRODUCTOS CON STOCK BAJO</t>
        </is>
      </c>
      <c r="J7" s="29" t="inlineStr">
        <is>
          <t xml:space="preserve">PRODUCTOS AGOTADOS</t>
        </is>
      </c>
      <c r="P7" s="0">
        <f>IF('Catálogo'!$A7="","",'Catálogo'!$B7)</f>
      </c>
      <c r="Q7" s="0">
        <f>IF('Catálogo'!$A7="","",SUMIF('Ventas'!$D:$D,'Catálogo'!$A7,'Ventas'!$F:$F))</f>
      </c>
      <c r="R7" s="0">
        <f>IF('Catálogo'!$A7="","",$Q7+ROW()/100000)</f>
      </c>
    </row>
    <row r="8" ht="38.00" customHeight="1">
      <c r="A8" s="31">
        <f>SUM('Catálogo'!$G$2:$G$201)</f>
      </c>
      <c r="D8" s="31">
        <f>SUM('Catálogo'!$H$2:$H$201)</f>
      </c>
      <c r="G8" s="31">
        <f>COUNTIF('Catálogo'!$K$2:$K$201,"Stock bajo")</f>
      </c>
      <c r="J8" s="31">
        <f>COUNTIF('Catálogo'!$K$2:$K$201,"Agotado")</f>
      </c>
      <c r="P8" s="0">
        <f>IF('Catálogo'!$A8="","",'Catálogo'!$B8)</f>
      </c>
      <c r="Q8" s="0">
        <f>IF('Catálogo'!$A8="","",SUMIF('Ventas'!$D:$D,'Catálogo'!$A8,'Ventas'!$F:$F))</f>
      </c>
      <c r="R8" s="0">
        <f>IF('Catálogo'!$A8="","",$Q8+ROW()/100000)</f>
      </c>
    </row>
    <row r="9">
      <c r="P9" s="0">
        <f>IF('Catálogo'!$A9="","",'Catálogo'!$B9)</f>
      </c>
      <c r="Q9" s="0">
        <f>IF('Catálogo'!$A9="","",SUMIF('Ventas'!$D:$D,'Catálogo'!$A9,'Ventas'!$F:$F))</f>
      </c>
      <c r="R9" s="0">
        <f>IF('Catálogo'!$A9="","",$Q9+ROW()/100000)</f>
      </c>
    </row>
    <row r="10">
      <c r="P10" s="0">
        <f>IF('Catálogo'!$A10="","",'Catálogo'!$B10)</f>
      </c>
      <c r="Q10" s="0">
        <f>IF('Catálogo'!$A10="","",SUMIF('Ventas'!$D:$D,'Catálogo'!$A10,'Ventas'!$F:$F))</f>
      </c>
      <c r="R10" s="0">
        <f>IF('Catálogo'!$A10="","",$Q10+ROW()/100000)</f>
      </c>
    </row>
    <row r="11">
      <c r="A11" s="5" t="inlineStr">
        <is>
          <t xml:space="preserve">🏆 PRODUCTOS MÁS VENDIDOS</t>
        </is>
      </c>
      <c r="G11" s="4" t="inlineStr">
        <is>
          <t xml:space="preserve">⚠️ ALERTAS DE INVENTARIO (bajo / agotado)</t>
        </is>
      </c>
      <c r="P11" s="0">
        <f>IF('Catálogo'!$A11="","",'Catálogo'!$B11)</f>
      </c>
      <c r="Q11" s="0">
        <f>IF('Catálogo'!$A11="","",SUMIF('Ventas'!$D:$D,'Catálogo'!$A11,'Ventas'!$F:$F))</f>
      </c>
      <c r="R11" s="0">
        <f>IF('Catálogo'!$A11="","",$Q11+ROW()/100000)</f>
      </c>
    </row>
    <row r="12">
      <c r="A12" s="1" t="inlineStr">
        <is>
          <t xml:space="preserve">Producto</t>
        </is>
      </c>
      <c r="E12" s="1" t="inlineStr">
        <is>
          <t xml:space="preserve">Unid.</t>
        </is>
      </c>
      <c r="G12" s="1" t="inlineStr">
        <is>
          <t xml:space="preserve">Producto</t>
        </is>
      </c>
      <c r="J12" s="1" t="inlineStr">
        <is>
          <t xml:space="preserve">Casa</t>
        </is>
      </c>
      <c r="K12" s="1" t="inlineStr">
        <is>
          <t xml:space="preserve">ML</t>
        </is>
      </c>
      <c r="L12" s="1" t="inlineStr">
        <is>
          <t xml:space="preserve">Total</t>
        </is>
      </c>
      <c r="P12" s="0">
        <f>IF('Catálogo'!$A12="","",'Catálogo'!$B12)</f>
      </c>
      <c r="Q12" s="0">
        <f>IF('Catálogo'!$A12="","",SUMIF('Ventas'!$D:$D,'Catálogo'!$A12,'Ventas'!$F:$F))</f>
      </c>
      <c r="R12" s="0">
        <f>IF('Catálogo'!$A12="","",$Q12+ROW()/100000)</f>
      </c>
    </row>
    <row r="13">
      <c r="A13" s="9">
        <f>IFERROR(IF(INT(LARGE($R$2:$R$201,1))=0,"",INDEX($P$2:$P$201,MATCH(LARGE($R$2:$R$201,1),$R$2:$R$201,0))),"")</f>
      </c>
      <c r="E13" s="12">
        <f>IFERROR(IF(INT(LARGE($R$2:$R$201,1))=0,"",INT(LARGE($R$2:$R$201,1))),"")</f>
      </c>
      <c r="G13" s="9">
        <f>IF(OR('Catálogo'!$K2="Agotado",'Catálogo'!$K2="Stock bajo"),'Catálogo'!$B2,"")</f>
      </c>
      <c r="J13" s="12">
        <f>IF(OR('Catálogo'!$K2="Agotado",'Catálogo'!$K2="Stock bajo"),'Catálogo'!$G2,"")</f>
      </c>
      <c r="K13" s="12">
        <f>IF(OR('Catálogo'!$K2="Agotado",'Catálogo'!$K2="Stock bajo"),'Catálogo'!$H2,"")</f>
      </c>
      <c r="L13" s="12">
        <f>IF(OR('Catálogo'!$K2="Agotado",'Catálogo'!$K2="Stock bajo"),'Catálogo'!$I2,"")</f>
      </c>
      <c r="P13" s="0">
        <f>IF('Catálogo'!$A13="","",'Catálogo'!$B13)</f>
      </c>
      <c r="Q13" s="0">
        <f>IF('Catálogo'!$A13="","",SUMIF('Ventas'!$D:$D,'Catálogo'!$A13,'Ventas'!$F:$F))</f>
      </c>
      <c r="R13" s="0">
        <f>IF('Catálogo'!$A13="","",$Q13+ROW()/100000)</f>
      </c>
    </row>
    <row r="14">
      <c r="A14" s="9">
        <f>IFERROR(IF(INT(LARGE($R$2:$R$201,2))=0,"",INDEX($P$2:$P$201,MATCH(LARGE($R$2:$R$201,2),$R$2:$R$201,0))),"")</f>
      </c>
      <c r="E14" s="12">
        <f>IFERROR(IF(INT(LARGE($R$2:$R$201,2))=0,"",INT(LARGE($R$2:$R$201,2))),"")</f>
      </c>
      <c r="G14" s="9">
        <f>IF(OR('Catálogo'!$K3="Agotado",'Catálogo'!$K3="Stock bajo"),'Catálogo'!$B3,"")</f>
      </c>
      <c r="J14" s="12">
        <f>IF(OR('Catálogo'!$K3="Agotado",'Catálogo'!$K3="Stock bajo"),'Catálogo'!$G3,"")</f>
      </c>
      <c r="K14" s="12">
        <f>IF(OR('Catálogo'!$K3="Agotado",'Catálogo'!$K3="Stock bajo"),'Catálogo'!$H3,"")</f>
      </c>
      <c r="L14" s="12">
        <f>IF(OR('Catálogo'!$K3="Agotado",'Catálogo'!$K3="Stock bajo"),'Catálogo'!$I3,"")</f>
      </c>
      <c r="P14" s="0">
        <f>IF('Catálogo'!$A14="","",'Catálogo'!$B14)</f>
      </c>
      <c r="Q14" s="0">
        <f>IF('Catálogo'!$A14="","",SUMIF('Ventas'!$D:$D,'Catálogo'!$A14,'Ventas'!$F:$F))</f>
      </c>
      <c r="R14" s="0">
        <f>IF('Catálogo'!$A14="","",$Q14+ROW()/100000)</f>
      </c>
    </row>
    <row r="15">
      <c r="A15" s="9">
        <f>IFERROR(IF(INT(LARGE($R$2:$R$201,3))=0,"",INDEX($P$2:$P$201,MATCH(LARGE($R$2:$R$201,3),$R$2:$R$201,0))),"")</f>
      </c>
      <c r="E15" s="12">
        <f>IFERROR(IF(INT(LARGE($R$2:$R$201,3))=0,"",INT(LARGE($R$2:$R$201,3))),"")</f>
      </c>
      <c r="G15" s="9">
        <f>IF(OR('Catálogo'!$K4="Agotado",'Catálogo'!$K4="Stock bajo"),'Catálogo'!$B4,"")</f>
      </c>
      <c r="J15" s="12">
        <f>IF(OR('Catálogo'!$K4="Agotado",'Catálogo'!$K4="Stock bajo"),'Catálogo'!$G4,"")</f>
      </c>
      <c r="K15" s="12">
        <f>IF(OR('Catálogo'!$K4="Agotado",'Catálogo'!$K4="Stock bajo"),'Catálogo'!$H4,"")</f>
      </c>
      <c r="L15" s="12">
        <f>IF(OR('Catálogo'!$K4="Agotado",'Catálogo'!$K4="Stock bajo"),'Catálogo'!$I4,"")</f>
      </c>
      <c r="P15" s="0">
        <f>IF('Catálogo'!$A15="","",'Catálogo'!$B15)</f>
      </c>
      <c r="Q15" s="0">
        <f>IF('Catálogo'!$A15="","",SUMIF('Ventas'!$D:$D,'Catálogo'!$A15,'Ventas'!$F:$F))</f>
      </c>
      <c r="R15" s="0">
        <f>IF('Catálogo'!$A15="","",$Q15+ROW()/100000)</f>
      </c>
    </row>
    <row r="16">
      <c r="A16" s="9">
        <f>IFERROR(IF(INT(LARGE($R$2:$R$201,4))=0,"",INDEX($P$2:$P$201,MATCH(LARGE($R$2:$R$201,4),$R$2:$R$201,0))),"")</f>
      </c>
      <c r="E16" s="12">
        <f>IFERROR(IF(INT(LARGE($R$2:$R$201,4))=0,"",INT(LARGE($R$2:$R$201,4))),"")</f>
      </c>
      <c r="G16" s="9">
        <f>IF(OR('Catálogo'!$K5="Agotado",'Catálogo'!$K5="Stock bajo"),'Catálogo'!$B5,"")</f>
      </c>
      <c r="J16" s="12">
        <f>IF(OR('Catálogo'!$K5="Agotado",'Catálogo'!$K5="Stock bajo"),'Catálogo'!$G5,"")</f>
      </c>
      <c r="K16" s="12">
        <f>IF(OR('Catálogo'!$K5="Agotado",'Catálogo'!$K5="Stock bajo"),'Catálogo'!$H5,"")</f>
      </c>
      <c r="L16" s="12">
        <f>IF(OR('Catálogo'!$K5="Agotado",'Catálogo'!$K5="Stock bajo"),'Catálogo'!$I5,"")</f>
      </c>
      <c r="P16" s="0">
        <f>IF('Catálogo'!$A16="","",'Catálogo'!$B16)</f>
      </c>
      <c r="Q16" s="0">
        <f>IF('Catálogo'!$A16="","",SUMIF('Ventas'!$D:$D,'Catálogo'!$A16,'Ventas'!$F:$F))</f>
      </c>
      <c r="R16" s="0">
        <f>IF('Catálogo'!$A16="","",$Q16+ROW()/100000)</f>
      </c>
    </row>
    <row r="17">
      <c r="A17" s="9">
        <f>IFERROR(IF(INT(LARGE($R$2:$R$201,5))=0,"",INDEX($P$2:$P$201,MATCH(LARGE($R$2:$R$201,5),$R$2:$R$201,0))),"")</f>
      </c>
      <c r="E17" s="12">
        <f>IFERROR(IF(INT(LARGE($R$2:$R$201,5))=0,"",INT(LARGE($R$2:$R$201,5))),"")</f>
      </c>
      <c r="G17" s="9">
        <f>IF(OR('Catálogo'!$K6="Agotado",'Catálogo'!$K6="Stock bajo"),'Catálogo'!$B6,"")</f>
      </c>
      <c r="J17" s="12">
        <f>IF(OR('Catálogo'!$K6="Agotado",'Catálogo'!$K6="Stock bajo"),'Catálogo'!$G6,"")</f>
      </c>
      <c r="K17" s="12">
        <f>IF(OR('Catálogo'!$K6="Agotado",'Catálogo'!$K6="Stock bajo"),'Catálogo'!$H6,"")</f>
      </c>
      <c r="L17" s="12">
        <f>IF(OR('Catálogo'!$K6="Agotado",'Catálogo'!$K6="Stock bajo"),'Catálogo'!$I6,"")</f>
      </c>
      <c r="P17" s="0">
        <f>IF('Catálogo'!$A17="","",'Catálogo'!$B17)</f>
      </c>
      <c r="Q17" s="0">
        <f>IF('Catálogo'!$A17="","",SUMIF('Ventas'!$D:$D,'Catálogo'!$A17,'Ventas'!$F:$F))</f>
      </c>
      <c r="R17" s="0">
        <f>IF('Catálogo'!$A17="","",$Q17+ROW()/100000)</f>
      </c>
    </row>
    <row r="18">
      <c r="A18" s="9">
        <f>IFERROR(IF(INT(LARGE($R$2:$R$201,6))=0,"",INDEX($P$2:$P$201,MATCH(LARGE($R$2:$R$201,6),$R$2:$R$201,0))),"")</f>
      </c>
      <c r="E18" s="12">
        <f>IFERROR(IF(INT(LARGE($R$2:$R$201,6))=0,"",INT(LARGE($R$2:$R$201,6))),"")</f>
      </c>
      <c r="G18" s="9">
        <f>IF(OR('Catálogo'!$K7="Agotado",'Catálogo'!$K7="Stock bajo"),'Catálogo'!$B7,"")</f>
      </c>
      <c r="J18" s="12">
        <f>IF(OR('Catálogo'!$K7="Agotado",'Catálogo'!$K7="Stock bajo"),'Catálogo'!$G7,"")</f>
      </c>
      <c r="K18" s="12">
        <f>IF(OR('Catálogo'!$K7="Agotado",'Catálogo'!$K7="Stock bajo"),'Catálogo'!$H7,"")</f>
      </c>
      <c r="L18" s="12">
        <f>IF(OR('Catálogo'!$K7="Agotado",'Catálogo'!$K7="Stock bajo"),'Catálogo'!$I7,"")</f>
      </c>
      <c r="P18" s="0">
        <f>IF('Catálogo'!$A18="","",'Catálogo'!$B18)</f>
      </c>
      <c r="Q18" s="0">
        <f>IF('Catálogo'!$A18="","",SUMIF('Ventas'!$D:$D,'Catálogo'!$A18,'Ventas'!$F:$F))</f>
      </c>
      <c r="R18" s="0">
        <f>IF('Catálogo'!$A18="","",$Q18+ROW()/100000)</f>
      </c>
    </row>
    <row r="19">
      <c r="A19" s="9">
        <f>IFERROR(IF(INT(LARGE($R$2:$R$201,7))=0,"",INDEX($P$2:$P$201,MATCH(LARGE($R$2:$R$201,7),$R$2:$R$201,0))),"")</f>
      </c>
      <c r="E19" s="12">
        <f>IFERROR(IF(INT(LARGE($R$2:$R$201,7))=0,"",INT(LARGE($R$2:$R$201,7))),"")</f>
      </c>
      <c r="G19" s="9">
        <f>IF(OR('Catálogo'!$K8="Agotado",'Catálogo'!$K8="Stock bajo"),'Catálogo'!$B8,"")</f>
      </c>
      <c r="J19" s="12">
        <f>IF(OR('Catálogo'!$K8="Agotado",'Catálogo'!$K8="Stock bajo"),'Catálogo'!$G8,"")</f>
      </c>
      <c r="K19" s="12">
        <f>IF(OR('Catálogo'!$K8="Agotado",'Catálogo'!$K8="Stock bajo"),'Catálogo'!$H8,"")</f>
      </c>
      <c r="L19" s="12">
        <f>IF(OR('Catálogo'!$K8="Agotado",'Catálogo'!$K8="Stock bajo"),'Catálogo'!$I8,"")</f>
      </c>
      <c r="P19" s="0">
        <f>IF('Catálogo'!$A19="","",'Catálogo'!$B19)</f>
      </c>
      <c r="Q19" s="0">
        <f>IF('Catálogo'!$A19="","",SUMIF('Ventas'!$D:$D,'Catálogo'!$A19,'Ventas'!$F:$F))</f>
      </c>
      <c r="R19" s="0">
        <f>IF('Catálogo'!$A19="","",$Q19+ROW()/100000)</f>
      </c>
    </row>
    <row r="20">
      <c r="A20" s="9">
        <f>IFERROR(IF(INT(LARGE($R$2:$R$201,8))=0,"",INDEX($P$2:$P$201,MATCH(LARGE($R$2:$R$201,8),$R$2:$R$201,0))),"")</f>
      </c>
      <c r="E20" s="12">
        <f>IFERROR(IF(INT(LARGE($R$2:$R$201,8))=0,"",INT(LARGE($R$2:$R$201,8))),"")</f>
      </c>
      <c r="G20" s="9">
        <f>IF(OR('Catálogo'!$K9="Agotado",'Catálogo'!$K9="Stock bajo"),'Catálogo'!$B9,"")</f>
      </c>
      <c r="J20" s="12">
        <f>IF(OR('Catálogo'!$K9="Agotado",'Catálogo'!$K9="Stock bajo"),'Catálogo'!$G9,"")</f>
      </c>
      <c r="K20" s="12">
        <f>IF(OR('Catálogo'!$K9="Agotado",'Catálogo'!$K9="Stock bajo"),'Catálogo'!$H9,"")</f>
      </c>
      <c r="L20" s="12">
        <f>IF(OR('Catálogo'!$K9="Agotado",'Catálogo'!$K9="Stock bajo"),'Catálogo'!$I9,"")</f>
      </c>
      <c r="P20" s="0">
        <f>IF('Catálogo'!$A20="","",'Catálogo'!$B20)</f>
      </c>
      <c r="Q20" s="0">
        <f>IF('Catálogo'!$A20="","",SUMIF('Ventas'!$D:$D,'Catálogo'!$A20,'Ventas'!$F:$F))</f>
      </c>
      <c r="R20" s="0">
        <f>IF('Catálogo'!$A20="","",$Q20+ROW()/100000)</f>
      </c>
    </row>
    <row r="21">
      <c r="G21" s="9">
        <f>IF(OR('Catálogo'!$K10="Agotado",'Catálogo'!$K10="Stock bajo"),'Catálogo'!$B10,"")</f>
      </c>
      <c r="J21" s="12">
        <f>IF(OR('Catálogo'!$K10="Agotado",'Catálogo'!$K10="Stock bajo"),'Catálogo'!$G10,"")</f>
      </c>
      <c r="K21" s="12">
        <f>IF(OR('Catálogo'!$K10="Agotado",'Catálogo'!$K10="Stock bajo"),'Catálogo'!$H10,"")</f>
      </c>
      <c r="L21" s="12">
        <f>IF(OR('Catálogo'!$K10="Agotado",'Catálogo'!$K10="Stock bajo"),'Catálogo'!$I10,"")</f>
      </c>
      <c r="P21" s="0">
        <f>IF('Catálogo'!$A21="","",'Catálogo'!$B21)</f>
      </c>
      <c r="Q21" s="0">
        <f>IF('Catálogo'!$A21="","",SUMIF('Ventas'!$D:$D,'Catálogo'!$A21,'Ventas'!$F:$F))</f>
      </c>
      <c r="R21" s="0">
        <f>IF('Catálogo'!$A21="","",$Q21+ROW()/100000)</f>
      </c>
    </row>
    <row r="22">
      <c r="G22" s="9">
        <f>IF(OR('Catálogo'!$K11="Agotado",'Catálogo'!$K11="Stock bajo"),'Catálogo'!$B11,"")</f>
      </c>
      <c r="J22" s="12">
        <f>IF(OR('Catálogo'!$K11="Agotado",'Catálogo'!$K11="Stock bajo"),'Catálogo'!$G11,"")</f>
      </c>
      <c r="K22" s="12">
        <f>IF(OR('Catálogo'!$K11="Agotado",'Catálogo'!$K11="Stock bajo"),'Catálogo'!$H11,"")</f>
      </c>
      <c r="L22" s="12">
        <f>IF(OR('Catálogo'!$K11="Agotado",'Catálogo'!$K11="Stock bajo"),'Catálogo'!$I11,"")</f>
      </c>
      <c r="P22" s="0">
        <f>IF('Catálogo'!$A22="","",'Catálogo'!$B22)</f>
      </c>
      <c r="Q22" s="0">
        <f>IF('Catálogo'!$A22="","",SUMIF('Ventas'!$D:$D,'Catálogo'!$A22,'Ventas'!$F:$F))</f>
      </c>
      <c r="R22" s="0">
        <f>IF('Catálogo'!$A22="","",$Q22+ROW()/100000)</f>
      </c>
    </row>
    <row r="23">
      <c r="G23" s="9">
        <f>IF(OR('Catálogo'!$K12="Agotado",'Catálogo'!$K12="Stock bajo"),'Catálogo'!$B12,"")</f>
      </c>
      <c r="J23" s="12">
        <f>IF(OR('Catálogo'!$K12="Agotado",'Catálogo'!$K12="Stock bajo"),'Catálogo'!$G12,"")</f>
      </c>
      <c r="K23" s="12">
        <f>IF(OR('Catálogo'!$K12="Agotado",'Catálogo'!$K12="Stock bajo"),'Catálogo'!$H12,"")</f>
      </c>
      <c r="L23" s="12">
        <f>IF(OR('Catálogo'!$K12="Agotado",'Catálogo'!$K12="Stock bajo"),'Catálogo'!$I12,"")</f>
      </c>
      <c r="P23" s="0">
        <f>IF('Catálogo'!$A23="","",'Catálogo'!$B23)</f>
      </c>
      <c r="Q23" s="0">
        <f>IF('Catálogo'!$A23="","",SUMIF('Ventas'!$D:$D,'Catálogo'!$A23,'Ventas'!$F:$F))</f>
      </c>
      <c r="R23" s="0">
        <f>IF('Catálogo'!$A23="","",$Q23+ROW()/100000)</f>
      </c>
    </row>
    <row r="24">
      <c r="G24" s="9">
        <f>IF(OR('Catálogo'!$K13="Agotado",'Catálogo'!$K13="Stock bajo"),'Catálogo'!$B13,"")</f>
      </c>
      <c r="J24" s="12">
        <f>IF(OR('Catálogo'!$K13="Agotado",'Catálogo'!$K13="Stock bajo"),'Catálogo'!$G13,"")</f>
      </c>
      <c r="K24" s="12">
        <f>IF(OR('Catálogo'!$K13="Agotado",'Catálogo'!$K13="Stock bajo"),'Catálogo'!$H13,"")</f>
      </c>
      <c r="L24" s="12">
        <f>IF(OR('Catálogo'!$K13="Agotado",'Catálogo'!$K13="Stock bajo"),'Catálogo'!$I13,"")</f>
      </c>
      <c r="P24" s="0">
        <f>IF('Catálogo'!$A24="","",'Catálogo'!$B24)</f>
      </c>
      <c r="Q24" s="0">
        <f>IF('Catálogo'!$A24="","",SUMIF('Ventas'!$D:$D,'Catálogo'!$A24,'Ventas'!$F:$F))</f>
      </c>
      <c r="R24" s="0">
        <f>IF('Catálogo'!$A24="","",$Q24+ROW()/100000)</f>
      </c>
    </row>
    <row r="25">
      <c r="P25" s="0">
        <f>IF('Catálogo'!$A25="","",'Catálogo'!$B25)</f>
      </c>
      <c r="Q25" s="0">
        <f>IF('Catálogo'!$A25="","",SUMIF('Ventas'!$D:$D,'Catálogo'!$A25,'Ventas'!$F:$F))</f>
      </c>
      <c r="R25" s="0">
        <f>IF('Catálogo'!$A25="","",$Q25+ROW()/100000)</f>
      </c>
    </row>
    <row r="26">
      <c r="A26" s="3" t="inlineStr">
        <is>
          <t xml:space="preserve">📈 TENDENCIAS (últimos 6 meses) — selecciona A27:D33 e inserta un gráfico</t>
        </is>
      </c>
      <c r="P26" s="0">
        <f>IF('Catálogo'!$A26="","",'Catálogo'!$B26)</f>
      </c>
      <c r="Q26" s="0">
        <f>IF('Catálogo'!$A26="","",SUMIF('Ventas'!$D:$D,'Catálogo'!$A26,'Ventas'!$F:$F))</f>
      </c>
      <c r="R26" s="0">
        <f>IF('Catálogo'!$A26="","",$Q26+ROW()/100000)</f>
      </c>
    </row>
    <row r="27">
      <c r="A27" s="1" t="inlineStr">
        <is>
          <t xml:space="preserve">Mes</t>
        </is>
      </c>
      <c r="B27" s="1" t="inlineStr">
        <is>
          <t xml:space="preserve">Ventas</t>
        </is>
      </c>
      <c r="C27" s="1" t="inlineStr">
        <is>
          <t xml:space="preserve">Utilidad</t>
        </is>
      </c>
      <c r="D27" s="1" t="inlineStr">
        <is>
          <t xml:space="preserve">Compras</t>
        </is>
      </c>
      <c r="P27" s="0">
        <f>IF('Catálogo'!$A27="","",'Catálogo'!$B27)</f>
      </c>
      <c r="Q27" s="0">
        <f>IF('Catálogo'!$A27="","",SUMIF('Ventas'!$D:$D,'Catálogo'!$A27,'Ventas'!$F:$F))</f>
      </c>
      <c r="R27" s="0">
        <f>IF('Catálogo'!$A27="","",$Q27+ROW()/100000)</f>
      </c>
    </row>
    <row r="28">
      <c r="A28" s="9">
        <f>TEXT(DATE(YEAR(EOMONTH(TODAY(),-5)),MONTH(EOMONTH(TODAY(),-5)),1),"mmm yy")</f>
      </c>
      <c r="B28" s="11">
        <f>SUMIFS('Ventas'!$H:$H,'Ventas'!$A:$A,"&gt;="&amp;DATE(YEAR(EOMONTH(TODAY(),-5)),MONTH(EOMONTH(TODAY(),-5)),1),'Ventas'!$A:$A,"&lt;="&amp;EOMONTH(TODAY(),-5))</f>
      </c>
      <c r="C28" s="11">
        <f>SUMIFS('Ventas'!$L:$L,'Ventas'!$A:$A,"&gt;="&amp;DATE(YEAR(EOMONTH(TODAY(),-5)),MONTH(EOMONTH(TODAY(),-5)),1),'Ventas'!$A:$A,"&lt;="&amp;EOMONTH(TODAY(),-5))</f>
      </c>
      <c r="D28" s="11">
        <f>SUMIFS('Compras'!$F:$F,'Compras'!$A:$A,"&gt;="&amp;DATE(YEAR(EOMONTH(TODAY(),-5)),MONTH(EOMONTH(TODAY(),-5)),1),'Compras'!$A:$A,"&lt;="&amp;EOMONTH(TODAY(),-5))</f>
      </c>
      <c r="P28" s="0">
        <f>IF('Catálogo'!$A28="","",'Catálogo'!$B28)</f>
      </c>
      <c r="Q28" s="0">
        <f>IF('Catálogo'!$A28="","",SUMIF('Ventas'!$D:$D,'Catálogo'!$A28,'Ventas'!$F:$F))</f>
      </c>
      <c r="R28" s="0">
        <f>IF('Catálogo'!$A28="","",$Q28+ROW()/100000)</f>
      </c>
    </row>
    <row r="29">
      <c r="A29" s="9">
        <f>TEXT(DATE(YEAR(EOMONTH(TODAY(),-4)),MONTH(EOMONTH(TODAY(),-4)),1),"mmm yy")</f>
      </c>
      <c r="B29" s="11">
        <f>SUMIFS('Ventas'!$H:$H,'Ventas'!$A:$A,"&gt;="&amp;DATE(YEAR(EOMONTH(TODAY(),-4)),MONTH(EOMONTH(TODAY(),-4)),1),'Ventas'!$A:$A,"&lt;="&amp;EOMONTH(TODAY(),-4))</f>
      </c>
      <c r="C29" s="11">
        <f>SUMIFS('Ventas'!$L:$L,'Ventas'!$A:$A,"&gt;="&amp;DATE(YEAR(EOMONTH(TODAY(),-4)),MONTH(EOMONTH(TODAY(),-4)),1),'Ventas'!$A:$A,"&lt;="&amp;EOMONTH(TODAY(),-4))</f>
      </c>
      <c r="D29" s="11">
        <f>SUMIFS('Compras'!$F:$F,'Compras'!$A:$A,"&gt;="&amp;DATE(YEAR(EOMONTH(TODAY(),-4)),MONTH(EOMONTH(TODAY(),-4)),1),'Compras'!$A:$A,"&lt;="&amp;EOMONTH(TODAY(),-4))</f>
      </c>
      <c r="P29" s="0">
        <f>IF('Catálogo'!$A29="","",'Catálogo'!$B29)</f>
      </c>
      <c r="Q29" s="0">
        <f>IF('Catálogo'!$A29="","",SUMIF('Ventas'!$D:$D,'Catálogo'!$A29,'Ventas'!$F:$F))</f>
      </c>
      <c r="R29" s="0">
        <f>IF('Catálogo'!$A29="","",$Q29+ROW()/100000)</f>
      </c>
    </row>
    <row r="30">
      <c r="A30" s="9">
        <f>TEXT(DATE(YEAR(EOMONTH(TODAY(),-3)),MONTH(EOMONTH(TODAY(),-3)),1),"mmm yy")</f>
      </c>
      <c r="B30" s="11">
        <f>SUMIFS('Ventas'!$H:$H,'Ventas'!$A:$A,"&gt;="&amp;DATE(YEAR(EOMONTH(TODAY(),-3)),MONTH(EOMONTH(TODAY(),-3)),1),'Ventas'!$A:$A,"&lt;="&amp;EOMONTH(TODAY(),-3))</f>
      </c>
      <c r="C30" s="11">
        <f>SUMIFS('Ventas'!$L:$L,'Ventas'!$A:$A,"&gt;="&amp;DATE(YEAR(EOMONTH(TODAY(),-3)),MONTH(EOMONTH(TODAY(),-3)),1),'Ventas'!$A:$A,"&lt;="&amp;EOMONTH(TODAY(),-3))</f>
      </c>
      <c r="D30" s="11">
        <f>SUMIFS('Compras'!$F:$F,'Compras'!$A:$A,"&gt;="&amp;DATE(YEAR(EOMONTH(TODAY(),-3)),MONTH(EOMONTH(TODAY(),-3)),1),'Compras'!$A:$A,"&lt;="&amp;EOMONTH(TODAY(),-3))</f>
      </c>
      <c r="P30" s="0">
        <f>IF('Catálogo'!$A30="","",'Catálogo'!$B30)</f>
      </c>
      <c r="Q30" s="0">
        <f>IF('Catálogo'!$A30="","",SUMIF('Ventas'!$D:$D,'Catálogo'!$A30,'Ventas'!$F:$F))</f>
      </c>
      <c r="R30" s="0">
        <f>IF('Catálogo'!$A30="","",$Q30+ROW()/100000)</f>
      </c>
    </row>
    <row r="31">
      <c r="A31" s="9">
        <f>TEXT(DATE(YEAR(EOMONTH(TODAY(),-2)),MONTH(EOMONTH(TODAY(),-2)),1),"mmm yy")</f>
      </c>
      <c r="B31" s="11">
        <f>SUMIFS('Ventas'!$H:$H,'Ventas'!$A:$A,"&gt;="&amp;DATE(YEAR(EOMONTH(TODAY(),-2)),MONTH(EOMONTH(TODAY(),-2)),1),'Ventas'!$A:$A,"&lt;="&amp;EOMONTH(TODAY(),-2))</f>
      </c>
      <c r="C31" s="11">
        <f>SUMIFS('Ventas'!$L:$L,'Ventas'!$A:$A,"&gt;="&amp;DATE(YEAR(EOMONTH(TODAY(),-2)),MONTH(EOMONTH(TODAY(),-2)),1),'Ventas'!$A:$A,"&lt;="&amp;EOMONTH(TODAY(),-2))</f>
      </c>
      <c r="D31" s="11">
        <f>SUMIFS('Compras'!$F:$F,'Compras'!$A:$A,"&gt;="&amp;DATE(YEAR(EOMONTH(TODAY(),-2)),MONTH(EOMONTH(TODAY(),-2)),1),'Compras'!$A:$A,"&lt;="&amp;EOMONTH(TODAY(),-2))</f>
      </c>
      <c r="P31" s="0">
        <f>IF('Catálogo'!$A31="","",'Catálogo'!$B31)</f>
      </c>
      <c r="Q31" s="0">
        <f>IF('Catálogo'!$A31="","",SUMIF('Ventas'!$D:$D,'Catálogo'!$A31,'Ventas'!$F:$F))</f>
      </c>
      <c r="R31" s="0">
        <f>IF('Catálogo'!$A31="","",$Q31+ROW()/100000)</f>
      </c>
    </row>
    <row r="32">
      <c r="A32" s="9">
        <f>TEXT(DATE(YEAR(EOMONTH(TODAY(),-1)),MONTH(EOMONTH(TODAY(),-1)),1),"mmm yy")</f>
      </c>
      <c r="B32" s="11">
        <f>SUMIFS('Ventas'!$H:$H,'Ventas'!$A:$A,"&gt;="&amp;DATE(YEAR(EOMONTH(TODAY(),-1)),MONTH(EOMONTH(TODAY(),-1)),1),'Ventas'!$A:$A,"&lt;="&amp;EOMONTH(TODAY(),-1))</f>
      </c>
      <c r="C32" s="11">
        <f>SUMIFS('Ventas'!$L:$L,'Ventas'!$A:$A,"&gt;="&amp;DATE(YEAR(EOMONTH(TODAY(),-1)),MONTH(EOMONTH(TODAY(),-1)),1),'Ventas'!$A:$A,"&lt;="&amp;EOMONTH(TODAY(),-1))</f>
      </c>
      <c r="D32" s="11">
        <f>SUMIFS('Compras'!$F:$F,'Compras'!$A:$A,"&gt;="&amp;DATE(YEAR(EOMONTH(TODAY(),-1)),MONTH(EOMONTH(TODAY(),-1)),1),'Compras'!$A:$A,"&lt;="&amp;EOMONTH(TODAY(),-1))</f>
      </c>
      <c r="P32" s="0">
        <f>IF('Catálogo'!$A32="","",'Catálogo'!$B32)</f>
      </c>
      <c r="Q32" s="0">
        <f>IF('Catálogo'!$A32="","",SUMIF('Ventas'!$D:$D,'Catálogo'!$A32,'Ventas'!$F:$F))</f>
      </c>
      <c r="R32" s="0">
        <f>IF('Catálogo'!$A32="","",$Q32+ROW()/100000)</f>
      </c>
    </row>
    <row r="33">
      <c r="A33" s="9">
        <f>TEXT(DATE(YEAR(EOMONTH(TODAY(),0)),MONTH(EOMONTH(TODAY(),0)),1),"mmm yy")</f>
      </c>
      <c r="B33" s="11">
        <f>SUMIFS('Ventas'!$H:$H,'Ventas'!$A:$A,"&gt;="&amp;DATE(YEAR(EOMONTH(TODAY(),0)),MONTH(EOMONTH(TODAY(),0)),1),'Ventas'!$A:$A,"&lt;="&amp;EOMONTH(TODAY(),0))</f>
      </c>
      <c r="C33" s="11">
        <f>SUMIFS('Ventas'!$L:$L,'Ventas'!$A:$A,"&gt;="&amp;DATE(YEAR(EOMONTH(TODAY(),0)),MONTH(EOMONTH(TODAY(),0)),1),'Ventas'!$A:$A,"&lt;="&amp;EOMONTH(TODAY(),0))</f>
      </c>
      <c r="D33" s="11">
        <f>SUMIFS('Compras'!$F:$F,'Compras'!$A:$A,"&gt;="&amp;DATE(YEAR(EOMONTH(TODAY(),0)),MONTH(EOMONTH(TODAY(),0)),1),'Compras'!$A:$A,"&lt;="&amp;EOMONTH(TODAY(),0))</f>
      </c>
      <c r="P33" s="0">
        <f>IF('Catálogo'!$A33="","",'Catálogo'!$B33)</f>
      </c>
      <c r="Q33" s="0">
        <f>IF('Catálogo'!$A33="","",SUMIF('Ventas'!$D:$D,'Catálogo'!$A33,'Ventas'!$F:$F))</f>
      </c>
      <c r="R33" s="0">
        <f>IF('Catálogo'!$A33="","",$Q33+ROW()/100000)</f>
      </c>
    </row>
    <row r="34">
      <c r="P34" s="0">
        <f>IF('Catálogo'!$A34="","",'Catálogo'!$B34)</f>
      </c>
      <c r="Q34" s="0">
        <f>IF('Catálogo'!$A34="","",SUMIF('Ventas'!$D:$D,'Catálogo'!$A34,'Ventas'!$F:$F))</f>
      </c>
      <c r="R34" s="0">
        <f>IF('Catálogo'!$A34="","",$Q34+ROW()/100000)</f>
      </c>
    </row>
    <row r="35" ht="22.00" customHeight="1">
      <c r="A35" s="29" t="inlineStr">
        <is>
          <t xml:space="preserve">DEUDA TOTAL EN TARJETAS</t>
        </is>
      </c>
      <c r="D35" s="26" t="inlineStr">
        <is>
          <t xml:space="preserve">PEDIDOS POR PAGAR</t>
        </is>
      </c>
      <c r="G35" s="29" t="inlineStr">
        <is>
          <t xml:space="preserve">PAGOS VENCIDOS</t>
        </is>
      </c>
      <c r="P35" s="0">
        <f>IF('Catálogo'!$A35="","",'Catálogo'!$B35)</f>
      </c>
      <c r="Q35" s="0">
        <f>IF('Catálogo'!$A35="","",SUMIF('Ventas'!$D:$D,'Catálogo'!$A35,'Ventas'!$F:$F))</f>
      </c>
      <c r="R35" s="0">
        <f>IF('Catálogo'!$A35="","",$Q35+ROW()/100000)</f>
      </c>
    </row>
    <row r="36" ht="38.00" customHeight="1">
      <c r="A36" s="30">
        <f>SUM('Tarjetas'!$D$3:$D$10)</f>
      </c>
      <c r="D36" s="31">
        <f>COUNTIF('Compras'!$M:$M,"Pendiente")+COUNTIF('Compras'!$M:$M,"Abono parcial")</f>
      </c>
      <c r="G36" s="31">
        <f>SUMPRODUCT(('Compras'!$N$2:$N$301&lt;&gt;"")*(LEFT('Compras'!$N$2:$N$301,4)="🔴"))</f>
      </c>
      <c r="P36" s="0">
        <f>IF('Catálogo'!$A36="","",'Catálogo'!$B36)</f>
      </c>
      <c r="Q36" s="0">
        <f>IF('Catálogo'!$A36="","",SUMIF('Ventas'!$D:$D,'Catálogo'!$A36,'Ventas'!$F:$F))</f>
      </c>
      <c r="R36" s="0">
        <f>IF('Catálogo'!$A36="","",$Q36+ROW()/100000)</f>
      </c>
    </row>
    <row r="37">
      <c r="P37" s="0">
        <f>IF('Catálogo'!$A37="","",'Catálogo'!$B37)</f>
      </c>
      <c r="Q37" s="0">
        <f>IF('Catálogo'!$A37="","",SUMIF('Ventas'!$D:$D,'Catálogo'!$A37,'Ventas'!$F:$F))</f>
      </c>
      <c r="R37" s="0">
        <f>IF('Catálogo'!$A37="","",$Q37+ROW()/100000)</f>
      </c>
    </row>
    <row r="38">
      <c r="A38" s="4" t="inlineStr">
        <is>
          <t xml:space="preserve">💳 PAGOS DE TARJETA / CRÉDITO PENDIENTES</t>
        </is>
      </c>
      <c r="P38" s="0">
        <f>IF('Catálogo'!$A38="","",'Catálogo'!$B38)</f>
      </c>
      <c r="Q38" s="0">
        <f>IF('Catálogo'!$A38="","",SUMIF('Ventas'!$D:$D,'Catálogo'!$A38,'Ventas'!$F:$F))</f>
      </c>
      <c r="R38" s="0">
        <f>IF('Catálogo'!$A38="","",$Q38+ROW()/100000)</f>
      </c>
    </row>
    <row r="39">
      <c r="A39" s="1" t="inlineStr">
        <is>
          <t xml:space="preserve">Fecha</t>
        </is>
      </c>
      <c r="B39" s="1" t="inlineStr">
        <is>
          <t xml:space="preserve">Producto</t>
        </is>
      </c>
      <c r="E39" s="1" t="inlineStr">
        <is>
          <t xml:space="preserve">Medio de pago</t>
        </is>
      </c>
      <c r="G39" s="1" t="inlineStr">
        <is>
          <t xml:space="preserve">Saldo</t>
        </is>
      </c>
      <c r="H39" s="1" t="inlineStr">
        <is>
          <t xml:space="preserve">Límite pago</t>
        </is>
      </c>
      <c r="I39" s="1" t="inlineStr">
        <is>
          <t xml:space="preserve">Aviso</t>
        </is>
      </c>
      <c r="P39" s="0">
        <f>IF('Catálogo'!$A39="","",'Catálogo'!$B39)</f>
      </c>
      <c r="Q39" s="0">
        <f>IF('Catálogo'!$A39="","",SUMIF('Ventas'!$D:$D,'Catálogo'!$A39,'Ventas'!$F:$F))</f>
      </c>
      <c r="R39" s="0">
        <f>IF('Catálogo'!$A39="","",$Q39+ROW()/100000)</f>
      </c>
    </row>
    <row r="40">
      <c r="A40" s="14">
        <f>IF(AND('Compras'!$H2="Sí",'Compras'!$L2&gt;0),'Compras'!$A2,"")</f>
      </c>
      <c r="B40" s="9">
        <f>IF(AND('Compras'!$H2="Sí",'Compras'!$L2&gt;0),'Compras'!$C2,"")</f>
      </c>
      <c r="E40" s="9">
        <f>IF(AND('Compras'!$H2="Sí",'Compras'!$L2&gt;0),'Compras'!$G2,"")</f>
      </c>
      <c r="G40" s="11">
        <f>IF(AND('Compras'!$H2="Sí",'Compras'!$L2&gt;0),'Compras'!$L2,"")</f>
      </c>
      <c r="H40" s="14">
        <f>IF(AND('Compras'!$H2="Sí",'Compras'!$L2&gt;0),'Compras'!$J2,"")</f>
      </c>
      <c r="I40" s="9">
        <f>IF(AND('Compras'!$H2="Sí",'Compras'!$L2&gt;0),'Compras'!$N2,"")</f>
      </c>
      <c r="P40" s="0">
        <f>IF('Catálogo'!$A40="","",'Catálogo'!$B40)</f>
      </c>
      <c r="Q40" s="0">
        <f>IF('Catálogo'!$A40="","",SUMIF('Ventas'!$D:$D,'Catálogo'!$A40,'Ventas'!$F:$F))</f>
      </c>
      <c r="R40" s="0">
        <f>IF('Catálogo'!$A40="","",$Q40+ROW()/100000)</f>
      </c>
    </row>
    <row r="41">
      <c r="A41" s="14">
        <f>IF(AND('Compras'!$H3="Sí",'Compras'!$L3&gt;0),'Compras'!$A3,"")</f>
      </c>
      <c r="B41" s="9">
        <f>IF(AND('Compras'!$H3="Sí",'Compras'!$L3&gt;0),'Compras'!$C3,"")</f>
      </c>
      <c r="E41" s="9">
        <f>IF(AND('Compras'!$H3="Sí",'Compras'!$L3&gt;0),'Compras'!$G3,"")</f>
      </c>
      <c r="G41" s="11">
        <f>IF(AND('Compras'!$H3="Sí",'Compras'!$L3&gt;0),'Compras'!$L3,"")</f>
      </c>
      <c r="H41" s="14">
        <f>IF(AND('Compras'!$H3="Sí",'Compras'!$L3&gt;0),'Compras'!$J3,"")</f>
      </c>
      <c r="I41" s="9">
        <f>IF(AND('Compras'!$H3="Sí",'Compras'!$L3&gt;0),'Compras'!$N3,"")</f>
      </c>
      <c r="P41" s="0">
        <f>IF('Catálogo'!$A41="","",'Catálogo'!$B41)</f>
      </c>
      <c r="Q41" s="0">
        <f>IF('Catálogo'!$A41="","",SUMIF('Ventas'!$D:$D,'Catálogo'!$A41,'Ventas'!$F:$F))</f>
      </c>
      <c r="R41" s="0">
        <f>IF('Catálogo'!$A41="","",$Q41+ROW()/100000)</f>
      </c>
    </row>
    <row r="42">
      <c r="A42" s="14">
        <f>IF(AND('Compras'!$H4="Sí",'Compras'!$L4&gt;0),'Compras'!$A4,"")</f>
      </c>
      <c r="B42" s="9">
        <f>IF(AND('Compras'!$H4="Sí",'Compras'!$L4&gt;0),'Compras'!$C4,"")</f>
      </c>
      <c r="E42" s="9">
        <f>IF(AND('Compras'!$H4="Sí",'Compras'!$L4&gt;0),'Compras'!$G4,"")</f>
      </c>
      <c r="G42" s="11">
        <f>IF(AND('Compras'!$H4="Sí",'Compras'!$L4&gt;0),'Compras'!$L4,"")</f>
      </c>
      <c r="H42" s="14">
        <f>IF(AND('Compras'!$H4="Sí",'Compras'!$L4&gt;0),'Compras'!$J4,"")</f>
      </c>
      <c r="I42" s="9">
        <f>IF(AND('Compras'!$H4="Sí",'Compras'!$L4&gt;0),'Compras'!$N4,"")</f>
      </c>
      <c r="P42" s="0">
        <f>IF('Catálogo'!$A42="","",'Catálogo'!$B42)</f>
      </c>
      <c r="Q42" s="0">
        <f>IF('Catálogo'!$A42="","",SUMIF('Ventas'!$D:$D,'Catálogo'!$A42,'Ventas'!$F:$F))</f>
      </c>
      <c r="R42" s="0">
        <f>IF('Catálogo'!$A42="","",$Q42+ROW()/100000)</f>
      </c>
    </row>
    <row r="43">
      <c r="A43" s="14">
        <f>IF(AND('Compras'!$H5="Sí",'Compras'!$L5&gt;0),'Compras'!$A5,"")</f>
      </c>
      <c r="B43" s="9">
        <f>IF(AND('Compras'!$H5="Sí",'Compras'!$L5&gt;0),'Compras'!$C5,"")</f>
      </c>
      <c r="E43" s="9">
        <f>IF(AND('Compras'!$H5="Sí",'Compras'!$L5&gt;0),'Compras'!$G5,"")</f>
      </c>
      <c r="G43" s="11">
        <f>IF(AND('Compras'!$H5="Sí",'Compras'!$L5&gt;0),'Compras'!$L5,"")</f>
      </c>
      <c r="H43" s="14">
        <f>IF(AND('Compras'!$H5="Sí",'Compras'!$L5&gt;0),'Compras'!$J5,"")</f>
      </c>
      <c r="I43" s="9">
        <f>IF(AND('Compras'!$H5="Sí",'Compras'!$L5&gt;0),'Compras'!$N5,"")</f>
      </c>
      <c r="P43" s="0">
        <f>IF('Catálogo'!$A43="","",'Catálogo'!$B43)</f>
      </c>
      <c r="Q43" s="0">
        <f>IF('Catálogo'!$A43="","",SUMIF('Ventas'!$D:$D,'Catálogo'!$A43,'Ventas'!$F:$F))</f>
      </c>
      <c r="R43" s="0">
        <f>IF('Catálogo'!$A43="","",$Q43+ROW()/100000)</f>
      </c>
    </row>
    <row r="44">
      <c r="A44" s="14">
        <f>IF(AND('Compras'!$H6="Sí",'Compras'!$L6&gt;0),'Compras'!$A6,"")</f>
      </c>
      <c r="B44" s="9">
        <f>IF(AND('Compras'!$H6="Sí",'Compras'!$L6&gt;0),'Compras'!$C6,"")</f>
      </c>
      <c r="E44" s="9">
        <f>IF(AND('Compras'!$H6="Sí",'Compras'!$L6&gt;0),'Compras'!$G6,"")</f>
      </c>
      <c r="G44" s="11">
        <f>IF(AND('Compras'!$H6="Sí",'Compras'!$L6&gt;0),'Compras'!$L6,"")</f>
      </c>
      <c r="H44" s="14">
        <f>IF(AND('Compras'!$H6="Sí",'Compras'!$L6&gt;0),'Compras'!$J6,"")</f>
      </c>
      <c r="I44" s="9">
        <f>IF(AND('Compras'!$H6="Sí",'Compras'!$L6&gt;0),'Compras'!$N6,"")</f>
      </c>
      <c r="P44" s="0">
        <f>IF('Catálogo'!$A44="","",'Catálogo'!$B44)</f>
      </c>
      <c r="Q44" s="0">
        <f>IF('Catálogo'!$A44="","",SUMIF('Ventas'!$D:$D,'Catálogo'!$A44,'Ventas'!$F:$F))</f>
      </c>
      <c r="R44" s="0">
        <f>IF('Catálogo'!$A44="","",$Q44+ROW()/100000)</f>
      </c>
    </row>
    <row r="45">
      <c r="A45" s="14">
        <f>IF(AND('Compras'!$H7="Sí",'Compras'!$L7&gt;0),'Compras'!$A7,"")</f>
      </c>
      <c r="B45" s="9">
        <f>IF(AND('Compras'!$H7="Sí",'Compras'!$L7&gt;0),'Compras'!$C7,"")</f>
      </c>
      <c r="E45" s="9">
        <f>IF(AND('Compras'!$H7="Sí",'Compras'!$L7&gt;0),'Compras'!$G7,"")</f>
      </c>
      <c r="G45" s="11">
        <f>IF(AND('Compras'!$H7="Sí",'Compras'!$L7&gt;0),'Compras'!$L7,"")</f>
      </c>
      <c r="H45" s="14">
        <f>IF(AND('Compras'!$H7="Sí",'Compras'!$L7&gt;0),'Compras'!$J7,"")</f>
      </c>
      <c r="I45" s="9">
        <f>IF(AND('Compras'!$H7="Sí",'Compras'!$L7&gt;0),'Compras'!$N7,"")</f>
      </c>
      <c r="P45" s="0">
        <f>IF('Catálogo'!$A45="","",'Catálogo'!$B45)</f>
      </c>
      <c r="Q45" s="0">
        <f>IF('Catálogo'!$A45="","",SUMIF('Ventas'!$D:$D,'Catálogo'!$A45,'Ventas'!$F:$F))</f>
      </c>
      <c r="R45" s="0">
        <f>IF('Catálogo'!$A45="","",$Q45+ROW()/100000)</f>
      </c>
    </row>
    <row r="46">
      <c r="A46" s="14">
        <f>IF(AND('Compras'!$H8="Sí",'Compras'!$L8&gt;0),'Compras'!$A8,"")</f>
      </c>
      <c r="B46" s="9">
        <f>IF(AND('Compras'!$H8="Sí",'Compras'!$L8&gt;0),'Compras'!$C8,"")</f>
      </c>
      <c r="E46" s="9">
        <f>IF(AND('Compras'!$H8="Sí",'Compras'!$L8&gt;0),'Compras'!$G8,"")</f>
      </c>
      <c r="G46" s="11">
        <f>IF(AND('Compras'!$H8="Sí",'Compras'!$L8&gt;0),'Compras'!$L8,"")</f>
      </c>
      <c r="H46" s="14">
        <f>IF(AND('Compras'!$H8="Sí",'Compras'!$L8&gt;0),'Compras'!$J8,"")</f>
      </c>
      <c r="I46" s="9">
        <f>IF(AND('Compras'!$H8="Sí",'Compras'!$L8&gt;0),'Compras'!$N8,"")</f>
      </c>
      <c r="P46" s="0">
        <f>IF('Catálogo'!$A46="","",'Catálogo'!$B46)</f>
      </c>
      <c r="Q46" s="0">
        <f>IF('Catálogo'!$A46="","",SUMIF('Ventas'!$D:$D,'Catálogo'!$A46,'Ventas'!$F:$F))</f>
      </c>
      <c r="R46" s="0">
        <f>IF('Catálogo'!$A46="","",$Q46+ROW()/100000)</f>
      </c>
    </row>
    <row r="47">
      <c r="A47" s="14">
        <f>IF(AND('Compras'!$H9="Sí",'Compras'!$L9&gt;0),'Compras'!$A9,"")</f>
      </c>
      <c r="B47" s="9">
        <f>IF(AND('Compras'!$H9="Sí",'Compras'!$L9&gt;0),'Compras'!$C9,"")</f>
      </c>
      <c r="E47" s="9">
        <f>IF(AND('Compras'!$H9="Sí",'Compras'!$L9&gt;0),'Compras'!$G9,"")</f>
      </c>
      <c r="G47" s="11">
        <f>IF(AND('Compras'!$H9="Sí",'Compras'!$L9&gt;0),'Compras'!$L9,"")</f>
      </c>
      <c r="H47" s="14">
        <f>IF(AND('Compras'!$H9="Sí",'Compras'!$L9&gt;0),'Compras'!$J9,"")</f>
      </c>
      <c r="I47" s="9">
        <f>IF(AND('Compras'!$H9="Sí",'Compras'!$L9&gt;0),'Compras'!$N9,"")</f>
      </c>
      <c r="P47" s="0">
        <f>IF('Catálogo'!$A47="","",'Catálogo'!$B47)</f>
      </c>
      <c r="Q47" s="0">
        <f>IF('Catálogo'!$A47="","",SUMIF('Ventas'!$D:$D,'Catálogo'!$A47,'Ventas'!$F:$F))</f>
      </c>
      <c r="R47" s="0">
        <f>IF('Catálogo'!$A47="","",$Q47+ROW()/100000)</f>
      </c>
    </row>
    <row r="48">
      <c r="A48" s="14">
        <f>IF(AND('Compras'!$H10="Sí",'Compras'!$L10&gt;0),'Compras'!$A10,"")</f>
      </c>
      <c r="B48" s="9">
        <f>IF(AND('Compras'!$H10="Sí",'Compras'!$L10&gt;0),'Compras'!$C10,"")</f>
      </c>
      <c r="E48" s="9">
        <f>IF(AND('Compras'!$H10="Sí",'Compras'!$L10&gt;0),'Compras'!$G10,"")</f>
      </c>
      <c r="G48" s="11">
        <f>IF(AND('Compras'!$H10="Sí",'Compras'!$L10&gt;0),'Compras'!$L10,"")</f>
      </c>
      <c r="H48" s="14">
        <f>IF(AND('Compras'!$H10="Sí",'Compras'!$L10&gt;0),'Compras'!$J10,"")</f>
      </c>
      <c r="I48" s="9">
        <f>IF(AND('Compras'!$H10="Sí",'Compras'!$L10&gt;0),'Compras'!$N10,"")</f>
      </c>
      <c r="P48" s="0">
        <f>IF('Catálogo'!$A48="","",'Catálogo'!$B48)</f>
      </c>
      <c r="Q48" s="0">
        <f>IF('Catálogo'!$A48="","",SUMIF('Ventas'!$D:$D,'Catálogo'!$A48,'Ventas'!$F:$F))</f>
      </c>
      <c r="R48" s="0">
        <f>IF('Catálogo'!$A48="","",$Q48+ROW()/100000)</f>
      </c>
    </row>
    <row r="49">
      <c r="A49" s="14">
        <f>IF(AND('Compras'!$H11="Sí",'Compras'!$L11&gt;0),'Compras'!$A11,"")</f>
      </c>
      <c r="B49" s="9">
        <f>IF(AND('Compras'!$H11="Sí",'Compras'!$L11&gt;0),'Compras'!$C11,"")</f>
      </c>
      <c r="E49" s="9">
        <f>IF(AND('Compras'!$H11="Sí",'Compras'!$L11&gt;0),'Compras'!$G11,"")</f>
      </c>
      <c r="G49" s="11">
        <f>IF(AND('Compras'!$H11="Sí",'Compras'!$L11&gt;0),'Compras'!$L11,"")</f>
      </c>
      <c r="H49" s="14">
        <f>IF(AND('Compras'!$H11="Sí",'Compras'!$L11&gt;0),'Compras'!$J11,"")</f>
      </c>
      <c r="I49" s="9">
        <f>IF(AND('Compras'!$H11="Sí",'Compras'!$L11&gt;0),'Compras'!$N11,"")</f>
      </c>
      <c r="P49" s="0">
        <f>IF('Catálogo'!$A49="","",'Catálogo'!$B49)</f>
      </c>
      <c r="Q49" s="0">
        <f>IF('Catálogo'!$A49="","",SUMIF('Ventas'!$D:$D,'Catálogo'!$A49,'Ventas'!$F:$F))</f>
      </c>
      <c r="R49" s="0">
        <f>IF('Catálogo'!$A49="","",$Q49+ROW()/100000)</f>
      </c>
    </row>
    <row r="50">
      <c r="A50" s="14">
        <f>IF(AND('Compras'!$H12="Sí",'Compras'!$L12&gt;0),'Compras'!$A12,"")</f>
      </c>
      <c r="B50" s="9">
        <f>IF(AND('Compras'!$H12="Sí",'Compras'!$L12&gt;0),'Compras'!$C12,"")</f>
      </c>
      <c r="E50" s="9">
        <f>IF(AND('Compras'!$H12="Sí",'Compras'!$L12&gt;0),'Compras'!$G12,"")</f>
      </c>
      <c r="G50" s="11">
        <f>IF(AND('Compras'!$H12="Sí",'Compras'!$L12&gt;0),'Compras'!$L12,"")</f>
      </c>
      <c r="H50" s="14">
        <f>IF(AND('Compras'!$H12="Sí",'Compras'!$L12&gt;0),'Compras'!$J12,"")</f>
      </c>
      <c r="I50" s="9">
        <f>IF(AND('Compras'!$H12="Sí",'Compras'!$L12&gt;0),'Compras'!$N12,"")</f>
      </c>
      <c r="P50" s="0">
        <f>IF('Catálogo'!$A50="","",'Catálogo'!$B50)</f>
      </c>
      <c r="Q50" s="0">
        <f>IF('Catálogo'!$A50="","",SUMIF('Ventas'!$D:$D,'Catálogo'!$A50,'Ventas'!$F:$F))</f>
      </c>
      <c r="R50" s="0">
        <f>IF('Catálogo'!$A50="","",$Q50+ROW()/100000)</f>
      </c>
    </row>
    <row r="51">
      <c r="A51" s="14">
        <f>IF(AND('Compras'!$H13="Sí",'Compras'!$L13&gt;0),'Compras'!$A13,"")</f>
      </c>
      <c r="B51" s="9">
        <f>IF(AND('Compras'!$H13="Sí",'Compras'!$L13&gt;0),'Compras'!$C13,"")</f>
      </c>
      <c r="E51" s="9">
        <f>IF(AND('Compras'!$H13="Sí",'Compras'!$L13&gt;0),'Compras'!$G13,"")</f>
      </c>
      <c r="G51" s="11">
        <f>IF(AND('Compras'!$H13="Sí",'Compras'!$L13&gt;0),'Compras'!$L13,"")</f>
      </c>
      <c r="H51" s="14">
        <f>IF(AND('Compras'!$H13="Sí",'Compras'!$L13&gt;0),'Compras'!$J13,"")</f>
      </c>
      <c r="I51" s="9">
        <f>IF(AND('Compras'!$H13="Sí",'Compras'!$L13&gt;0),'Compras'!$N13,"")</f>
      </c>
      <c r="P51" s="0">
        <f>IF('Catálogo'!$A51="","",'Catálogo'!$B51)</f>
      </c>
      <c r="Q51" s="0">
        <f>IF('Catálogo'!$A51="","",SUMIF('Ventas'!$D:$D,'Catálogo'!$A51,'Ventas'!$F:$F))</f>
      </c>
      <c r="R51" s="0">
        <f>IF('Catálogo'!$A51="","",$Q51+ROW()/100000)</f>
      </c>
    </row>
    <row r="52">
      <c r="A52" s="14">
        <f>IF(AND('Compras'!$H14="Sí",'Compras'!$L14&gt;0),'Compras'!$A14,"")</f>
      </c>
      <c r="B52" s="9">
        <f>IF(AND('Compras'!$H14="Sí",'Compras'!$L14&gt;0),'Compras'!$C14,"")</f>
      </c>
      <c r="E52" s="9">
        <f>IF(AND('Compras'!$H14="Sí",'Compras'!$L14&gt;0),'Compras'!$G14,"")</f>
      </c>
      <c r="G52" s="11">
        <f>IF(AND('Compras'!$H14="Sí",'Compras'!$L14&gt;0),'Compras'!$L14,"")</f>
      </c>
      <c r="H52" s="14">
        <f>IF(AND('Compras'!$H14="Sí",'Compras'!$L14&gt;0),'Compras'!$J14,"")</f>
      </c>
      <c r="I52" s="9">
        <f>IF(AND('Compras'!$H14="Sí",'Compras'!$L14&gt;0),'Compras'!$N14,"")</f>
      </c>
      <c r="P52" s="0">
        <f>IF('Catálogo'!$A52="","",'Catálogo'!$B52)</f>
      </c>
      <c r="Q52" s="0">
        <f>IF('Catálogo'!$A52="","",SUMIF('Ventas'!$D:$D,'Catálogo'!$A52,'Ventas'!$F:$F))</f>
      </c>
      <c r="R52" s="0">
        <f>IF('Catálogo'!$A52="","",$Q52+ROW()/100000)</f>
      </c>
    </row>
    <row r="53">
      <c r="A53" s="14">
        <f>IF(AND('Compras'!$H15="Sí",'Compras'!$L15&gt;0),'Compras'!$A15,"")</f>
      </c>
      <c r="B53" s="9">
        <f>IF(AND('Compras'!$H15="Sí",'Compras'!$L15&gt;0),'Compras'!$C15,"")</f>
      </c>
      <c r="E53" s="9">
        <f>IF(AND('Compras'!$H15="Sí",'Compras'!$L15&gt;0),'Compras'!$G15,"")</f>
      </c>
      <c r="G53" s="11">
        <f>IF(AND('Compras'!$H15="Sí",'Compras'!$L15&gt;0),'Compras'!$L15,"")</f>
      </c>
      <c r="H53" s="14">
        <f>IF(AND('Compras'!$H15="Sí",'Compras'!$L15&gt;0),'Compras'!$J15,"")</f>
      </c>
      <c r="I53" s="9">
        <f>IF(AND('Compras'!$H15="Sí",'Compras'!$L15&gt;0),'Compras'!$N15,"")</f>
      </c>
      <c r="P53" s="0">
        <f>IF('Catálogo'!$A53="","",'Catálogo'!$B53)</f>
      </c>
      <c r="Q53" s="0">
        <f>IF('Catálogo'!$A53="","",SUMIF('Ventas'!$D:$D,'Catálogo'!$A53,'Ventas'!$F:$F))</f>
      </c>
      <c r="R53" s="0">
        <f>IF('Catálogo'!$A53="","",$Q53+ROW()/100000)</f>
      </c>
    </row>
    <row r="54">
      <c r="A54" s="14">
        <f>IF(AND('Compras'!$H16="Sí",'Compras'!$L16&gt;0),'Compras'!$A16,"")</f>
      </c>
      <c r="B54" s="9">
        <f>IF(AND('Compras'!$H16="Sí",'Compras'!$L16&gt;0),'Compras'!$C16,"")</f>
      </c>
      <c r="E54" s="9">
        <f>IF(AND('Compras'!$H16="Sí",'Compras'!$L16&gt;0),'Compras'!$G16,"")</f>
      </c>
      <c r="G54" s="11">
        <f>IF(AND('Compras'!$H16="Sí",'Compras'!$L16&gt;0),'Compras'!$L16,"")</f>
      </c>
      <c r="H54" s="14">
        <f>IF(AND('Compras'!$H16="Sí",'Compras'!$L16&gt;0),'Compras'!$J16,"")</f>
      </c>
      <c r="I54" s="9">
        <f>IF(AND('Compras'!$H16="Sí",'Compras'!$L16&gt;0),'Compras'!$N16,"")</f>
      </c>
      <c r="P54" s="0">
        <f>IF('Catálogo'!$A54="","",'Catálogo'!$B54)</f>
      </c>
      <c r="Q54" s="0">
        <f>IF('Catálogo'!$A54="","",SUMIF('Ventas'!$D:$D,'Catálogo'!$A54,'Ventas'!$F:$F))</f>
      </c>
      <c r="R54" s="0">
        <f>IF('Catálogo'!$A54="","",$Q54+ROW()/100000)</f>
      </c>
    </row>
    <row r="55">
      <c r="P55" s="0">
        <f>IF('Catálogo'!$A55="","",'Catálogo'!$B55)</f>
      </c>
      <c r="Q55" s="0">
        <f>IF('Catálogo'!$A55="","",SUMIF('Ventas'!$D:$D,'Catálogo'!$A55,'Ventas'!$F:$F))</f>
      </c>
      <c r="R55" s="0">
        <f>IF('Catálogo'!$A55="","",$Q55+ROW()/100000)</f>
      </c>
    </row>
    <row r="56">
      <c r="A56" s="5" t="inlineStr">
        <is>
          <t xml:space="preserve">🤝 PRÉSTAMOS A PERSONAS (dinero de la empresa prestado)</t>
        </is>
      </c>
      <c r="P56" s="0">
        <f>IF('Catálogo'!$A56="","",'Catálogo'!$B56)</f>
      </c>
      <c r="Q56" s="0">
        <f>IF('Catálogo'!$A56="","",SUMIF('Ventas'!$D:$D,'Catálogo'!$A56,'Ventas'!$F:$F))</f>
      </c>
      <c r="R56" s="0">
        <f>IF('Catálogo'!$A56="","",$Q56+ROW()/100000)</f>
      </c>
    </row>
    <row r="57" ht="22.00" customHeight="1">
      <c r="A57" s="29" t="inlineStr">
        <is>
          <t xml:space="preserve">PRESTADO ACTUALMENTE</t>
        </is>
      </c>
      <c r="D57" s="26" t="inlineStr">
        <is>
          <t xml:space="preserve">PERSONAS QUE ME DEBEN</t>
        </is>
      </c>
      <c r="G57" s="28" t="inlineStr">
        <is>
          <t xml:space="preserve">DÍAS DEL MÁS ANTIGUO SIN PAGAR</t>
        </is>
      </c>
      <c r="P57" s="0">
        <f>IF('Catálogo'!$A57="","",'Catálogo'!$B57)</f>
      </c>
      <c r="Q57" s="0">
        <f>IF('Catálogo'!$A57="","",SUMIF('Ventas'!$D:$D,'Catálogo'!$A57,'Ventas'!$F:$F))</f>
      </c>
      <c r="R57" s="0">
        <f>IF('Catálogo'!$A57="","",$Q57+ROW()/100000)</f>
      </c>
    </row>
    <row r="58" ht="38.00" customHeight="1">
      <c r="A58" s="30">
        <f>SUM('Préstamos'!$G:$G)</f>
      </c>
      <c r="D58" s="31">
        <f>COUNTIF('Préstamos'!$H:$H,"Pendiente")+COUNTIF('Préstamos'!$H:$H,"Abono parcial")</f>
      </c>
      <c r="G58" s="31">
        <f>IFERROR(MAX('Préstamos'!$I:$I),0)</f>
      </c>
      <c r="P58" s="0">
        <f>IF('Catálogo'!$A58="","",'Catálogo'!$B58)</f>
      </c>
      <c r="Q58" s="0">
        <f>IF('Catálogo'!$A58="","",SUMIF('Ventas'!$D:$D,'Catálogo'!$A58,'Ventas'!$F:$F))</f>
      </c>
      <c r="R58" s="0">
        <f>IF('Catálogo'!$A58="","",$Q58+ROW()/100000)</f>
      </c>
    </row>
    <row r="59">
      <c r="P59" s="0">
        <f>IF('Catálogo'!$A59="","",'Catálogo'!$B59)</f>
      </c>
      <c r="Q59" s="0">
        <f>IF('Catálogo'!$A59="","",SUMIF('Ventas'!$D:$D,'Catálogo'!$A59,'Ventas'!$F:$F))</f>
      </c>
      <c r="R59" s="0">
        <f>IF('Catálogo'!$A59="","",$Q59+ROW()/100000)</f>
      </c>
    </row>
    <row r="60">
      <c r="A60" s="4" t="inlineStr">
        <is>
          <t xml:space="preserve">📋 QUIÉN ME DEBE — del más antiguo primero (empieza a cobrar por arriba)</t>
        </is>
      </c>
      <c r="P60" s="0">
        <f>IF('Catálogo'!$A60="","",'Catálogo'!$B60)</f>
      </c>
      <c r="Q60" s="0">
        <f>IF('Catálogo'!$A60="","",SUMIF('Ventas'!$D:$D,'Catálogo'!$A60,'Ventas'!$F:$F))</f>
      </c>
      <c r="R60" s="0">
        <f>IF('Catálogo'!$A60="","",$Q60+ROW()/100000)</f>
      </c>
    </row>
    <row r="61">
      <c r="A61" s="9">
        <f>IFERROR(QUERY('Préstamos'!$A$2:$J$2000,"select B,C,E,F,G,I where G&gt;0 order by I desc label B 'Persona', C 'Teléfono', E 'Prestado', F 'Abonado', G 'Saldo', I 'Días'",0),"Nadie te debe 🎉")</f>
      </c>
      <c r="P61" s="0">
        <f>IF('Catálogo'!$A61="","",'Catálogo'!$B61)</f>
      </c>
      <c r="Q61" s="0">
        <f>IF('Catálogo'!$A61="","",SUMIF('Ventas'!$D:$D,'Catálogo'!$A61,'Ventas'!$F:$F))</f>
      </c>
      <c r="R61" s="0">
        <f>IF('Catálogo'!$A61="","",$Q61+ROW()/100000)</f>
      </c>
    </row>
    <row r="62">
      <c r="P62" s="0">
        <f>IF('Catálogo'!$A62="","",'Catálogo'!$B62)</f>
      </c>
      <c r="Q62" s="0">
        <f>IF('Catálogo'!$A62="","",SUMIF('Ventas'!$D:$D,'Catálogo'!$A62,'Ventas'!$F:$F))</f>
      </c>
      <c r="R62" s="0">
        <f>IF('Catálogo'!$A62="","",$Q62+ROW()/100000)</f>
      </c>
    </row>
    <row r="63">
      <c r="P63" s="0">
        <f>IF('Catálogo'!$A63="","",'Catálogo'!$B63)</f>
      </c>
      <c r="Q63" s="0">
        <f>IF('Catálogo'!$A63="","",SUMIF('Ventas'!$D:$D,'Catálogo'!$A63,'Ventas'!$F:$F))</f>
      </c>
      <c r="R63" s="0">
        <f>IF('Catálogo'!$A63="","",$Q63+ROW()/100000)</f>
      </c>
    </row>
    <row r="64">
      <c r="P64" s="0">
        <f>IF('Catálogo'!$A64="","",'Catálogo'!$B64)</f>
      </c>
      <c r="Q64" s="0">
        <f>IF('Catálogo'!$A64="","",SUMIF('Ventas'!$D:$D,'Catálogo'!$A64,'Ventas'!$F:$F))</f>
      </c>
      <c r="R64" s="0">
        <f>IF('Catálogo'!$A64="","",$Q64+ROW()/100000)</f>
      </c>
    </row>
    <row r="65">
      <c r="P65" s="0">
        <f>IF('Catálogo'!$A65="","",'Catálogo'!$B65)</f>
      </c>
      <c r="Q65" s="0">
        <f>IF('Catálogo'!$A65="","",SUMIF('Ventas'!$D:$D,'Catálogo'!$A65,'Ventas'!$F:$F))</f>
      </c>
      <c r="R65" s="0">
        <f>IF('Catálogo'!$A65="","",$Q65+ROW()/100000)</f>
      </c>
    </row>
    <row r="66">
      <c r="P66" s="0">
        <f>IF('Catálogo'!$A66="","",'Catálogo'!$B66)</f>
      </c>
      <c r="Q66" s="0">
        <f>IF('Catálogo'!$A66="","",SUMIF('Ventas'!$D:$D,'Catálogo'!$A66,'Ventas'!$F:$F))</f>
      </c>
      <c r="R66" s="0">
        <f>IF('Catálogo'!$A66="","",$Q66+ROW()/100000)</f>
      </c>
    </row>
    <row r="67">
      <c r="P67" s="0">
        <f>IF('Catálogo'!$A67="","",'Catálogo'!$B67)</f>
      </c>
      <c r="Q67" s="0">
        <f>IF('Catálogo'!$A67="","",SUMIF('Ventas'!$D:$D,'Catálogo'!$A67,'Ventas'!$F:$F))</f>
      </c>
      <c r="R67" s="0">
        <f>IF('Catálogo'!$A67="","",$Q67+ROW()/100000)</f>
      </c>
    </row>
    <row r="68">
      <c r="P68" s="0">
        <f>IF('Catálogo'!$A68="","",'Catálogo'!$B68)</f>
      </c>
      <c r="Q68" s="0">
        <f>IF('Catálogo'!$A68="","",SUMIF('Ventas'!$D:$D,'Catálogo'!$A68,'Ventas'!$F:$F))</f>
      </c>
      <c r="R68" s="0">
        <f>IF('Catálogo'!$A68="","",$Q68+ROW()/100000)</f>
      </c>
    </row>
    <row r="69">
      <c r="P69" s="0">
        <f>IF('Catálogo'!$A69="","",'Catálogo'!$B69)</f>
      </c>
      <c r="Q69" s="0">
        <f>IF('Catálogo'!$A69="","",SUMIF('Ventas'!$D:$D,'Catálogo'!$A69,'Ventas'!$F:$F))</f>
      </c>
      <c r="R69" s="0">
        <f>IF('Catálogo'!$A69="","",$Q69+ROW()/100000)</f>
      </c>
    </row>
    <row r="70">
      <c r="P70" s="0">
        <f>IF('Catálogo'!$A70="","",'Catálogo'!$B70)</f>
      </c>
      <c r="Q70" s="0">
        <f>IF('Catálogo'!$A70="","",SUMIF('Ventas'!$D:$D,'Catálogo'!$A70,'Ventas'!$F:$F))</f>
      </c>
      <c r="R70" s="0">
        <f>IF('Catálogo'!$A70="","",$Q70+ROW()/100000)</f>
      </c>
    </row>
    <row r="71">
      <c r="P71" s="0">
        <f>IF('Catálogo'!$A71="","",'Catálogo'!$B71)</f>
      </c>
      <c r="Q71" s="0">
        <f>IF('Catálogo'!$A71="","",SUMIF('Ventas'!$D:$D,'Catálogo'!$A71,'Ventas'!$F:$F))</f>
      </c>
      <c r="R71" s="0">
        <f>IF('Catálogo'!$A71="","",$Q71+ROW()/100000)</f>
      </c>
    </row>
    <row r="72">
      <c r="P72" s="0">
        <f>IF('Catálogo'!$A72="","",'Catálogo'!$B72)</f>
      </c>
      <c r="Q72" s="0">
        <f>IF('Catálogo'!$A72="","",SUMIF('Ventas'!$D:$D,'Catálogo'!$A72,'Ventas'!$F:$F))</f>
      </c>
      <c r="R72" s="0">
        <f>IF('Catálogo'!$A72="","",$Q72+ROW()/100000)</f>
      </c>
    </row>
    <row r="73">
      <c r="P73" s="0">
        <f>IF('Catálogo'!$A73="","",'Catálogo'!$B73)</f>
      </c>
      <c r="Q73" s="0">
        <f>IF('Catálogo'!$A73="","",SUMIF('Ventas'!$D:$D,'Catálogo'!$A73,'Ventas'!$F:$F))</f>
      </c>
      <c r="R73" s="0">
        <f>IF('Catálogo'!$A73="","",$Q73+ROW()/100000)</f>
      </c>
    </row>
    <row r="74">
      <c r="P74" s="0">
        <f>IF('Catálogo'!$A74="","",'Catálogo'!$B74)</f>
      </c>
      <c r="Q74" s="0">
        <f>IF('Catálogo'!$A74="","",SUMIF('Ventas'!$D:$D,'Catálogo'!$A74,'Ventas'!$F:$F))</f>
      </c>
      <c r="R74" s="0">
        <f>IF('Catálogo'!$A74="","",$Q74+ROW()/100000)</f>
      </c>
    </row>
    <row r="75">
      <c r="P75" s="0">
        <f>IF('Catálogo'!$A75="","",'Catálogo'!$B75)</f>
      </c>
      <c r="Q75" s="0">
        <f>IF('Catálogo'!$A75="","",SUMIF('Ventas'!$D:$D,'Catálogo'!$A75,'Ventas'!$F:$F))</f>
      </c>
      <c r="R75" s="0">
        <f>IF('Catálogo'!$A75="","",$Q75+ROW()/100000)</f>
      </c>
    </row>
    <row r="76">
      <c r="P76" s="0">
        <f>IF('Catálogo'!$A76="","",'Catálogo'!$B76)</f>
      </c>
      <c r="Q76" s="0">
        <f>IF('Catálogo'!$A76="","",SUMIF('Ventas'!$D:$D,'Catálogo'!$A76,'Ventas'!$F:$F))</f>
      </c>
      <c r="R76" s="0">
        <f>IF('Catálogo'!$A76="","",$Q76+ROW()/100000)</f>
      </c>
    </row>
    <row r="77">
      <c r="P77" s="0">
        <f>IF('Catálogo'!$A77="","",'Catálogo'!$B77)</f>
      </c>
      <c r="Q77" s="0">
        <f>IF('Catálogo'!$A77="","",SUMIF('Ventas'!$D:$D,'Catálogo'!$A77,'Ventas'!$F:$F))</f>
      </c>
      <c r="R77" s="0">
        <f>IF('Catálogo'!$A77="","",$Q77+ROW()/100000)</f>
      </c>
    </row>
    <row r="78">
      <c r="P78" s="0">
        <f>IF('Catálogo'!$A78="","",'Catálogo'!$B78)</f>
      </c>
      <c r="Q78" s="0">
        <f>IF('Catálogo'!$A78="","",SUMIF('Ventas'!$D:$D,'Catálogo'!$A78,'Ventas'!$F:$F))</f>
      </c>
      <c r="R78" s="0">
        <f>IF('Catálogo'!$A78="","",$Q78+ROW()/100000)</f>
      </c>
    </row>
    <row r="79">
      <c r="P79" s="0">
        <f>IF('Catálogo'!$A79="","",'Catálogo'!$B79)</f>
      </c>
      <c r="Q79" s="0">
        <f>IF('Catálogo'!$A79="","",SUMIF('Ventas'!$D:$D,'Catálogo'!$A79,'Ventas'!$F:$F))</f>
      </c>
      <c r="R79" s="0">
        <f>IF('Catálogo'!$A79="","",$Q79+ROW()/100000)</f>
      </c>
    </row>
    <row r="80">
      <c r="P80" s="0">
        <f>IF('Catálogo'!$A80="","",'Catálogo'!$B80)</f>
      </c>
      <c r="Q80" s="0">
        <f>IF('Catálogo'!$A80="","",SUMIF('Ventas'!$D:$D,'Catálogo'!$A80,'Ventas'!$F:$F))</f>
      </c>
      <c r="R80" s="0">
        <f>IF('Catálogo'!$A80="","",$Q80+ROW()/100000)</f>
      </c>
    </row>
    <row r="81">
      <c r="P81" s="0">
        <f>IF('Catálogo'!$A81="","",'Catálogo'!$B81)</f>
      </c>
      <c r="Q81" s="0">
        <f>IF('Catálogo'!$A81="","",SUMIF('Ventas'!$D:$D,'Catálogo'!$A81,'Ventas'!$F:$F))</f>
      </c>
      <c r="R81" s="0">
        <f>IF('Catálogo'!$A81="","",$Q81+ROW()/100000)</f>
      </c>
    </row>
    <row r="82">
      <c r="P82" s="0">
        <f>IF('Catálogo'!$A82="","",'Catálogo'!$B82)</f>
      </c>
      <c r="Q82" s="0">
        <f>IF('Catálogo'!$A82="","",SUMIF('Ventas'!$D:$D,'Catálogo'!$A82,'Ventas'!$F:$F))</f>
      </c>
      <c r="R82" s="0">
        <f>IF('Catálogo'!$A82="","",$Q82+ROW()/100000)</f>
      </c>
    </row>
    <row r="83">
      <c r="P83" s="0">
        <f>IF('Catálogo'!$A83="","",'Catálogo'!$B83)</f>
      </c>
      <c r="Q83" s="0">
        <f>IF('Catálogo'!$A83="","",SUMIF('Ventas'!$D:$D,'Catálogo'!$A83,'Ventas'!$F:$F))</f>
      </c>
      <c r="R83" s="0">
        <f>IF('Catálogo'!$A83="","",$Q83+ROW()/100000)</f>
      </c>
    </row>
    <row r="84">
      <c r="P84" s="0">
        <f>IF('Catálogo'!$A84="","",'Catálogo'!$B84)</f>
      </c>
      <c r="Q84" s="0">
        <f>IF('Catálogo'!$A84="","",SUMIF('Ventas'!$D:$D,'Catálogo'!$A84,'Ventas'!$F:$F))</f>
      </c>
      <c r="R84" s="0">
        <f>IF('Catálogo'!$A84="","",$Q84+ROW()/100000)</f>
      </c>
    </row>
    <row r="85">
      <c r="P85" s="0">
        <f>IF('Catálogo'!$A85="","",'Catálogo'!$B85)</f>
      </c>
      <c r="Q85" s="0">
        <f>IF('Catálogo'!$A85="","",SUMIF('Ventas'!$D:$D,'Catálogo'!$A85,'Ventas'!$F:$F))</f>
      </c>
      <c r="R85" s="0">
        <f>IF('Catálogo'!$A85="","",$Q85+ROW()/100000)</f>
      </c>
    </row>
    <row r="86">
      <c r="P86" s="0">
        <f>IF('Catálogo'!$A86="","",'Catálogo'!$B86)</f>
      </c>
      <c r="Q86" s="0">
        <f>IF('Catálogo'!$A86="","",SUMIF('Ventas'!$D:$D,'Catálogo'!$A86,'Ventas'!$F:$F))</f>
      </c>
      <c r="R86" s="0">
        <f>IF('Catálogo'!$A86="","",$Q86+ROW()/100000)</f>
      </c>
    </row>
    <row r="87">
      <c r="P87" s="0">
        <f>IF('Catálogo'!$A87="","",'Catálogo'!$B87)</f>
      </c>
      <c r="Q87" s="0">
        <f>IF('Catálogo'!$A87="","",SUMIF('Ventas'!$D:$D,'Catálogo'!$A87,'Ventas'!$F:$F))</f>
      </c>
      <c r="R87" s="0">
        <f>IF('Catálogo'!$A87="","",$Q87+ROW()/100000)</f>
      </c>
    </row>
    <row r="88">
      <c r="P88" s="0">
        <f>IF('Catálogo'!$A88="","",'Catálogo'!$B88)</f>
      </c>
      <c r="Q88" s="0">
        <f>IF('Catálogo'!$A88="","",SUMIF('Ventas'!$D:$D,'Catálogo'!$A88,'Ventas'!$F:$F))</f>
      </c>
      <c r="R88" s="0">
        <f>IF('Catálogo'!$A88="","",$Q88+ROW()/100000)</f>
      </c>
    </row>
    <row r="89">
      <c r="P89" s="0">
        <f>IF('Catálogo'!$A89="","",'Catálogo'!$B89)</f>
      </c>
      <c r="Q89" s="0">
        <f>IF('Catálogo'!$A89="","",SUMIF('Ventas'!$D:$D,'Catálogo'!$A89,'Ventas'!$F:$F))</f>
      </c>
      <c r="R89" s="0">
        <f>IF('Catálogo'!$A89="","",$Q89+ROW()/100000)</f>
      </c>
    </row>
    <row r="90">
      <c r="P90" s="0">
        <f>IF('Catálogo'!$A90="","",'Catálogo'!$B90)</f>
      </c>
      <c r="Q90" s="0">
        <f>IF('Catálogo'!$A90="","",SUMIF('Ventas'!$D:$D,'Catálogo'!$A90,'Ventas'!$F:$F))</f>
      </c>
      <c r="R90" s="0">
        <f>IF('Catálogo'!$A90="","",$Q90+ROW()/100000)</f>
      </c>
    </row>
    <row r="91">
      <c r="P91" s="0">
        <f>IF('Catálogo'!$A91="","",'Catálogo'!$B91)</f>
      </c>
      <c r="Q91" s="0">
        <f>IF('Catálogo'!$A91="","",SUMIF('Ventas'!$D:$D,'Catálogo'!$A91,'Ventas'!$F:$F))</f>
      </c>
      <c r="R91" s="0">
        <f>IF('Catálogo'!$A91="","",$Q91+ROW()/100000)</f>
      </c>
    </row>
    <row r="92">
      <c r="P92" s="0">
        <f>IF('Catálogo'!$A92="","",'Catálogo'!$B92)</f>
      </c>
      <c r="Q92" s="0">
        <f>IF('Catálogo'!$A92="","",SUMIF('Ventas'!$D:$D,'Catálogo'!$A92,'Ventas'!$F:$F))</f>
      </c>
      <c r="R92" s="0">
        <f>IF('Catálogo'!$A92="","",$Q92+ROW()/100000)</f>
      </c>
    </row>
    <row r="93">
      <c r="P93" s="0">
        <f>IF('Catálogo'!$A93="","",'Catálogo'!$B93)</f>
      </c>
      <c r="Q93" s="0">
        <f>IF('Catálogo'!$A93="","",SUMIF('Ventas'!$D:$D,'Catálogo'!$A93,'Ventas'!$F:$F))</f>
      </c>
      <c r="R93" s="0">
        <f>IF('Catálogo'!$A93="","",$Q93+ROW()/100000)</f>
      </c>
    </row>
    <row r="94">
      <c r="P94" s="0">
        <f>IF('Catálogo'!$A94="","",'Catálogo'!$B94)</f>
      </c>
      <c r="Q94" s="0">
        <f>IF('Catálogo'!$A94="","",SUMIF('Ventas'!$D:$D,'Catálogo'!$A94,'Ventas'!$F:$F))</f>
      </c>
      <c r="R94" s="0">
        <f>IF('Catálogo'!$A94="","",$Q94+ROW()/100000)</f>
      </c>
    </row>
    <row r="95">
      <c r="P95" s="0">
        <f>IF('Catálogo'!$A95="","",'Catálogo'!$B95)</f>
      </c>
      <c r="Q95" s="0">
        <f>IF('Catálogo'!$A95="","",SUMIF('Ventas'!$D:$D,'Catálogo'!$A95,'Ventas'!$F:$F))</f>
      </c>
      <c r="R95" s="0">
        <f>IF('Catálogo'!$A95="","",$Q95+ROW()/100000)</f>
      </c>
    </row>
    <row r="96">
      <c r="P96" s="0">
        <f>IF('Catálogo'!$A96="","",'Catálogo'!$B96)</f>
      </c>
      <c r="Q96" s="0">
        <f>IF('Catálogo'!$A96="","",SUMIF('Ventas'!$D:$D,'Catálogo'!$A96,'Ventas'!$F:$F))</f>
      </c>
      <c r="R96" s="0">
        <f>IF('Catálogo'!$A96="","",$Q96+ROW()/100000)</f>
      </c>
    </row>
    <row r="97">
      <c r="P97" s="0">
        <f>IF('Catálogo'!$A97="","",'Catálogo'!$B97)</f>
      </c>
      <c r="Q97" s="0">
        <f>IF('Catálogo'!$A97="","",SUMIF('Ventas'!$D:$D,'Catálogo'!$A97,'Ventas'!$F:$F))</f>
      </c>
      <c r="R97" s="0">
        <f>IF('Catálogo'!$A97="","",$Q97+ROW()/100000)</f>
      </c>
    </row>
    <row r="98">
      <c r="P98" s="0">
        <f>IF('Catálogo'!$A98="","",'Catálogo'!$B98)</f>
      </c>
      <c r="Q98" s="0">
        <f>IF('Catálogo'!$A98="","",SUMIF('Ventas'!$D:$D,'Catálogo'!$A98,'Ventas'!$F:$F))</f>
      </c>
      <c r="R98" s="0">
        <f>IF('Catálogo'!$A98="","",$Q98+ROW()/100000)</f>
      </c>
    </row>
    <row r="99">
      <c r="P99" s="0">
        <f>IF('Catálogo'!$A99="","",'Catálogo'!$B99)</f>
      </c>
      <c r="Q99" s="0">
        <f>IF('Catálogo'!$A99="","",SUMIF('Ventas'!$D:$D,'Catálogo'!$A99,'Ventas'!$F:$F))</f>
      </c>
      <c r="R99" s="0">
        <f>IF('Catálogo'!$A99="","",$Q99+ROW()/100000)</f>
      </c>
    </row>
    <row r="100">
      <c r="P100" s="0">
        <f>IF('Catálogo'!$A100="","",'Catálogo'!$B100)</f>
      </c>
      <c r="Q100" s="0">
        <f>IF('Catálogo'!$A100="","",SUMIF('Ventas'!$D:$D,'Catálogo'!$A100,'Ventas'!$F:$F))</f>
      </c>
      <c r="R100" s="0">
        <f>IF('Catálogo'!$A100="","",$Q100+ROW()/100000)</f>
      </c>
    </row>
    <row r="101">
      <c r="P101" s="0">
        <f>IF('Catálogo'!$A101="","",'Catálogo'!$B101)</f>
      </c>
      <c r="Q101" s="0">
        <f>IF('Catálogo'!$A101="","",SUMIF('Ventas'!$D:$D,'Catálogo'!$A101,'Ventas'!$F:$F))</f>
      </c>
      <c r="R101" s="0">
        <f>IF('Catálogo'!$A101="","",$Q101+ROW()/100000)</f>
      </c>
    </row>
    <row r="102">
      <c r="P102" s="0">
        <f>IF('Catálogo'!$A102="","",'Catálogo'!$B102)</f>
      </c>
      <c r="Q102" s="0">
        <f>IF('Catálogo'!$A102="","",SUMIF('Ventas'!$D:$D,'Catálogo'!$A102,'Ventas'!$F:$F))</f>
      </c>
      <c r="R102" s="0">
        <f>IF('Catálogo'!$A102="","",$Q102+ROW()/100000)</f>
      </c>
    </row>
    <row r="103">
      <c r="P103" s="0">
        <f>IF('Catálogo'!$A103="","",'Catálogo'!$B103)</f>
      </c>
      <c r="Q103" s="0">
        <f>IF('Catálogo'!$A103="","",SUMIF('Ventas'!$D:$D,'Catálogo'!$A103,'Ventas'!$F:$F))</f>
      </c>
      <c r="R103" s="0">
        <f>IF('Catálogo'!$A103="","",$Q103+ROW()/100000)</f>
      </c>
    </row>
    <row r="104">
      <c r="P104" s="0">
        <f>IF('Catálogo'!$A104="","",'Catálogo'!$B104)</f>
      </c>
      <c r="Q104" s="0">
        <f>IF('Catálogo'!$A104="","",SUMIF('Ventas'!$D:$D,'Catálogo'!$A104,'Ventas'!$F:$F))</f>
      </c>
      <c r="R104" s="0">
        <f>IF('Catálogo'!$A104="","",$Q104+ROW()/100000)</f>
      </c>
    </row>
    <row r="105">
      <c r="P105" s="0">
        <f>IF('Catálogo'!$A105="","",'Catálogo'!$B105)</f>
      </c>
      <c r="Q105" s="0">
        <f>IF('Catálogo'!$A105="","",SUMIF('Ventas'!$D:$D,'Catálogo'!$A105,'Ventas'!$F:$F))</f>
      </c>
      <c r="R105" s="0">
        <f>IF('Catálogo'!$A105="","",$Q105+ROW()/100000)</f>
      </c>
    </row>
    <row r="106">
      <c r="P106" s="0">
        <f>IF('Catálogo'!$A106="","",'Catálogo'!$B106)</f>
      </c>
      <c r="Q106" s="0">
        <f>IF('Catálogo'!$A106="","",SUMIF('Ventas'!$D:$D,'Catálogo'!$A106,'Ventas'!$F:$F))</f>
      </c>
      <c r="R106" s="0">
        <f>IF('Catálogo'!$A106="","",$Q106+ROW()/100000)</f>
      </c>
    </row>
    <row r="107">
      <c r="P107" s="0">
        <f>IF('Catálogo'!$A107="","",'Catálogo'!$B107)</f>
      </c>
      <c r="Q107" s="0">
        <f>IF('Catálogo'!$A107="","",SUMIF('Ventas'!$D:$D,'Catálogo'!$A107,'Ventas'!$F:$F))</f>
      </c>
      <c r="R107" s="0">
        <f>IF('Catálogo'!$A107="","",$Q107+ROW()/100000)</f>
      </c>
    </row>
    <row r="108">
      <c r="P108" s="0">
        <f>IF('Catálogo'!$A108="","",'Catálogo'!$B108)</f>
      </c>
      <c r="Q108" s="0">
        <f>IF('Catálogo'!$A108="","",SUMIF('Ventas'!$D:$D,'Catálogo'!$A108,'Ventas'!$F:$F))</f>
      </c>
      <c r="R108" s="0">
        <f>IF('Catálogo'!$A108="","",$Q108+ROW()/100000)</f>
      </c>
    </row>
    <row r="109">
      <c r="P109" s="0">
        <f>IF('Catálogo'!$A109="","",'Catálogo'!$B109)</f>
      </c>
      <c r="Q109" s="0">
        <f>IF('Catálogo'!$A109="","",SUMIF('Ventas'!$D:$D,'Catálogo'!$A109,'Ventas'!$F:$F))</f>
      </c>
      <c r="R109" s="0">
        <f>IF('Catálogo'!$A109="","",$Q109+ROW()/100000)</f>
      </c>
    </row>
    <row r="110">
      <c r="P110" s="0">
        <f>IF('Catálogo'!$A110="","",'Catálogo'!$B110)</f>
      </c>
      <c r="Q110" s="0">
        <f>IF('Catálogo'!$A110="","",SUMIF('Ventas'!$D:$D,'Catálogo'!$A110,'Ventas'!$F:$F))</f>
      </c>
      <c r="R110" s="0">
        <f>IF('Catálogo'!$A110="","",$Q110+ROW()/100000)</f>
      </c>
    </row>
    <row r="111">
      <c r="P111" s="0">
        <f>IF('Catálogo'!$A111="","",'Catálogo'!$B111)</f>
      </c>
      <c r="Q111" s="0">
        <f>IF('Catálogo'!$A111="","",SUMIF('Ventas'!$D:$D,'Catálogo'!$A111,'Ventas'!$F:$F))</f>
      </c>
      <c r="R111" s="0">
        <f>IF('Catálogo'!$A111="","",$Q111+ROW()/100000)</f>
      </c>
    </row>
    <row r="112">
      <c r="P112" s="0">
        <f>IF('Catálogo'!$A112="","",'Catálogo'!$B112)</f>
      </c>
      <c r="Q112" s="0">
        <f>IF('Catálogo'!$A112="","",SUMIF('Ventas'!$D:$D,'Catálogo'!$A112,'Ventas'!$F:$F))</f>
      </c>
      <c r="R112" s="0">
        <f>IF('Catálogo'!$A112="","",$Q112+ROW()/100000)</f>
      </c>
    </row>
    <row r="113">
      <c r="P113" s="0">
        <f>IF('Catálogo'!$A113="","",'Catálogo'!$B113)</f>
      </c>
      <c r="Q113" s="0">
        <f>IF('Catálogo'!$A113="","",SUMIF('Ventas'!$D:$D,'Catálogo'!$A113,'Ventas'!$F:$F))</f>
      </c>
      <c r="R113" s="0">
        <f>IF('Catálogo'!$A113="","",$Q113+ROW()/100000)</f>
      </c>
    </row>
    <row r="114">
      <c r="P114" s="0">
        <f>IF('Catálogo'!$A114="","",'Catálogo'!$B114)</f>
      </c>
      <c r="Q114" s="0">
        <f>IF('Catálogo'!$A114="","",SUMIF('Ventas'!$D:$D,'Catálogo'!$A114,'Ventas'!$F:$F))</f>
      </c>
      <c r="R114" s="0">
        <f>IF('Catálogo'!$A114="","",$Q114+ROW()/100000)</f>
      </c>
    </row>
    <row r="115">
      <c r="P115" s="0">
        <f>IF('Catálogo'!$A115="","",'Catálogo'!$B115)</f>
      </c>
      <c r="Q115" s="0">
        <f>IF('Catálogo'!$A115="","",SUMIF('Ventas'!$D:$D,'Catálogo'!$A115,'Ventas'!$F:$F))</f>
      </c>
      <c r="R115" s="0">
        <f>IF('Catálogo'!$A115="","",$Q115+ROW()/100000)</f>
      </c>
    </row>
    <row r="116">
      <c r="P116" s="0">
        <f>IF('Catálogo'!$A116="","",'Catálogo'!$B116)</f>
      </c>
      <c r="Q116" s="0">
        <f>IF('Catálogo'!$A116="","",SUMIF('Ventas'!$D:$D,'Catálogo'!$A116,'Ventas'!$F:$F))</f>
      </c>
      <c r="R116" s="0">
        <f>IF('Catálogo'!$A116="","",$Q116+ROW()/100000)</f>
      </c>
    </row>
    <row r="117">
      <c r="P117" s="0">
        <f>IF('Catálogo'!$A117="","",'Catálogo'!$B117)</f>
      </c>
      <c r="Q117" s="0">
        <f>IF('Catálogo'!$A117="","",SUMIF('Ventas'!$D:$D,'Catálogo'!$A117,'Ventas'!$F:$F))</f>
      </c>
      <c r="R117" s="0">
        <f>IF('Catálogo'!$A117="","",$Q117+ROW()/100000)</f>
      </c>
    </row>
    <row r="118">
      <c r="P118" s="0">
        <f>IF('Catálogo'!$A118="","",'Catálogo'!$B118)</f>
      </c>
      <c r="Q118" s="0">
        <f>IF('Catálogo'!$A118="","",SUMIF('Ventas'!$D:$D,'Catálogo'!$A118,'Ventas'!$F:$F))</f>
      </c>
      <c r="R118" s="0">
        <f>IF('Catálogo'!$A118="","",$Q118+ROW()/100000)</f>
      </c>
    </row>
    <row r="119">
      <c r="P119" s="0">
        <f>IF('Catálogo'!$A119="","",'Catálogo'!$B119)</f>
      </c>
      <c r="Q119" s="0">
        <f>IF('Catálogo'!$A119="","",SUMIF('Ventas'!$D:$D,'Catálogo'!$A119,'Ventas'!$F:$F))</f>
      </c>
      <c r="R119" s="0">
        <f>IF('Catálogo'!$A119="","",$Q119+ROW()/100000)</f>
      </c>
    </row>
    <row r="120">
      <c r="P120" s="0">
        <f>IF('Catálogo'!$A120="","",'Catálogo'!$B120)</f>
      </c>
      <c r="Q120" s="0">
        <f>IF('Catálogo'!$A120="","",SUMIF('Ventas'!$D:$D,'Catálogo'!$A120,'Ventas'!$F:$F))</f>
      </c>
      <c r="R120" s="0">
        <f>IF('Catálogo'!$A120="","",$Q120+ROW()/100000)</f>
      </c>
    </row>
    <row r="121">
      <c r="P121" s="0">
        <f>IF('Catálogo'!$A121="","",'Catálogo'!$B121)</f>
      </c>
      <c r="Q121" s="0">
        <f>IF('Catálogo'!$A121="","",SUMIF('Ventas'!$D:$D,'Catálogo'!$A121,'Ventas'!$F:$F))</f>
      </c>
      <c r="R121" s="0">
        <f>IF('Catálogo'!$A121="","",$Q121+ROW()/100000)</f>
      </c>
    </row>
    <row r="122">
      <c r="P122" s="0">
        <f>IF('Catálogo'!$A122="","",'Catálogo'!$B122)</f>
      </c>
      <c r="Q122" s="0">
        <f>IF('Catálogo'!$A122="","",SUMIF('Ventas'!$D:$D,'Catálogo'!$A122,'Ventas'!$F:$F))</f>
      </c>
      <c r="R122" s="0">
        <f>IF('Catálogo'!$A122="","",$Q122+ROW()/100000)</f>
      </c>
    </row>
    <row r="123">
      <c r="P123" s="0">
        <f>IF('Catálogo'!$A123="","",'Catálogo'!$B123)</f>
      </c>
      <c r="Q123" s="0">
        <f>IF('Catálogo'!$A123="","",SUMIF('Ventas'!$D:$D,'Catálogo'!$A123,'Ventas'!$F:$F))</f>
      </c>
      <c r="R123" s="0">
        <f>IF('Catálogo'!$A123="","",$Q123+ROW()/100000)</f>
      </c>
    </row>
    <row r="124">
      <c r="P124" s="0">
        <f>IF('Catálogo'!$A124="","",'Catálogo'!$B124)</f>
      </c>
      <c r="Q124" s="0">
        <f>IF('Catálogo'!$A124="","",SUMIF('Ventas'!$D:$D,'Catálogo'!$A124,'Ventas'!$F:$F))</f>
      </c>
      <c r="R124" s="0">
        <f>IF('Catálogo'!$A124="","",$Q124+ROW()/100000)</f>
      </c>
    </row>
    <row r="125">
      <c r="P125" s="0">
        <f>IF('Catálogo'!$A125="","",'Catálogo'!$B125)</f>
      </c>
      <c r="Q125" s="0">
        <f>IF('Catálogo'!$A125="","",SUMIF('Ventas'!$D:$D,'Catálogo'!$A125,'Ventas'!$F:$F))</f>
      </c>
      <c r="R125" s="0">
        <f>IF('Catálogo'!$A125="","",$Q125+ROW()/100000)</f>
      </c>
    </row>
    <row r="126">
      <c r="P126" s="0">
        <f>IF('Catálogo'!$A126="","",'Catálogo'!$B126)</f>
      </c>
      <c r="Q126" s="0">
        <f>IF('Catálogo'!$A126="","",SUMIF('Ventas'!$D:$D,'Catálogo'!$A126,'Ventas'!$F:$F))</f>
      </c>
      <c r="R126" s="0">
        <f>IF('Catálogo'!$A126="","",$Q126+ROW()/100000)</f>
      </c>
    </row>
    <row r="127">
      <c r="P127" s="0">
        <f>IF('Catálogo'!$A127="","",'Catálogo'!$B127)</f>
      </c>
      <c r="Q127" s="0">
        <f>IF('Catálogo'!$A127="","",SUMIF('Ventas'!$D:$D,'Catálogo'!$A127,'Ventas'!$F:$F))</f>
      </c>
      <c r="R127" s="0">
        <f>IF('Catálogo'!$A127="","",$Q127+ROW()/100000)</f>
      </c>
    </row>
    <row r="128">
      <c r="P128" s="0">
        <f>IF('Catálogo'!$A128="","",'Catálogo'!$B128)</f>
      </c>
      <c r="Q128" s="0">
        <f>IF('Catálogo'!$A128="","",SUMIF('Ventas'!$D:$D,'Catálogo'!$A128,'Ventas'!$F:$F))</f>
      </c>
      <c r="R128" s="0">
        <f>IF('Catálogo'!$A128="","",$Q128+ROW()/100000)</f>
      </c>
    </row>
    <row r="129">
      <c r="P129" s="0">
        <f>IF('Catálogo'!$A129="","",'Catálogo'!$B129)</f>
      </c>
      <c r="Q129" s="0">
        <f>IF('Catálogo'!$A129="","",SUMIF('Ventas'!$D:$D,'Catálogo'!$A129,'Ventas'!$F:$F))</f>
      </c>
      <c r="R129" s="0">
        <f>IF('Catálogo'!$A129="","",$Q129+ROW()/100000)</f>
      </c>
    </row>
    <row r="130">
      <c r="P130" s="0">
        <f>IF('Catálogo'!$A130="","",'Catálogo'!$B130)</f>
      </c>
      <c r="Q130" s="0">
        <f>IF('Catálogo'!$A130="","",SUMIF('Ventas'!$D:$D,'Catálogo'!$A130,'Ventas'!$F:$F))</f>
      </c>
      <c r="R130" s="0">
        <f>IF('Catálogo'!$A130="","",$Q130+ROW()/100000)</f>
      </c>
    </row>
    <row r="131">
      <c r="P131" s="0">
        <f>IF('Catálogo'!$A131="","",'Catálogo'!$B131)</f>
      </c>
      <c r="Q131" s="0">
        <f>IF('Catálogo'!$A131="","",SUMIF('Ventas'!$D:$D,'Catálogo'!$A131,'Ventas'!$F:$F))</f>
      </c>
      <c r="R131" s="0">
        <f>IF('Catálogo'!$A131="","",$Q131+ROW()/100000)</f>
      </c>
    </row>
    <row r="132">
      <c r="P132" s="0">
        <f>IF('Catálogo'!$A132="","",'Catálogo'!$B132)</f>
      </c>
      <c r="Q132" s="0">
        <f>IF('Catálogo'!$A132="","",SUMIF('Ventas'!$D:$D,'Catálogo'!$A132,'Ventas'!$F:$F))</f>
      </c>
      <c r="R132" s="0">
        <f>IF('Catálogo'!$A132="","",$Q132+ROW()/100000)</f>
      </c>
    </row>
    <row r="133">
      <c r="P133" s="0">
        <f>IF('Catálogo'!$A133="","",'Catálogo'!$B133)</f>
      </c>
      <c r="Q133" s="0">
        <f>IF('Catálogo'!$A133="","",SUMIF('Ventas'!$D:$D,'Catálogo'!$A133,'Ventas'!$F:$F))</f>
      </c>
      <c r="R133" s="0">
        <f>IF('Catálogo'!$A133="","",$Q133+ROW()/100000)</f>
      </c>
    </row>
    <row r="134">
      <c r="P134" s="0">
        <f>IF('Catálogo'!$A134="","",'Catálogo'!$B134)</f>
      </c>
      <c r="Q134" s="0">
        <f>IF('Catálogo'!$A134="","",SUMIF('Ventas'!$D:$D,'Catálogo'!$A134,'Ventas'!$F:$F))</f>
      </c>
      <c r="R134" s="0">
        <f>IF('Catálogo'!$A134="","",$Q134+ROW()/100000)</f>
      </c>
    </row>
    <row r="135">
      <c r="P135" s="0">
        <f>IF('Catálogo'!$A135="","",'Catálogo'!$B135)</f>
      </c>
      <c r="Q135" s="0">
        <f>IF('Catálogo'!$A135="","",SUMIF('Ventas'!$D:$D,'Catálogo'!$A135,'Ventas'!$F:$F))</f>
      </c>
      <c r="R135" s="0">
        <f>IF('Catálogo'!$A135="","",$Q135+ROW()/100000)</f>
      </c>
    </row>
    <row r="136">
      <c r="P136" s="0">
        <f>IF('Catálogo'!$A136="","",'Catálogo'!$B136)</f>
      </c>
      <c r="Q136" s="0">
        <f>IF('Catálogo'!$A136="","",SUMIF('Ventas'!$D:$D,'Catálogo'!$A136,'Ventas'!$F:$F))</f>
      </c>
      <c r="R136" s="0">
        <f>IF('Catálogo'!$A136="","",$Q136+ROW()/100000)</f>
      </c>
    </row>
    <row r="137">
      <c r="P137" s="0">
        <f>IF('Catálogo'!$A137="","",'Catálogo'!$B137)</f>
      </c>
      <c r="Q137" s="0">
        <f>IF('Catálogo'!$A137="","",SUMIF('Ventas'!$D:$D,'Catálogo'!$A137,'Ventas'!$F:$F))</f>
      </c>
      <c r="R137" s="0">
        <f>IF('Catálogo'!$A137="","",$Q137+ROW()/100000)</f>
      </c>
    </row>
    <row r="138">
      <c r="P138" s="0">
        <f>IF('Catálogo'!$A138="","",'Catálogo'!$B138)</f>
      </c>
      <c r="Q138" s="0">
        <f>IF('Catálogo'!$A138="","",SUMIF('Ventas'!$D:$D,'Catálogo'!$A138,'Ventas'!$F:$F))</f>
      </c>
      <c r="R138" s="0">
        <f>IF('Catálogo'!$A138="","",$Q138+ROW()/100000)</f>
      </c>
    </row>
    <row r="139">
      <c r="P139" s="0">
        <f>IF('Catálogo'!$A139="","",'Catálogo'!$B139)</f>
      </c>
      <c r="Q139" s="0">
        <f>IF('Catálogo'!$A139="","",SUMIF('Ventas'!$D:$D,'Catálogo'!$A139,'Ventas'!$F:$F))</f>
      </c>
      <c r="R139" s="0">
        <f>IF('Catálogo'!$A139="","",$Q139+ROW()/100000)</f>
      </c>
    </row>
    <row r="140">
      <c r="P140" s="0">
        <f>IF('Catálogo'!$A140="","",'Catálogo'!$B140)</f>
      </c>
      <c r="Q140" s="0">
        <f>IF('Catálogo'!$A140="","",SUMIF('Ventas'!$D:$D,'Catálogo'!$A140,'Ventas'!$F:$F))</f>
      </c>
      <c r="R140" s="0">
        <f>IF('Catálogo'!$A140="","",$Q140+ROW()/100000)</f>
      </c>
    </row>
    <row r="141">
      <c r="P141" s="0">
        <f>IF('Catálogo'!$A141="","",'Catálogo'!$B141)</f>
      </c>
      <c r="Q141" s="0">
        <f>IF('Catálogo'!$A141="","",SUMIF('Ventas'!$D:$D,'Catálogo'!$A141,'Ventas'!$F:$F))</f>
      </c>
      <c r="R141" s="0">
        <f>IF('Catálogo'!$A141="","",$Q141+ROW()/100000)</f>
      </c>
    </row>
    <row r="142">
      <c r="P142" s="0">
        <f>IF('Catálogo'!$A142="","",'Catálogo'!$B142)</f>
      </c>
      <c r="Q142" s="0">
        <f>IF('Catálogo'!$A142="","",SUMIF('Ventas'!$D:$D,'Catálogo'!$A142,'Ventas'!$F:$F))</f>
      </c>
      <c r="R142" s="0">
        <f>IF('Catálogo'!$A142="","",$Q142+ROW()/100000)</f>
      </c>
    </row>
    <row r="143">
      <c r="P143" s="0">
        <f>IF('Catálogo'!$A143="","",'Catálogo'!$B143)</f>
      </c>
      <c r="Q143" s="0">
        <f>IF('Catálogo'!$A143="","",SUMIF('Ventas'!$D:$D,'Catálogo'!$A143,'Ventas'!$F:$F))</f>
      </c>
      <c r="R143" s="0">
        <f>IF('Catálogo'!$A143="","",$Q143+ROW()/100000)</f>
      </c>
    </row>
    <row r="144">
      <c r="P144" s="0">
        <f>IF('Catálogo'!$A144="","",'Catálogo'!$B144)</f>
      </c>
      <c r="Q144" s="0">
        <f>IF('Catálogo'!$A144="","",SUMIF('Ventas'!$D:$D,'Catálogo'!$A144,'Ventas'!$F:$F))</f>
      </c>
      <c r="R144" s="0">
        <f>IF('Catálogo'!$A144="","",$Q144+ROW()/100000)</f>
      </c>
    </row>
    <row r="145">
      <c r="P145" s="0">
        <f>IF('Catálogo'!$A145="","",'Catálogo'!$B145)</f>
      </c>
      <c r="Q145" s="0">
        <f>IF('Catálogo'!$A145="","",SUMIF('Ventas'!$D:$D,'Catálogo'!$A145,'Ventas'!$F:$F))</f>
      </c>
      <c r="R145" s="0">
        <f>IF('Catálogo'!$A145="","",$Q145+ROW()/100000)</f>
      </c>
    </row>
    <row r="146">
      <c r="P146" s="0">
        <f>IF('Catálogo'!$A146="","",'Catálogo'!$B146)</f>
      </c>
      <c r="Q146" s="0">
        <f>IF('Catálogo'!$A146="","",SUMIF('Ventas'!$D:$D,'Catálogo'!$A146,'Ventas'!$F:$F))</f>
      </c>
      <c r="R146" s="0">
        <f>IF('Catálogo'!$A146="","",$Q146+ROW()/100000)</f>
      </c>
    </row>
    <row r="147">
      <c r="P147" s="0">
        <f>IF('Catálogo'!$A147="","",'Catálogo'!$B147)</f>
      </c>
      <c r="Q147" s="0">
        <f>IF('Catálogo'!$A147="","",SUMIF('Ventas'!$D:$D,'Catálogo'!$A147,'Ventas'!$F:$F))</f>
      </c>
      <c r="R147" s="0">
        <f>IF('Catálogo'!$A147="","",$Q147+ROW()/100000)</f>
      </c>
    </row>
    <row r="148">
      <c r="P148" s="0">
        <f>IF('Catálogo'!$A148="","",'Catálogo'!$B148)</f>
      </c>
      <c r="Q148" s="0">
        <f>IF('Catálogo'!$A148="","",SUMIF('Ventas'!$D:$D,'Catálogo'!$A148,'Ventas'!$F:$F))</f>
      </c>
      <c r="R148" s="0">
        <f>IF('Catálogo'!$A148="","",$Q148+ROW()/100000)</f>
      </c>
    </row>
    <row r="149">
      <c r="P149" s="0">
        <f>IF('Catálogo'!$A149="","",'Catálogo'!$B149)</f>
      </c>
      <c r="Q149" s="0">
        <f>IF('Catálogo'!$A149="","",SUMIF('Ventas'!$D:$D,'Catálogo'!$A149,'Ventas'!$F:$F))</f>
      </c>
      <c r="R149" s="0">
        <f>IF('Catálogo'!$A149="","",$Q149+ROW()/100000)</f>
      </c>
    </row>
    <row r="150">
      <c r="P150" s="0">
        <f>IF('Catálogo'!$A150="","",'Catálogo'!$B150)</f>
      </c>
      <c r="Q150" s="0">
        <f>IF('Catálogo'!$A150="","",SUMIF('Ventas'!$D:$D,'Catálogo'!$A150,'Ventas'!$F:$F))</f>
      </c>
      <c r="R150" s="0">
        <f>IF('Catálogo'!$A150="","",$Q150+ROW()/100000)</f>
      </c>
    </row>
    <row r="151">
      <c r="P151" s="0">
        <f>IF('Catálogo'!$A151="","",'Catálogo'!$B151)</f>
      </c>
      <c r="Q151" s="0">
        <f>IF('Catálogo'!$A151="","",SUMIF('Ventas'!$D:$D,'Catálogo'!$A151,'Ventas'!$F:$F))</f>
      </c>
      <c r="R151" s="0">
        <f>IF('Catálogo'!$A151="","",$Q151+ROW()/100000)</f>
      </c>
    </row>
    <row r="152">
      <c r="P152" s="0">
        <f>IF('Catálogo'!$A152="","",'Catálogo'!$B152)</f>
      </c>
      <c r="Q152" s="0">
        <f>IF('Catálogo'!$A152="","",SUMIF('Ventas'!$D:$D,'Catálogo'!$A152,'Ventas'!$F:$F))</f>
      </c>
      <c r="R152" s="0">
        <f>IF('Catálogo'!$A152="","",$Q152+ROW()/100000)</f>
      </c>
    </row>
    <row r="153">
      <c r="P153" s="0">
        <f>IF('Catálogo'!$A153="","",'Catálogo'!$B153)</f>
      </c>
      <c r="Q153" s="0">
        <f>IF('Catálogo'!$A153="","",SUMIF('Ventas'!$D:$D,'Catálogo'!$A153,'Ventas'!$F:$F))</f>
      </c>
      <c r="R153" s="0">
        <f>IF('Catálogo'!$A153="","",$Q153+ROW()/100000)</f>
      </c>
    </row>
    <row r="154">
      <c r="P154" s="0">
        <f>IF('Catálogo'!$A154="","",'Catálogo'!$B154)</f>
      </c>
      <c r="Q154" s="0">
        <f>IF('Catálogo'!$A154="","",SUMIF('Ventas'!$D:$D,'Catálogo'!$A154,'Ventas'!$F:$F))</f>
      </c>
      <c r="R154" s="0">
        <f>IF('Catálogo'!$A154="","",$Q154+ROW()/100000)</f>
      </c>
    </row>
    <row r="155">
      <c r="P155" s="0">
        <f>IF('Catálogo'!$A155="","",'Catálogo'!$B155)</f>
      </c>
      <c r="Q155" s="0">
        <f>IF('Catálogo'!$A155="","",SUMIF('Ventas'!$D:$D,'Catálogo'!$A155,'Ventas'!$F:$F))</f>
      </c>
      <c r="R155" s="0">
        <f>IF('Catálogo'!$A155="","",$Q155+ROW()/100000)</f>
      </c>
    </row>
    <row r="156">
      <c r="P156" s="0">
        <f>IF('Catálogo'!$A156="","",'Catálogo'!$B156)</f>
      </c>
      <c r="Q156" s="0">
        <f>IF('Catálogo'!$A156="","",SUMIF('Ventas'!$D:$D,'Catálogo'!$A156,'Ventas'!$F:$F))</f>
      </c>
      <c r="R156" s="0">
        <f>IF('Catálogo'!$A156="","",$Q156+ROW()/100000)</f>
      </c>
    </row>
    <row r="157">
      <c r="P157" s="0">
        <f>IF('Catálogo'!$A157="","",'Catálogo'!$B157)</f>
      </c>
      <c r="Q157" s="0">
        <f>IF('Catálogo'!$A157="","",SUMIF('Ventas'!$D:$D,'Catálogo'!$A157,'Ventas'!$F:$F))</f>
      </c>
      <c r="R157" s="0">
        <f>IF('Catálogo'!$A157="","",$Q157+ROW()/100000)</f>
      </c>
    </row>
    <row r="158">
      <c r="P158" s="0">
        <f>IF('Catálogo'!$A158="","",'Catálogo'!$B158)</f>
      </c>
      <c r="Q158" s="0">
        <f>IF('Catálogo'!$A158="","",SUMIF('Ventas'!$D:$D,'Catálogo'!$A158,'Ventas'!$F:$F))</f>
      </c>
      <c r="R158" s="0">
        <f>IF('Catálogo'!$A158="","",$Q158+ROW()/100000)</f>
      </c>
    </row>
    <row r="159">
      <c r="P159" s="0">
        <f>IF('Catálogo'!$A159="","",'Catálogo'!$B159)</f>
      </c>
      <c r="Q159" s="0">
        <f>IF('Catálogo'!$A159="","",SUMIF('Ventas'!$D:$D,'Catálogo'!$A159,'Ventas'!$F:$F))</f>
      </c>
      <c r="R159" s="0">
        <f>IF('Catálogo'!$A159="","",$Q159+ROW()/100000)</f>
      </c>
    </row>
    <row r="160">
      <c r="P160" s="0">
        <f>IF('Catálogo'!$A160="","",'Catálogo'!$B160)</f>
      </c>
      <c r="Q160" s="0">
        <f>IF('Catálogo'!$A160="","",SUMIF('Ventas'!$D:$D,'Catálogo'!$A160,'Ventas'!$F:$F))</f>
      </c>
      <c r="R160" s="0">
        <f>IF('Catálogo'!$A160="","",$Q160+ROW()/100000)</f>
      </c>
    </row>
    <row r="161">
      <c r="P161" s="0">
        <f>IF('Catálogo'!$A161="","",'Catálogo'!$B161)</f>
      </c>
      <c r="Q161" s="0">
        <f>IF('Catálogo'!$A161="","",SUMIF('Ventas'!$D:$D,'Catálogo'!$A161,'Ventas'!$F:$F))</f>
      </c>
      <c r="R161" s="0">
        <f>IF('Catálogo'!$A161="","",$Q161+ROW()/100000)</f>
      </c>
    </row>
    <row r="162">
      <c r="P162" s="0">
        <f>IF('Catálogo'!$A162="","",'Catálogo'!$B162)</f>
      </c>
      <c r="Q162" s="0">
        <f>IF('Catálogo'!$A162="","",SUMIF('Ventas'!$D:$D,'Catálogo'!$A162,'Ventas'!$F:$F))</f>
      </c>
      <c r="R162" s="0">
        <f>IF('Catálogo'!$A162="","",$Q162+ROW()/100000)</f>
      </c>
    </row>
    <row r="163">
      <c r="P163" s="0">
        <f>IF('Catálogo'!$A163="","",'Catálogo'!$B163)</f>
      </c>
      <c r="Q163" s="0">
        <f>IF('Catálogo'!$A163="","",SUMIF('Ventas'!$D:$D,'Catálogo'!$A163,'Ventas'!$F:$F))</f>
      </c>
      <c r="R163" s="0">
        <f>IF('Catálogo'!$A163="","",$Q163+ROW()/100000)</f>
      </c>
    </row>
    <row r="164">
      <c r="P164" s="0">
        <f>IF('Catálogo'!$A164="","",'Catálogo'!$B164)</f>
      </c>
      <c r="Q164" s="0">
        <f>IF('Catálogo'!$A164="","",SUMIF('Ventas'!$D:$D,'Catálogo'!$A164,'Ventas'!$F:$F))</f>
      </c>
      <c r="R164" s="0">
        <f>IF('Catálogo'!$A164="","",$Q164+ROW()/100000)</f>
      </c>
    </row>
    <row r="165">
      <c r="P165" s="0">
        <f>IF('Catálogo'!$A165="","",'Catálogo'!$B165)</f>
      </c>
      <c r="Q165" s="0">
        <f>IF('Catálogo'!$A165="","",SUMIF('Ventas'!$D:$D,'Catálogo'!$A165,'Ventas'!$F:$F))</f>
      </c>
      <c r="R165" s="0">
        <f>IF('Catálogo'!$A165="","",$Q165+ROW()/100000)</f>
      </c>
    </row>
    <row r="166">
      <c r="P166" s="0">
        <f>IF('Catálogo'!$A166="","",'Catálogo'!$B166)</f>
      </c>
      <c r="Q166" s="0">
        <f>IF('Catálogo'!$A166="","",SUMIF('Ventas'!$D:$D,'Catálogo'!$A166,'Ventas'!$F:$F))</f>
      </c>
      <c r="R166" s="0">
        <f>IF('Catálogo'!$A166="","",$Q166+ROW()/100000)</f>
      </c>
    </row>
    <row r="167">
      <c r="P167" s="0">
        <f>IF('Catálogo'!$A167="","",'Catálogo'!$B167)</f>
      </c>
      <c r="Q167" s="0">
        <f>IF('Catálogo'!$A167="","",SUMIF('Ventas'!$D:$D,'Catálogo'!$A167,'Ventas'!$F:$F))</f>
      </c>
      <c r="R167" s="0">
        <f>IF('Catálogo'!$A167="","",$Q167+ROW()/100000)</f>
      </c>
    </row>
    <row r="168">
      <c r="P168" s="0">
        <f>IF('Catálogo'!$A168="","",'Catálogo'!$B168)</f>
      </c>
      <c r="Q168" s="0">
        <f>IF('Catálogo'!$A168="","",SUMIF('Ventas'!$D:$D,'Catálogo'!$A168,'Ventas'!$F:$F))</f>
      </c>
      <c r="R168" s="0">
        <f>IF('Catálogo'!$A168="","",$Q168+ROW()/100000)</f>
      </c>
    </row>
    <row r="169">
      <c r="P169" s="0">
        <f>IF('Catálogo'!$A169="","",'Catálogo'!$B169)</f>
      </c>
      <c r="Q169" s="0">
        <f>IF('Catálogo'!$A169="","",SUMIF('Ventas'!$D:$D,'Catálogo'!$A169,'Ventas'!$F:$F))</f>
      </c>
      <c r="R169" s="0">
        <f>IF('Catálogo'!$A169="","",$Q169+ROW()/100000)</f>
      </c>
    </row>
    <row r="170">
      <c r="P170" s="0">
        <f>IF('Catálogo'!$A170="","",'Catálogo'!$B170)</f>
      </c>
      <c r="Q170" s="0">
        <f>IF('Catálogo'!$A170="","",SUMIF('Ventas'!$D:$D,'Catálogo'!$A170,'Ventas'!$F:$F))</f>
      </c>
      <c r="R170" s="0">
        <f>IF('Catálogo'!$A170="","",$Q170+ROW()/100000)</f>
      </c>
    </row>
    <row r="171">
      <c r="P171" s="0">
        <f>IF('Catálogo'!$A171="","",'Catálogo'!$B171)</f>
      </c>
      <c r="Q171" s="0">
        <f>IF('Catálogo'!$A171="","",SUMIF('Ventas'!$D:$D,'Catálogo'!$A171,'Ventas'!$F:$F))</f>
      </c>
      <c r="R171" s="0">
        <f>IF('Catálogo'!$A171="","",$Q171+ROW()/100000)</f>
      </c>
    </row>
    <row r="172">
      <c r="P172" s="0">
        <f>IF('Catálogo'!$A172="","",'Catálogo'!$B172)</f>
      </c>
      <c r="Q172" s="0">
        <f>IF('Catálogo'!$A172="","",SUMIF('Ventas'!$D:$D,'Catálogo'!$A172,'Ventas'!$F:$F))</f>
      </c>
      <c r="R172" s="0">
        <f>IF('Catálogo'!$A172="","",$Q172+ROW()/100000)</f>
      </c>
    </row>
    <row r="173">
      <c r="P173" s="0">
        <f>IF('Catálogo'!$A173="","",'Catálogo'!$B173)</f>
      </c>
      <c r="Q173" s="0">
        <f>IF('Catálogo'!$A173="","",SUMIF('Ventas'!$D:$D,'Catálogo'!$A173,'Ventas'!$F:$F))</f>
      </c>
      <c r="R173" s="0">
        <f>IF('Catálogo'!$A173="","",$Q173+ROW()/100000)</f>
      </c>
    </row>
    <row r="174">
      <c r="P174" s="0">
        <f>IF('Catálogo'!$A174="","",'Catálogo'!$B174)</f>
      </c>
      <c r="Q174" s="0">
        <f>IF('Catálogo'!$A174="","",SUMIF('Ventas'!$D:$D,'Catálogo'!$A174,'Ventas'!$F:$F))</f>
      </c>
      <c r="R174" s="0">
        <f>IF('Catálogo'!$A174="","",$Q174+ROW()/100000)</f>
      </c>
    </row>
    <row r="175">
      <c r="P175" s="0">
        <f>IF('Catálogo'!$A175="","",'Catálogo'!$B175)</f>
      </c>
      <c r="Q175" s="0">
        <f>IF('Catálogo'!$A175="","",SUMIF('Ventas'!$D:$D,'Catálogo'!$A175,'Ventas'!$F:$F))</f>
      </c>
      <c r="R175" s="0">
        <f>IF('Catálogo'!$A175="","",$Q175+ROW()/100000)</f>
      </c>
    </row>
    <row r="176">
      <c r="P176" s="0">
        <f>IF('Catálogo'!$A176="","",'Catálogo'!$B176)</f>
      </c>
      <c r="Q176" s="0">
        <f>IF('Catálogo'!$A176="","",SUMIF('Ventas'!$D:$D,'Catálogo'!$A176,'Ventas'!$F:$F))</f>
      </c>
      <c r="R176" s="0">
        <f>IF('Catálogo'!$A176="","",$Q176+ROW()/100000)</f>
      </c>
    </row>
    <row r="177">
      <c r="P177" s="0">
        <f>IF('Catálogo'!$A177="","",'Catálogo'!$B177)</f>
      </c>
      <c r="Q177" s="0">
        <f>IF('Catálogo'!$A177="","",SUMIF('Ventas'!$D:$D,'Catálogo'!$A177,'Ventas'!$F:$F))</f>
      </c>
      <c r="R177" s="0">
        <f>IF('Catálogo'!$A177="","",$Q177+ROW()/100000)</f>
      </c>
    </row>
    <row r="178">
      <c r="P178" s="0">
        <f>IF('Catálogo'!$A178="","",'Catálogo'!$B178)</f>
      </c>
      <c r="Q178" s="0">
        <f>IF('Catálogo'!$A178="","",SUMIF('Ventas'!$D:$D,'Catálogo'!$A178,'Ventas'!$F:$F))</f>
      </c>
      <c r="R178" s="0">
        <f>IF('Catálogo'!$A178="","",$Q178+ROW()/100000)</f>
      </c>
    </row>
    <row r="179">
      <c r="P179" s="0">
        <f>IF('Catálogo'!$A179="","",'Catálogo'!$B179)</f>
      </c>
      <c r="Q179" s="0">
        <f>IF('Catálogo'!$A179="","",SUMIF('Ventas'!$D:$D,'Catálogo'!$A179,'Ventas'!$F:$F))</f>
      </c>
      <c r="R179" s="0">
        <f>IF('Catálogo'!$A179="","",$Q179+ROW()/100000)</f>
      </c>
    </row>
    <row r="180">
      <c r="P180" s="0">
        <f>IF('Catálogo'!$A180="","",'Catálogo'!$B180)</f>
      </c>
      <c r="Q180" s="0">
        <f>IF('Catálogo'!$A180="","",SUMIF('Ventas'!$D:$D,'Catálogo'!$A180,'Ventas'!$F:$F))</f>
      </c>
      <c r="R180" s="0">
        <f>IF('Catálogo'!$A180="","",$Q180+ROW()/100000)</f>
      </c>
    </row>
    <row r="181">
      <c r="P181" s="0">
        <f>IF('Catálogo'!$A181="","",'Catálogo'!$B181)</f>
      </c>
      <c r="Q181" s="0">
        <f>IF('Catálogo'!$A181="","",SUMIF('Ventas'!$D:$D,'Catálogo'!$A181,'Ventas'!$F:$F))</f>
      </c>
      <c r="R181" s="0">
        <f>IF('Catálogo'!$A181="","",$Q181+ROW()/100000)</f>
      </c>
    </row>
    <row r="182">
      <c r="P182" s="0">
        <f>IF('Catálogo'!$A182="","",'Catálogo'!$B182)</f>
      </c>
      <c r="Q182" s="0">
        <f>IF('Catálogo'!$A182="","",SUMIF('Ventas'!$D:$D,'Catálogo'!$A182,'Ventas'!$F:$F))</f>
      </c>
      <c r="R182" s="0">
        <f>IF('Catálogo'!$A182="","",$Q182+ROW()/100000)</f>
      </c>
    </row>
    <row r="183">
      <c r="P183" s="0">
        <f>IF('Catálogo'!$A183="","",'Catálogo'!$B183)</f>
      </c>
      <c r="Q183" s="0">
        <f>IF('Catálogo'!$A183="","",SUMIF('Ventas'!$D:$D,'Catálogo'!$A183,'Ventas'!$F:$F))</f>
      </c>
      <c r="R183" s="0">
        <f>IF('Catálogo'!$A183="","",$Q183+ROW()/100000)</f>
      </c>
    </row>
    <row r="184">
      <c r="P184" s="0">
        <f>IF('Catálogo'!$A184="","",'Catálogo'!$B184)</f>
      </c>
      <c r="Q184" s="0">
        <f>IF('Catálogo'!$A184="","",SUMIF('Ventas'!$D:$D,'Catálogo'!$A184,'Ventas'!$F:$F))</f>
      </c>
      <c r="R184" s="0">
        <f>IF('Catálogo'!$A184="","",$Q184+ROW()/100000)</f>
      </c>
    </row>
    <row r="185">
      <c r="P185" s="0">
        <f>IF('Catálogo'!$A185="","",'Catálogo'!$B185)</f>
      </c>
      <c r="Q185" s="0">
        <f>IF('Catálogo'!$A185="","",SUMIF('Ventas'!$D:$D,'Catálogo'!$A185,'Ventas'!$F:$F))</f>
      </c>
      <c r="R185" s="0">
        <f>IF('Catálogo'!$A185="","",$Q185+ROW()/100000)</f>
      </c>
    </row>
    <row r="186">
      <c r="P186" s="0">
        <f>IF('Catálogo'!$A186="","",'Catálogo'!$B186)</f>
      </c>
      <c r="Q186" s="0">
        <f>IF('Catálogo'!$A186="","",SUMIF('Ventas'!$D:$D,'Catálogo'!$A186,'Ventas'!$F:$F))</f>
      </c>
      <c r="R186" s="0">
        <f>IF('Catálogo'!$A186="","",$Q186+ROW()/100000)</f>
      </c>
    </row>
    <row r="187">
      <c r="P187" s="0">
        <f>IF('Catálogo'!$A187="","",'Catálogo'!$B187)</f>
      </c>
      <c r="Q187" s="0">
        <f>IF('Catálogo'!$A187="","",SUMIF('Ventas'!$D:$D,'Catálogo'!$A187,'Ventas'!$F:$F))</f>
      </c>
      <c r="R187" s="0">
        <f>IF('Catálogo'!$A187="","",$Q187+ROW()/100000)</f>
      </c>
    </row>
    <row r="188">
      <c r="P188" s="0">
        <f>IF('Catálogo'!$A188="","",'Catálogo'!$B188)</f>
      </c>
      <c r="Q188" s="0">
        <f>IF('Catálogo'!$A188="","",SUMIF('Ventas'!$D:$D,'Catálogo'!$A188,'Ventas'!$F:$F))</f>
      </c>
      <c r="R188" s="0">
        <f>IF('Catálogo'!$A188="","",$Q188+ROW()/100000)</f>
      </c>
    </row>
    <row r="189">
      <c r="P189" s="0">
        <f>IF('Catálogo'!$A189="","",'Catálogo'!$B189)</f>
      </c>
      <c r="Q189" s="0">
        <f>IF('Catálogo'!$A189="","",SUMIF('Ventas'!$D:$D,'Catálogo'!$A189,'Ventas'!$F:$F))</f>
      </c>
      <c r="R189" s="0">
        <f>IF('Catálogo'!$A189="","",$Q189+ROW()/100000)</f>
      </c>
    </row>
    <row r="190">
      <c r="P190" s="0">
        <f>IF('Catálogo'!$A190="","",'Catálogo'!$B190)</f>
      </c>
      <c r="Q190" s="0">
        <f>IF('Catálogo'!$A190="","",SUMIF('Ventas'!$D:$D,'Catálogo'!$A190,'Ventas'!$F:$F))</f>
      </c>
      <c r="R190" s="0">
        <f>IF('Catálogo'!$A190="","",$Q190+ROW()/100000)</f>
      </c>
    </row>
    <row r="191">
      <c r="P191" s="0">
        <f>IF('Catálogo'!$A191="","",'Catálogo'!$B191)</f>
      </c>
      <c r="Q191" s="0">
        <f>IF('Catálogo'!$A191="","",SUMIF('Ventas'!$D:$D,'Catálogo'!$A191,'Ventas'!$F:$F))</f>
      </c>
      <c r="R191" s="0">
        <f>IF('Catálogo'!$A191="","",$Q191+ROW()/100000)</f>
      </c>
    </row>
    <row r="192">
      <c r="P192" s="0">
        <f>IF('Catálogo'!$A192="","",'Catálogo'!$B192)</f>
      </c>
      <c r="Q192" s="0">
        <f>IF('Catálogo'!$A192="","",SUMIF('Ventas'!$D:$D,'Catálogo'!$A192,'Ventas'!$F:$F))</f>
      </c>
      <c r="R192" s="0">
        <f>IF('Catálogo'!$A192="","",$Q192+ROW()/100000)</f>
      </c>
    </row>
    <row r="193">
      <c r="P193" s="0">
        <f>IF('Catálogo'!$A193="","",'Catálogo'!$B193)</f>
      </c>
      <c r="Q193" s="0">
        <f>IF('Catálogo'!$A193="","",SUMIF('Ventas'!$D:$D,'Catálogo'!$A193,'Ventas'!$F:$F))</f>
      </c>
      <c r="R193" s="0">
        <f>IF('Catálogo'!$A193="","",$Q193+ROW()/100000)</f>
      </c>
    </row>
    <row r="194">
      <c r="P194" s="0">
        <f>IF('Catálogo'!$A194="","",'Catálogo'!$B194)</f>
      </c>
      <c r="Q194" s="0">
        <f>IF('Catálogo'!$A194="","",SUMIF('Ventas'!$D:$D,'Catálogo'!$A194,'Ventas'!$F:$F))</f>
      </c>
      <c r="R194" s="0">
        <f>IF('Catálogo'!$A194="","",$Q194+ROW()/100000)</f>
      </c>
    </row>
    <row r="195">
      <c r="P195" s="0">
        <f>IF('Catálogo'!$A195="","",'Catálogo'!$B195)</f>
      </c>
      <c r="Q195" s="0">
        <f>IF('Catálogo'!$A195="","",SUMIF('Ventas'!$D:$D,'Catálogo'!$A195,'Ventas'!$F:$F))</f>
      </c>
      <c r="R195" s="0">
        <f>IF('Catálogo'!$A195="","",$Q195+ROW()/100000)</f>
      </c>
    </row>
    <row r="196">
      <c r="P196" s="0">
        <f>IF('Catálogo'!$A196="","",'Catálogo'!$B196)</f>
      </c>
      <c r="Q196" s="0">
        <f>IF('Catálogo'!$A196="","",SUMIF('Ventas'!$D:$D,'Catálogo'!$A196,'Ventas'!$F:$F))</f>
      </c>
      <c r="R196" s="0">
        <f>IF('Catálogo'!$A196="","",$Q196+ROW()/100000)</f>
      </c>
    </row>
    <row r="197">
      <c r="P197" s="0">
        <f>IF('Catálogo'!$A197="","",'Catálogo'!$B197)</f>
      </c>
      <c r="Q197" s="0">
        <f>IF('Catálogo'!$A197="","",SUMIF('Ventas'!$D:$D,'Catálogo'!$A197,'Ventas'!$F:$F))</f>
      </c>
      <c r="R197" s="0">
        <f>IF('Catálogo'!$A197="","",$Q197+ROW()/100000)</f>
      </c>
    </row>
    <row r="198">
      <c r="P198" s="0">
        <f>IF('Catálogo'!$A198="","",'Catálogo'!$B198)</f>
      </c>
      <c r="Q198" s="0">
        <f>IF('Catálogo'!$A198="","",SUMIF('Ventas'!$D:$D,'Catálogo'!$A198,'Ventas'!$F:$F))</f>
      </c>
      <c r="R198" s="0">
        <f>IF('Catálogo'!$A198="","",$Q198+ROW()/100000)</f>
      </c>
    </row>
    <row r="199">
      <c r="P199" s="0">
        <f>IF('Catálogo'!$A199="","",'Catálogo'!$B199)</f>
      </c>
      <c r="Q199" s="0">
        <f>IF('Catálogo'!$A199="","",SUMIF('Ventas'!$D:$D,'Catálogo'!$A199,'Ventas'!$F:$F))</f>
      </c>
      <c r="R199" s="0">
        <f>IF('Catálogo'!$A199="","",$Q199+ROW()/100000)</f>
      </c>
    </row>
    <row r="200">
      <c r="P200" s="0">
        <f>IF('Catálogo'!$A200="","",'Catálogo'!$B200)</f>
      </c>
      <c r="Q200" s="0">
        <f>IF('Catálogo'!$A200="","",SUMIF('Ventas'!$D:$D,'Catálogo'!$A200,'Ventas'!$F:$F))</f>
      </c>
      <c r="R200" s="0">
        <f>IF('Catálogo'!$A200="","",$Q200+ROW()/100000)</f>
      </c>
    </row>
    <row r="201">
      <c r="P201" s="0">
        <f>IF('Catálogo'!$A201="","",'Catálogo'!$B201)</f>
      </c>
      <c r="Q201" s="0">
        <f>IF('Catálogo'!$A201="","",SUMIF('Ventas'!$D:$D,'Catálogo'!$A201,'Ventas'!$F:$F))</f>
      </c>
      <c r="R201" s="0">
        <f>IF('Catálogo'!$A201="","",$Q201+ROW()/100000)</f>
      </c>
    </row>
  </sheetData>
  <mergeCells count="106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1:E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G11:L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A26:L26"/>
    <mergeCell ref="A35:C35"/>
    <mergeCell ref="A36:C36"/>
    <mergeCell ref="D35:F35"/>
    <mergeCell ref="D36:F36"/>
    <mergeCell ref="G35:I35"/>
    <mergeCell ref="G36:I36"/>
    <mergeCell ref="A38:L38"/>
    <mergeCell ref="B39:D39"/>
    <mergeCell ref="E39:F39"/>
    <mergeCell ref="I39:L39"/>
    <mergeCell ref="B40:D40"/>
    <mergeCell ref="E40:F40"/>
    <mergeCell ref="I40:L40"/>
    <mergeCell ref="B41:D41"/>
    <mergeCell ref="E41:F41"/>
    <mergeCell ref="I41:L41"/>
    <mergeCell ref="B42:D42"/>
    <mergeCell ref="E42:F42"/>
    <mergeCell ref="I42:L42"/>
    <mergeCell ref="B43:D43"/>
    <mergeCell ref="E43:F43"/>
    <mergeCell ref="I43:L43"/>
    <mergeCell ref="B44:D44"/>
    <mergeCell ref="E44:F44"/>
    <mergeCell ref="I44:L44"/>
    <mergeCell ref="B45:D45"/>
    <mergeCell ref="E45:F45"/>
    <mergeCell ref="I45:L45"/>
    <mergeCell ref="B46:D46"/>
    <mergeCell ref="E46:F46"/>
    <mergeCell ref="I46:L46"/>
    <mergeCell ref="B47:D47"/>
    <mergeCell ref="E47:F47"/>
    <mergeCell ref="I47:L47"/>
    <mergeCell ref="B48:D48"/>
    <mergeCell ref="E48:F48"/>
    <mergeCell ref="I48:L48"/>
    <mergeCell ref="B49:D49"/>
    <mergeCell ref="E49:F49"/>
    <mergeCell ref="I49:L49"/>
    <mergeCell ref="B50:D50"/>
    <mergeCell ref="E50:F50"/>
    <mergeCell ref="I50:L50"/>
    <mergeCell ref="B51:D51"/>
    <mergeCell ref="E51:F51"/>
    <mergeCell ref="I51:L51"/>
    <mergeCell ref="B52:D52"/>
    <mergeCell ref="E52:F52"/>
    <mergeCell ref="I52:L52"/>
    <mergeCell ref="B53:D53"/>
    <mergeCell ref="E53:F53"/>
    <mergeCell ref="I53:L53"/>
    <mergeCell ref="B54:D54"/>
    <mergeCell ref="E54:F54"/>
    <mergeCell ref="I54:L54"/>
    <mergeCell ref="A56:L56"/>
    <mergeCell ref="A57:C57"/>
    <mergeCell ref="A58:C58"/>
    <mergeCell ref="D57:F57"/>
    <mergeCell ref="D58:F58"/>
    <mergeCell ref="G57:I57"/>
    <mergeCell ref="G58:I58"/>
    <mergeCell ref="A60:L60"/>
  </mergeCells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01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12.00" customWidth="1"/>
    <col min="2" max="2" width="32.00" customWidth="1"/>
    <col min="3" max="3" width="18.00" customWidth="1"/>
    <col min="4" max="4" width="11.00" customWidth="1"/>
    <col min="5" max="5" width="12.00" customWidth="1"/>
    <col min="6" max="6" width="15.00" customWidth="1"/>
    <col min="7" max="7" width="12.00" customWidth="1"/>
    <col min="8" max="8" width="18.00" customWidth="1"/>
    <col min="9" max="9" width="12.00" customWidth="1"/>
    <col min="10" max="10" width="16.00" customWidth="1"/>
    <col min="11" max="11" width="14.00" customWidth="1"/>
    <col min="12" max="12" width="8.00" customWidth="1"/>
    <col min="13" max="13" width="36.00" customWidth="1"/>
    <col min="14" max="14" width="14.00" customWidth="1"/>
    <col min="15" max="15" width="14.00" customWidth="1"/>
    <col min="16" max="16" width="8.00" customWidth="1" hidden="1"/>
    <col min="17" max="17" width="8.00" customWidth="1" hidden="1"/>
    <col min="18" max="18" width="16.00" customWidth="1"/>
    <col min="19" max="19" width="8.00" customWidth="1" hidden="1"/>
    <col min="20" max="20" width="8.00" customWidth="1" hidden="1"/>
    <col min="21" max="21" width="8.00" customWidth="1" hidden="1"/>
    <col min="22" max="22" width="14.00" customWidth="1"/>
    <col min="23" max="23" width="13.00" customWidth="1"/>
    <col min="24" max="24" width="14.00" customWidth="1"/>
    <col min="25" max="25" width="30.00" customWidth="1"/>
  </cols>
  <sheetData>
    <row r="1">
      <c r="A1" s="1" t="inlineStr">
        <is>
          <t xml:space="preserve">Código</t>
        </is>
      </c>
      <c r="B1" s="1" t="inlineStr">
        <is>
          <t xml:space="preserve">Nombre</t>
        </is>
      </c>
      <c r="C1" s="1" t="inlineStr">
        <is>
          <t xml:space="preserve">Categoría</t>
        </is>
      </c>
      <c r="D1" s="1" t="inlineStr">
        <is>
          <t xml:space="preserve">Estado</t>
        </is>
      </c>
      <c r="E1" s="1" t="inlineStr">
        <is>
          <t xml:space="preserve">Stock Mínimo</t>
        </is>
      </c>
      <c r="F1" s="1" t="inlineStr">
        <is>
          <t xml:space="preserve">Costo Promedio</t>
        </is>
      </c>
      <c r="G1" s="1" t="inlineStr">
        <is>
          <t xml:space="preserve">Stock Casa</t>
        </is>
      </c>
      <c r="H1" s="1" t="inlineStr">
        <is>
          <t xml:space="preserve">Stock Mercado Libre</t>
        </is>
      </c>
      <c r="I1" s="1" t="inlineStr">
        <is>
          <t xml:space="preserve">Stock Total</t>
        </is>
      </c>
      <c r="J1" s="1" t="inlineStr">
        <is>
          <t xml:space="preserve">Valor Inventario</t>
        </is>
      </c>
      <c r="K1" s="1" t="inlineStr">
        <is>
          <t xml:space="preserve">Estado Stock</t>
        </is>
      </c>
      <c r="L1" s="1" t="inlineStr">
        <is>
          <t xml:space="preserve">IVA %</t>
        </is>
      </c>
      <c r="M1" s="1" t="inlineStr">
        <is>
          <t xml:space="preserve">URL Imagen</t>
        </is>
      </c>
      <c r="N1" s="1" t="inlineStr">
        <is>
          <t xml:space="preserve">Precio Detal</t>
        </is>
      </c>
      <c r="O1" s="1" t="inlineStr">
        <is>
          <t xml:space="preserve">Precio Mayor</t>
        </is>
      </c>
      <c r="P1" s="1" t="inlineStr">
        <is>
          <t xml:space="preserve">_rank</t>
        </is>
      </c>
      <c r="Q1" s="1" t="inlineStr">
        <is>
          <t xml:space="preserve">_key</t>
        </is>
      </c>
      <c r="R1" s="1" t="inlineStr">
        <is>
          <t xml:space="preserve">Medidas (ej. 30x40)</t>
        </is>
      </c>
      <c r="S1" s="1" t="inlineStr">
        <is>
          <t xml:space="preserve">_orden</t>
        </is>
      </c>
      <c r="T1" s="1" t="inlineStr">
        <is>
          <t xml:space="preserve">_rankAll</t>
        </is>
      </c>
      <c r="U1" s="1" t="inlineStr">
        <is>
          <t xml:space="preserve">_keyAll</t>
        </is>
      </c>
      <c r="V1" s="1" t="inlineStr">
        <is>
          <t xml:space="preserve">Fecha 1ª Compra</t>
        </is>
      </c>
      <c r="W1" s="1" t="inlineStr">
        <is>
          <t xml:space="preserve">Días en Bodega</t>
        </is>
      </c>
      <c r="X1" s="1" t="inlineStr">
        <is>
          <t xml:space="preserve">Vendidas (total)</t>
        </is>
      </c>
      <c r="Y1" s="1" t="inlineStr">
        <is>
          <t xml:space="preserve">Reabastecer</t>
        </is>
      </c>
    </row>
    <row r="2">
      <c r="A2" s="20"/>
      <c r="B2" s="20"/>
      <c r="C2" s="20"/>
      <c r="D2" s="20"/>
      <c r="E2" s="21"/>
      <c r="F2" s="16">
        <f>IF($A2="","",IFERROR(SUMIF('Compras'!$B:$B,$A2,'Compras'!$F:$F)/SUMIF('Compras'!$B:$B,$A2,'Compras'!$D:$D),0))</f>
      </c>
      <c r="G2" s="17">
        <f>IF($A2="","",SUMIF('Compras'!$B:$B,$A2,'Compras'!$D:$D)+SUMIF('Traslados'!$H:$H,$A2&amp;"|Casa",'Traslados'!$D:$D)-SUMIF('Traslados'!$G:$G,$A2&amp;"|Casa",'Traslados'!$D:$D)-SUMIF('Ventas'!$M:$M,$A2&amp;"|Casa",'Ventas'!$F:$F)+SUMIF('Ajustes'!$H:$H,$A2&amp;"|Casa",'Ajustes'!$D:$D))</f>
      </c>
      <c r="H2" s="17">
        <f>IF($A2="","",SUMIF('Traslados'!$H:$H,$A2&amp;"|Mercado Libre",'Traslados'!$D:$D)-SUMIF('Traslados'!$G:$G,$A2&amp;"|Mercado Libre",'Traslados'!$D:$D)-SUMIF('Ventas'!$M:$M,$A2&amp;"|Mercado Libre",'Ventas'!$F:$F)+SUMIF('Ajustes'!$H:$H,$A2&amp;"|Mercado Libre",'Ajustes'!$D:$D))</f>
      </c>
      <c r="I2" s="17">
        <f>IF($A2="","",$G2+$H2)</f>
      </c>
      <c r="J2" s="16">
        <f>IF($A2="","",$I2*$F2)</f>
      </c>
      <c r="K2" s="19">
        <f>IF($A2="","",IF($I2&lt;=0,"Agotado",IF($I2&lt;=$E2,"Stock bajo","Disponible")))</f>
      </c>
      <c r="L2" s="17">
        <f>IF($A2="","",IFERROR(VLOOKUP($C2,'Config'!$D$2:$E$30,2,FALSE),0))</f>
      </c>
      <c r="M2" s="20"/>
      <c r="N2" s="22"/>
      <c r="O2" s="22"/>
      <c r="P2" s="17">
        <f>IF(OR($A2="",$D2&lt;&gt;"Activo"),"",SUMPRODUCT(($C$2:$C$201=$C2)*($D$2:$D$201="Activo")*(($S$2:$S$201&lt;$S2)+(($S$2:$S$201=$S2)*($B$2:$B$201&lt;$B2))))+1)</f>
      </c>
      <c r="Q2" s="19">
        <f>IF($P2="","",$C2&amp;"|"&amp;$P2)</f>
      </c>
      <c r="R2" s="20"/>
      <c r="S2" s="17">
        <f>IF($A2="","",IFERROR(VALUE(TRIM(LEFT($R2,FIND("x",LOWER($R2))-1)))*VALUE(TRIM(MID($R2,FIND("x",LOWER($R2))+1,20))),0))</f>
      </c>
      <c r="T2" s="17">
        <f>IF(OR($A2="",$D2&lt;&gt;"Activo"),"",SUMPRODUCT(($D$2:$D$201="Activo")*(($C$2:$C$201&lt;$C2)+(($C$2:$C$201=$C2)*($S$2:$S$201&lt;$S2))+(($C$2:$C$201=$C2)*($S$2:$S$201=$S2)*($B$2:$B$201&lt;$B2))))+1)</f>
      </c>
      <c r="U2" s="19">
        <f>IF($T2="","","TODAS|"&amp;$T2)</f>
      </c>
      <c r="V2" s="14">
        <f>IF($A2="","",IFERROR(IF(COUNTIF('Compras'!$B:$B,$A2)=0,"",MINIFS('Compras'!$A:$A,'Compras'!$B:$B,$A2)),""))</f>
      </c>
      <c r="W2" s="17">
        <f>IF(OR($A2="",$V2=""),"",TODAY()-$V2)</f>
      </c>
      <c r="X2" s="17">
        <f>IF($A2="","",SUMIF('Ventas'!$D:$D,$A2,'Ventas'!$F:$F))</f>
      </c>
      <c r="Y2" s="19">
        <f>IF($A2="","",IF(AND($X2&gt;=3,$W2&lt;&gt;"",$W2&lt;=15),"🔥 Se vende rápido — REABASTECE",IF($K2="Agotado","🔴 Agotado — reabastece",IF($K2="Stock bajo","🟠 Stock bajo","✅ Ok"))))</f>
      </c>
    </row>
    <row r="3">
      <c r="A3" s="20"/>
      <c r="B3" s="20"/>
      <c r="C3" s="20"/>
      <c r="D3" s="20"/>
      <c r="E3" s="21"/>
      <c r="F3" s="16">
        <f>IF($A3="","",IFERROR(SUMIF('Compras'!$B:$B,$A3,'Compras'!$F:$F)/SUMIF('Compras'!$B:$B,$A3,'Compras'!$D:$D),0))</f>
      </c>
      <c r="G3" s="17">
        <f>IF($A3="","",SUMIF('Compras'!$B:$B,$A3,'Compras'!$D:$D)+SUMIF('Traslados'!$H:$H,$A3&amp;"|Casa",'Traslados'!$D:$D)-SUMIF('Traslados'!$G:$G,$A3&amp;"|Casa",'Traslados'!$D:$D)-SUMIF('Ventas'!$M:$M,$A3&amp;"|Casa",'Ventas'!$F:$F)+SUMIF('Ajustes'!$H:$H,$A3&amp;"|Casa",'Ajustes'!$D:$D))</f>
      </c>
      <c r="H3" s="17">
        <f>IF($A3="","",SUMIF('Traslados'!$H:$H,$A3&amp;"|Mercado Libre",'Traslados'!$D:$D)-SUMIF('Traslados'!$G:$G,$A3&amp;"|Mercado Libre",'Traslados'!$D:$D)-SUMIF('Ventas'!$M:$M,$A3&amp;"|Mercado Libre",'Ventas'!$F:$F)+SUMIF('Ajustes'!$H:$H,$A3&amp;"|Mercado Libre",'Ajustes'!$D:$D))</f>
      </c>
      <c r="I3" s="17">
        <f>IF($A3="","",$G3+$H3)</f>
      </c>
      <c r="J3" s="16">
        <f>IF($A3="","",$I3*$F3)</f>
      </c>
      <c r="K3" s="19">
        <f>IF($A3="","",IF($I3&lt;=0,"Agotado",IF($I3&lt;=$E3,"Stock bajo","Disponible")))</f>
      </c>
      <c r="L3" s="17">
        <f>IF($A3="","",IFERROR(VLOOKUP($C3,'Config'!$D$2:$E$30,2,FALSE),0))</f>
      </c>
      <c r="M3" s="20"/>
      <c r="N3" s="22"/>
      <c r="O3" s="22"/>
      <c r="P3" s="17">
        <f>IF(OR($A3="",$D3&lt;&gt;"Activo"),"",SUMPRODUCT(($C$2:$C$201=$C3)*($D$2:$D$201="Activo")*(($S$2:$S$201&lt;$S3)+(($S$2:$S$201=$S3)*($B$2:$B$201&lt;$B3))))+1)</f>
      </c>
      <c r="Q3" s="19">
        <f>IF($P3="","",$C3&amp;"|"&amp;$P3)</f>
      </c>
      <c r="R3" s="20"/>
      <c r="S3" s="17">
        <f>IF($A3="","",IFERROR(VALUE(TRIM(LEFT($R3,FIND("x",LOWER($R3))-1)))*VALUE(TRIM(MID($R3,FIND("x",LOWER($R3))+1,20))),0))</f>
      </c>
      <c r="T3" s="17">
        <f>IF(OR($A3="",$D3&lt;&gt;"Activo"),"",SUMPRODUCT(($D$2:$D$201="Activo")*(($C$2:$C$201&lt;$C3)+(($C$2:$C$201=$C3)*($S$2:$S$201&lt;$S3))+(($C$2:$C$201=$C3)*($S$2:$S$201=$S3)*($B$2:$B$201&lt;$B3))))+1)</f>
      </c>
      <c r="U3" s="19">
        <f>IF($T3="","","TODAS|"&amp;$T3)</f>
      </c>
      <c r="V3" s="14">
        <f>IF($A3="","",IFERROR(IF(COUNTIF('Compras'!$B:$B,$A3)=0,"",MINIFS('Compras'!$A:$A,'Compras'!$B:$B,$A3)),""))</f>
      </c>
      <c r="W3" s="17">
        <f>IF(OR($A3="",$V3=""),"",TODAY()-$V3)</f>
      </c>
      <c r="X3" s="17">
        <f>IF($A3="","",SUMIF('Ventas'!$D:$D,$A3,'Ventas'!$F:$F))</f>
      </c>
      <c r="Y3" s="19">
        <f>IF($A3="","",IF(AND($X3&gt;=3,$W3&lt;&gt;"",$W3&lt;=15),"🔥 Se vende rápido — REABASTECE",IF($K3="Agotado","🔴 Agotado — reabastece",IF($K3="Stock bajo","🟠 Stock bajo","✅ Ok"))))</f>
      </c>
    </row>
    <row r="4">
      <c r="A4" s="20"/>
      <c r="B4" s="20"/>
      <c r="C4" s="20"/>
      <c r="D4" s="20"/>
      <c r="E4" s="21"/>
      <c r="F4" s="16">
        <f>IF($A4="","",IFERROR(SUMIF('Compras'!$B:$B,$A4,'Compras'!$F:$F)/SUMIF('Compras'!$B:$B,$A4,'Compras'!$D:$D),0))</f>
      </c>
      <c r="G4" s="17">
        <f>IF($A4="","",SUMIF('Compras'!$B:$B,$A4,'Compras'!$D:$D)+SUMIF('Traslados'!$H:$H,$A4&amp;"|Casa",'Traslados'!$D:$D)-SUMIF('Traslados'!$G:$G,$A4&amp;"|Casa",'Traslados'!$D:$D)-SUMIF('Ventas'!$M:$M,$A4&amp;"|Casa",'Ventas'!$F:$F)+SUMIF('Ajustes'!$H:$H,$A4&amp;"|Casa",'Ajustes'!$D:$D))</f>
      </c>
      <c r="H4" s="17">
        <f>IF($A4="","",SUMIF('Traslados'!$H:$H,$A4&amp;"|Mercado Libre",'Traslados'!$D:$D)-SUMIF('Traslados'!$G:$G,$A4&amp;"|Mercado Libre",'Traslados'!$D:$D)-SUMIF('Ventas'!$M:$M,$A4&amp;"|Mercado Libre",'Ventas'!$F:$F)+SUMIF('Ajustes'!$H:$H,$A4&amp;"|Mercado Libre",'Ajustes'!$D:$D))</f>
      </c>
      <c r="I4" s="17">
        <f>IF($A4="","",$G4+$H4)</f>
      </c>
      <c r="J4" s="16">
        <f>IF($A4="","",$I4*$F4)</f>
      </c>
      <c r="K4" s="19">
        <f>IF($A4="","",IF($I4&lt;=0,"Agotado",IF($I4&lt;=$E4,"Stock bajo","Disponible")))</f>
      </c>
      <c r="L4" s="17">
        <f>IF($A4="","",IFERROR(VLOOKUP($C4,'Config'!$D$2:$E$30,2,FALSE),0))</f>
      </c>
      <c r="M4" s="20"/>
      <c r="N4" s="22"/>
      <c r="O4" s="22"/>
      <c r="P4" s="17">
        <f>IF(OR($A4="",$D4&lt;&gt;"Activo"),"",SUMPRODUCT(($C$2:$C$201=$C4)*($D$2:$D$201="Activo")*(($S$2:$S$201&lt;$S4)+(($S$2:$S$201=$S4)*($B$2:$B$201&lt;$B4))))+1)</f>
      </c>
      <c r="Q4" s="19">
        <f>IF($P4="","",$C4&amp;"|"&amp;$P4)</f>
      </c>
      <c r="R4" s="20"/>
      <c r="S4" s="17">
        <f>IF($A4="","",IFERROR(VALUE(TRIM(LEFT($R4,FIND("x",LOWER($R4))-1)))*VALUE(TRIM(MID($R4,FIND("x",LOWER($R4))+1,20))),0))</f>
      </c>
      <c r="T4" s="17">
        <f>IF(OR($A4="",$D4&lt;&gt;"Activo"),"",SUMPRODUCT(($D$2:$D$201="Activo")*(($C$2:$C$201&lt;$C4)+(($C$2:$C$201=$C4)*($S$2:$S$201&lt;$S4))+(($C$2:$C$201=$C4)*($S$2:$S$201=$S4)*($B$2:$B$201&lt;$B4))))+1)</f>
      </c>
      <c r="U4" s="19">
        <f>IF($T4="","","TODAS|"&amp;$T4)</f>
      </c>
      <c r="V4" s="14">
        <f>IF($A4="","",IFERROR(IF(COUNTIF('Compras'!$B:$B,$A4)=0,"",MINIFS('Compras'!$A:$A,'Compras'!$B:$B,$A4)),""))</f>
      </c>
      <c r="W4" s="17">
        <f>IF(OR($A4="",$V4=""),"",TODAY()-$V4)</f>
      </c>
      <c r="X4" s="17">
        <f>IF($A4="","",SUMIF('Ventas'!$D:$D,$A4,'Ventas'!$F:$F))</f>
      </c>
      <c r="Y4" s="19">
        <f>IF($A4="","",IF(AND($X4&gt;=3,$W4&lt;&gt;"",$W4&lt;=15),"🔥 Se vende rápido — REABASTECE",IF($K4="Agotado","🔴 Agotado — reabastece",IF($K4="Stock bajo","🟠 Stock bajo","✅ Ok"))))</f>
      </c>
    </row>
    <row r="5">
      <c r="A5" s="20"/>
      <c r="B5" s="20"/>
      <c r="C5" s="20"/>
      <c r="D5" s="20"/>
      <c r="E5" s="21"/>
      <c r="F5" s="16">
        <f>IF($A5="","",IFERROR(SUMIF('Compras'!$B:$B,$A5,'Compras'!$F:$F)/SUMIF('Compras'!$B:$B,$A5,'Compras'!$D:$D),0))</f>
      </c>
      <c r="G5" s="17">
        <f>IF($A5="","",SUMIF('Compras'!$B:$B,$A5,'Compras'!$D:$D)+SUMIF('Traslados'!$H:$H,$A5&amp;"|Casa",'Traslados'!$D:$D)-SUMIF('Traslados'!$G:$G,$A5&amp;"|Casa",'Traslados'!$D:$D)-SUMIF('Ventas'!$M:$M,$A5&amp;"|Casa",'Ventas'!$F:$F)+SUMIF('Ajustes'!$H:$H,$A5&amp;"|Casa",'Ajustes'!$D:$D))</f>
      </c>
      <c r="H5" s="17">
        <f>IF($A5="","",SUMIF('Traslados'!$H:$H,$A5&amp;"|Mercado Libre",'Traslados'!$D:$D)-SUMIF('Traslados'!$G:$G,$A5&amp;"|Mercado Libre",'Traslados'!$D:$D)-SUMIF('Ventas'!$M:$M,$A5&amp;"|Mercado Libre",'Ventas'!$F:$F)+SUMIF('Ajustes'!$H:$H,$A5&amp;"|Mercado Libre",'Ajustes'!$D:$D))</f>
      </c>
      <c r="I5" s="17">
        <f>IF($A5="","",$G5+$H5)</f>
      </c>
      <c r="J5" s="16">
        <f>IF($A5="","",$I5*$F5)</f>
      </c>
      <c r="K5" s="19">
        <f>IF($A5="","",IF($I5&lt;=0,"Agotado",IF($I5&lt;=$E5,"Stock bajo","Disponible")))</f>
      </c>
      <c r="L5" s="17">
        <f>IF($A5="","",IFERROR(VLOOKUP($C5,'Config'!$D$2:$E$30,2,FALSE),0))</f>
      </c>
      <c r="M5" s="20"/>
      <c r="N5" s="22"/>
      <c r="O5" s="22"/>
      <c r="P5" s="17">
        <f>IF(OR($A5="",$D5&lt;&gt;"Activo"),"",SUMPRODUCT(($C$2:$C$201=$C5)*($D$2:$D$201="Activo")*(($S$2:$S$201&lt;$S5)+(($S$2:$S$201=$S5)*($B$2:$B$201&lt;$B5))))+1)</f>
      </c>
      <c r="Q5" s="19">
        <f>IF($P5="","",$C5&amp;"|"&amp;$P5)</f>
      </c>
      <c r="R5" s="20"/>
      <c r="S5" s="17">
        <f>IF($A5="","",IFERROR(VALUE(TRIM(LEFT($R5,FIND("x",LOWER($R5))-1)))*VALUE(TRIM(MID($R5,FIND("x",LOWER($R5))+1,20))),0))</f>
      </c>
      <c r="T5" s="17">
        <f>IF(OR($A5="",$D5&lt;&gt;"Activo"),"",SUMPRODUCT(($D$2:$D$201="Activo")*(($C$2:$C$201&lt;$C5)+(($C$2:$C$201=$C5)*($S$2:$S$201&lt;$S5))+(($C$2:$C$201=$C5)*($S$2:$S$201=$S5)*($B$2:$B$201&lt;$B5))))+1)</f>
      </c>
      <c r="U5" s="19">
        <f>IF($T5="","","TODAS|"&amp;$T5)</f>
      </c>
      <c r="V5" s="14">
        <f>IF($A5="","",IFERROR(IF(COUNTIF('Compras'!$B:$B,$A5)=0,"",MINIFS('Compras'!$A:$A,'Compras'!$B:$B,$A5)),""))</f>
      </c>
      <c r="W5" s="17">
        <f>IF(OR($A5="",$V5=""),"",TODAY()-$V5)</f>
      </c>
      <c r="X5" s="17">
        <f>IF($A5="","",SUMIF('Ventas'!$D:$D,$A5,'Ventas'!$F:$F))</f>
      </c>
      <c r="Y5" s="19">
        <f>IF($A5="","",IF(AND($X5&gt;=3,$W5&lt;&gt;"",$W5&lt;=15),"🔥 Se vende rápido — REABASTECE",IF($K5="Agotado","🔴 Agotado — reabastece",IF($K5="Stock bajo","🟠 Stock bajo","✅ Ok"))))</f>
      </c>
    </row>
    <row r="6">
      <c r="A6" s="20"/>
      <c r="B6" s="20"/>
      <c r="C6" s="20"/>
      <c r="D6" s="20"/>
      <c r="E6" s="21"/>
      <c r="F6" s="16">
        <f>IF($A6="","",IFERROR(SUMIF('Compras'!$B:$B,$A6,'Compras'!$F:$F)/SUMIF('Compras'!$B:$B,$A6,'Compras'!$D:$D),0))</f>
      </c>
      <c r="G6" s="17">
        <f>IF($A6="","",SUMIF('Compras'!$B:$B,$A6,'Compras'!$D:$D)+SUMIF('Traslados'!$H:$H,$A6&amp;"|Casa",'Traslados'!$D:$D)-SUMIF('Traslados'!$G:$G,$A6&amp;"|Casa",'Traslados'!$D:$D)-SUMIF('Ventas'!$M:$M,$A6&amp;"|Casa",'Ventas'!$F:$F)+SUMIF('Ajustes'!$H:$H,$A6&amp;"|Casa",'Ajustes'!$D:$D))</f>
      </c>
      <c r="H6" s="17">
        <f>IF($A6="","",SUMIF('Traslados'!$H:$H,$A6&amp;"|Mercado Libre",'Traslados'!$D:$D)-SUMIF('Traslados'!$G:$G,$A6&amp;"|Mercado Libre",'Traslados'!$D:$D)-SUMIF('Ventas'!$M:$M,$A6&amp;"|Mercado Libre",'Ventas'!$F:$F)+SUMIF('Ajustes'!$H:$H,$A6&amp;"|Mercado Libre",'Ajustes'!$D:$D))</f>
      </c>
      <c r="I6" s="17">
        <f>IF($A6="","",$G6+$H6)</f>
      </c>
      <c r="J6" s="16">
        <f>IF($A6="","",$I6*$F6)</f>
      </c>
      <c r="K6" s="19">
        <f>IF($A6="","",IF($I6&lt;=0,"Agotado",IF($I6&lt;=$E6,"Stock bajo","Disponible")))</f>
      </c>
      <c r="L6" s="17">
        <f>IF($A6="","",IFERROR(VLOOKUP($C6,'Config'!$D$2:$E$30,2,FALSE),0))</f>
      </c>
      <c r="M6" s="20"/>
      <c r="N6" s="22"/>
      <c r="O6" s="22"/>
      <c r="P6" s="17">
        <f>IF(OR($A6="",$D6&lt;&gt;"Activo"),"",SUMPRODUCT(($C$2:$C$201=$C6)*($D$2:$D$201="Activo")*(($S$2:$S$201&lt;$S6)+(($S$2:$S$201=$S6)*($B$2:$B$201&lt;$B6))))+1)</f>
      </c>
      <c r="Q6" s="19">
        <f>IF($P6="","",$C6&amp;"|"&amp;$P6)</f>
      </c>
      <c r="R6" s="20"/>
      <c r="S6" s="17">
        <f>IF($A6="","",IFERROR(VALUE(TRIM(LEFT($R6,FIND("x",LOWER($R6))-1)))*VALUE(TRIM(MID($R6,FIND("x",LOWER($R6))+1,20))),0))</f>
      </c>
      <c r="T6" s="17">
        <f>IF(OR($A6="",$D6&lt;&gt;"Activo"),"",SUMPRODUCT(($D$2:$D$201="Activo")*(($C$2:$C$201&lt;$C6)+(($C$2:$C$201=$C6)*($S$2:$S$201&lt;$S6))+(($C$2:$C$201=$C6)*($S$2:$S$201=$S6)*($B$2:$B$201&lt;$B6))))+1)</f>
      </c>
      <c r="U6" s="19">
        <f>IF($T6="","","TODAS|"&amp;$T6)</f>
      </c>
      <c r="V6" s="14">
        <f>IF($A6="","",IFERROR(IF(COUNTIF('Compras'!$B:$B,$A6)=0,"",MINIFS('Compras'!$A:$A,'Compras'!$B:$B,$A6)),""))</f>
      </c>
      <c r="W6" s="17">
        <f>IF(OR($A6="",$V6=""),"",TODAY()-$V6)</f>
      </c>
      <c r="X6" s="17">
        <f>IF($A6="","",SUMIF('Ventas'!$D:$D,$A6,'Ventas'!$F:$F))</f>
      </c>
      <c r="Y6" s="19">
        <f>IF($A6="","",IF(AND($X6&gt;=3,$W6&lt;&gt;"",$W6&lt;=15),"🔥 Se vende rápido — REABASTECE",IF($K6="Agotado","🔴 Agotado — reabastece",IF($K6="Stock bajo","🟠 Stock bajo","✅ Ok"))))</f>
      </c>
    </row>
    <row r="7">
      <c r="A7" s="20"/>
      <c r="B7" s="20"/>
      <c r="C7" s="20"/>
      <c r="D7" s="20"/>
      <c r="E7" s="21"/>
      <c r="F7" s="16">
        <f>IF($A7="","",IFERROR(SUMIF('Compras'!$B:$B,$A7,'Compras'!$F:$F)/SUMIF('Compras'!$B:$B,$A7,'Compras'!$D:$D),0))</f>
      </c>
      <c r="G7" s="17">
        <f>IF($A7="","",SUMIF('Compras'!$B:$B,$A7,'Compras'!$D:$D)+SUMIF('Traslados'!$H:$H,$A7&amp;"|Casa",'Traslados'!$D:$D)-SUMIF('Traslados'!$G:$G,$A7&amp;"|Casa",'Traslados'!$D:$D)-SUMIF('Ventas'!$M:$M,$A7&amp;"|Casa",'Ventas'!$F:$F)+SUMIF('Ajustes'!$H:$H,$A7&amp;"|Casa",'Ajustes'!$D:$D))</f>
      </c>
      <c r="H7" s="17">
        <f>IF($A7="","",SUMIF('Traslados'!$H:$H,$A7&amp;"|Mercado Libre",'Traslados'!$D:$D)-SUMIF('Traslados'!$G:$G,$A7&amp;"|Mercado Libre",'Traslados'!$D:$D)-SUMIF('Ventas'!$M:$M,$A7&amp;"|Mercado Libre",'Ventas'!$F:$F)+SUMIF('Ajustes'!$H:$H,$A7&amp;"|Mercado Libre",'Ajustes'!$D:$D))</f>
      </c>
      <c r="I7" s="17">
        <f>IF($A7="","",$G7+$H7)</f>
      </c>
      <c r="J7" s="16">
        <f>IF($A7="","",$I7*$F7)</f>
      </c>
      <c r="K7" s="19">
        <f>IF($A7="","",IF($I7&lt;=0,"Agotado",IF($I7&lt;=$E7,"Stock bajo","Disponible")))</f>
      </c>
      <c r="L7" s="17">
        <f>IF($A7="","",IFERROR(VLOOKUP($C7,'Config'!$D$2:$E$30,2,FALSE),0))</f>
      </c>
      <c r="M7" s="20"/>
      <c r="N7" s="22"/>
      <c r="O7" s="22"/>
      <c r="P7" s="17">
        <f>IF(OR($A7="",$D7&lt;&gt;"Activo"),"",SUMPRODUCT(($C$2:$C$201=$C7)*($D$2:$D$201="Activo")*(($S$2:$S$201&lt;$S7)+(($S$2:$S$201=$S7)*($B$2:$B$201&lt;$B7))))+1)</f>
      </c>
      <c r="Q7" s="19">
        <f>IF($P7="","",$C7&amp;"|"&amp;$P7)</f>
      </c>
      <c r="R7" s="20"/>
      <c r="S7" s="17">
        <f>IF($A7="","",IFERROR(VALUE(TRIM(LEFT($R7,FIND("x",LOWER($R7))-1)))*VALUE(TRIM(MID($R7,FIND("x",LOWER($R7))+1,20))),0))</f>
      </c>
      <c r="T7" s="17">
        <f>IF(OR($A7="",$D7&lt;&gt;"Activo"),"",SUMPRODUCT(($D$2:$D$201="Activo")*(($C$2:$C$201&lt;$C7)+(($C$2:$C$201=$C7)*($S$2:$S$201&lt;$S7))+(($C$2:$C$201=$C7)*($S$2:$S$201=$S7)*($B$2:$B$201&lt;$B7))))+1)</f>
      </c>
      <c r="U7" s="19">
        <f>IF($T7="","","TODAS|"&amp;$T7)</f>
      </c>
      <c r="V7" s="14">
        <f>IF($A7="","",IFERROR(IF(COUNTIF('Compras'!$B:$B,$A7)=0,"",MINIFS('Compras'!$A:$A,'Compras'!$B:$B,$A7)),""))</f>
      </c>
      <c r="W7" s="17">
        <f>IF(OR($A7="",$V7=""),"",TODAY()-$V7)</f>
      </c>
      <c r="X7" s="17">
        <f>IF($A7="","",SUMIF('Ventas'!$D:$D,$A7,'Ventas'!$F:$F))</f>
      </c>
      <c r="Y7" s="19">
        <f>IF($A7="","",IF(AND($X7&gt;=3,$W7&lt;&gt;"",$W7&lt;=15),"🔥 Se vende rápido — REABASTECE",IF($K7="Agotado","🔴 Agotado — reabastece",IF($K7="Stock bajo","🟠 Stock bajo","✅ Ok"))))</f>
      </c>
    </row>
    <row r="8">
      <c r="A8" s="20"/>
      <c r="B8" s="20"/>
      <c r="C8" s="20"/>
      <c r="D8" s="20"/>
      <c r="E8" s="21"/>
      <c r="F8" s="16">
        <f>IF($A8="","",IFERROR(SUMIF('Compras'!$B:$B,$A8,'Compras'!$F:$F)/SUMIF('Compras'!$B:$B,$A8,'Compras'!$D:$D),0))</f>
      </c>
      <c r="G8" s="17">
        <f>IF($A8="","",SUMIF('Compras'!$B:$B,$A8,'Compras'!$D:$D)+SUMIF('Traslados'!$H:$H,$A8&amp;"|Casa",'Traslados'!$D:$D)-SUMIF('Traslados'!$G:$G,$A8&amp;"|Casa",'Traslados'!$D:$D)-SUMIF('Ventas'!$M:$M,$A8&amp;"|Casa",'Ventas'!$F:$F)+SUMIF('Ajustes'!$H:$H,$A8&amp;"|Casa",'Ajustes'!$D:$D))</f>
      </c>
      <c r="H8" s="17">
        <f>IF($A8="","",SUMIF('Traslados'!$H:$H,$A8&amp;"|Mercado Libre",'Traslados'!$D:$D)-SUMIF('Traslados'!$G:$G,$A8&amp;"|Mercado Libre",'Traslados'!$D:$D)-SUMIF('Ventas'!$M:$M,$A8&amp;"|Mercado Libre",'Ventas'!$F:$F)+SUMIF('Ajustes'!$H:$H,$A8&amp;"|Mercado Libre",'Ajustes'!$D:$D))</f>
      </c>
      <c r="I8" s="17">
        <f>IF($A8="","",$G8+$H8)</f>
      </c>
      <c r="J8" s="16">
        <f>IF($A8="","",$I8*$F8)</f>
      </c>
      <c r="K8" s="19">
        <f>IF($A8="","",IF($I8&lt;=0,"Agotado",IF($I8&lt;=$E8,"Stock bajo","Disponible")))</f>
      </c>
      <c r="L8" s="17">
        <f>IF($A8="","",IFERROR(VLOOKUP($C8,'Config'!$D$2:$E$30,2,FALSE),0))</f>
      </c>
      <c r="M8" s="20"/>
      <c r="N8" s="22"/>
      <c r="O8" s="22"/>
      <c r="P8" s="17">
        <f>IF(OR($A8="",$D8&lt;&gt;"Activo"),"",SUMPRODUCT(($C$2:$C$201=$C8)*($D$2:$D$201="Activo")*(($S$2:$S$201&lt;$S8)+(($S$2:$S$201=$S8)*($B$2:$B$201&lt;$B8))))+1)</f>
      </c>
      <c r="Q8" s="19">
        <f>IF($P8="","",$C8&amp;"|"&amp;$P8)</f>
      </c>
      <c r="R8" s="20"/>
      <c r="S8" s="17">
        <f>IF($A8="","",IFERROR(VALUE(TRIM(LEFT($R8,FIND("x",LOWER($R8))-1)))*VALUE(TRIM(MID($R8,FIND("x",LOWER($R8))+1,20))),0))</f>
      </c>
      <c r="T8" s="17">
        <f>IF(OR($A8="",$D8&lt;&gt;"Activo"),"",SUMPRODUCT(($D$2:$D$201="Activo")*(($C$2:$C$201&lt;$C8)+(($C$2:$C$201=$C8)*($S$2:$S$201&lt;$S8))+(($C$2:$C$201=$C8)*($S$2:$S$201=$S8)*($B$2:$B$201&lt;$B8))))+1)</f>
      </c>
      <c r="U8" s="19">
        <f>IF($T8="","","TODAS|"&amp;$T8)</f>
      </c>
      <c r="V8" s="14">
        <f>IF($A8="","",IFERROR(IF(COUNTIF('Compras'!$B:$B,$A8)=0,"",MINIFS('Compras'!$A:$A,'Compras'!$B:$B,$A8)),""))</f>
      </c>
      <c r="W8" s="17">
        <f>IF(OR($A8="",$V8=""),"",TODAY()-$V8)</f>
      </c>
      <c r="X8" s="17">
        <f>IF($A8="","",SUMIF('Ventas'!$D:$D,$A8,'Ventas'!$F:$F))</f>
      </c>
      <c r="Y8" s="19">
        <f>IF($A8="","",IF(AND($X8&gt;=3,$W8&lt;&gt;"",$W8&lt;=15),"🔥 Se vende rápido — REABASTECE",IF($K8="Agotado","🔴 Agotado — reabastece",IF($K8="Stock bajo","🟠 Stock bajo","✅ Ok"))))</f>
      </c>
    </row>
    <row r="9">
      <c r="A9" s="20"/>
      <c r="B9" s="20"/>
      <c r="C9" s="20"/>
      <c r="D9" s="20"/>
      <c r="E9" s="21"/>
      <c r="F9" s="16">
        <f>IF($A9="","",IFERROR(SUMIF('Compras'!$B:$B,$A9,'Compras'!$F:$F)/SUMIF('Compras'!$B:$B,$A9,'Compras'!$D:$D),0))</f>
      </c>
      <c r="G9" s="17">
        <f>IF($A9="","",SUMIF('Compras'!$B:$B,$A9,'Compras'!$D:$D)+SUMIF('Traslados'!$H:$H,$A9&amp;"|Casa",'Traslados'!$D:$D)-SUMIF('Traslados'!$G:$G,$A9&amp;"|Casa",'Traslados'!$D:$D)-SUMIF('Ventas'!$M:$M,$A9&amp;"|Casa",'Ventas'!$F:$F)+SUMIF('Ajustes'!$H:$H,$A9&amp;"|Casa",'Ajustes'!$D:$D))</f>
      </c>
      <c r="H9" s="17">
        <f>IF($A9="","",SUMIF('Traslados'!$H:$H,$A9&amp;"|Mercado Libre",'Traslados'!$D:$D)-SUMIF('Traslados'!$G:$G,$A9&amp;"|Mercado Libre",'Traslados'!$D:$D)-SUMIF('Ventas'!$M:$M,$A9&amp;"|Mercado Libre",'Ventas'!$F:$F)+SUMIF('Ajustes'!$H:$H,$A9&amp;"|Mercado Libre",'Ajustes'!$D:$D))</f>
      </c>
      <c r="I9" s="17">
        <f>IF($A9="","",$G9+$H9)</f>
      </c>
      <c r="J9" s="16">
        <f>IF($A9="","",$I9*$F9)</f>
      </c>
      <c r="K9" s="19">
        <f>IF($A9="","",IF($I9&lt;=0,"Agotado",IF($I9&lt;=$E9,"Stock bajo","Disponible")))</f>
      </c>
      <c r="L9" s="17">
        <f>IF($A9="","",IFERROR(VLOOKUP($C9,'Config'!$D$2:$E$30,2,FALSE),0))</f>
      </c>
      <c r="M9" s="20"/>
      <c r="N9" s="22"/>
      <c r="O9" s="22"/>
      <c r="P9" s="17">
        <f>IF(OR($A9="",$D9&lt;&gt;"Activo"),"",SUMPRODUCT(($C$2:$C$201=$C9)*($D$2:$D$201="Activo")*(($S$2:$S$201&lt;$S9)+(($S$2:$S$201=$S9)*($B$2:$B$201&lt;$B9))))+1)</f>
      </c>
      <c r="Q9" s="19">
        <f>IF($P9="","",$C9&amp;"|"&amp;$P9)</f>
      </c>
      <c r="R9" s="20"/>
      <c r="S9" s="17">
        <f>IF($A9="","",IFERROR(VALUE(TRIM(LEFT($R9,FIND("x",LOWER($R9))-1)))*VALUE(TRIM(MID($R9,FIND("x",LOWER($R9))+1,20))),0))</f>
      </c>
      <c r="T9" s="17">
        <f>IF(OR($A9="",$D9&lt;&gt;"Activo"),"",SUMPRODUCT(($D$2:$D$201="Activo")*(($C$2:$C$201&lt;$C9)+(($C$2:$C$201=$C9)*($S$2:$S$201&lt;$S9))+(($C$2:$C$201=$C9)*($S$2:$S$201=$S9)*($B$2:$B$201&lt;$B9))))+1)</f>
      </c>
      <c r="U9" s="19">
        <f>IF($T9="","","TODAS|"&amp;$T9)</f>
      </c>
      <c r="V9" s="14">
        <f>IF($A9="","",IFERROR(IF(COUNTIF('Compras'!$B:$B,$A9)=0,"",MINIFS('Compras'!$A:$A,'Compras'!$B:$B,$A9)),""))</f>
      </c>
      <c r="W9" s="17">
        <f>IF(OR($A9="",$V9=""),"",TODAY()-$V9)</f>
      </c>
      <c r="X9" s="17">
        <f>IF($A9="","",SUMIF('Ventas'!$D:$D,$A9,'Ventas'!$F:$F))</f>
      </c>
      <c r="Y9" s="19">
        <f>IF($A9="","",IF(AND($X9&gt;=3,$W9&lt;&gt;"",$W9&lt;=15),"🔥 Se vende rápido — REABASTECE",IF($K9="Agotado","🔴 Agotado — reabastece",IF($K9="Stock bajo","🟠 Stock bajo","✅ Ok"))))</f>
      </c>
    </row>
    <row r="10">
      <c r="A10" s="20"/>
      <c r="B10" s="20"/>
      <c r="C10" s="20"/>
      <c r="D10" s="20"/>
      <c r="E10" s="21"/>
      <c r="F10" s="16">
        <f>IF($A10="","",IFERROR(SUMIF('Compras'!$B:$B,$A10,'Compras'!$F:$F)/SUMIF('Compras'!$B:$B,$A10,'Compras'!$D:$D),0))</f>
      </c>
      <c r="G10" s="17">
        <f>IF($A10="","",SUMIF('Compras'!$B:$B,$A10,'Compras'!$D:$D)+SUMIF('Traslados'!$H:$H,$A10&amp;"|Casa",'Traslados'!$D:$D)-SUMIF('Traslados'!$G:$G,$A10&amp;"|Casa",'Traslados'!$D:$D)-SUMIF('Ventas'!$M:$M,$A10&amp;"|Casa",'Ventas'!$F:$F)+SUMIF('Ajustes'!$H:$H,$A10&amp;"|Casa",'Ajustes'!$D:$D))</f>
      </c>
      <c r="H10" s="17">
        <f>IF($A10="","",SUMIF('Traslados'!$H:$H,$A10&amp;"|Mercado Libre",'Traslados'!$D:$D)-SUMIF('Traslados'!$G:$G,$A10&amp;"|Mercado Libre",'Traslados'!$D:$D)-SUMIF('Ventas'!$M:$M,$A10&amp;"|Mercado Libre",'Ventas'!$F:$F)+SUMIF('Ajustes'!$H:$H,$A10&amp;"|Mercado Libre",'Ajustes'!$D:$D))</f>
      </c>
      <c r="I10" s="17">
        <f>IF($A10="","",$G10+$H10)</f>
      </c>
      <c r="J10" s="16">
        <f>IF($A10="","",$I10*$F10)</f>
      </c>
      <c r="K10" s="19">
        <f>IF($A10="","",IF($I10&lt;=0,"Agotado",IF($I10&lt;=$E10,"Stock bajo","Disponible")))</f>
      </c>
      <c r="L10" s="17">
        <f>IF($A10="","",IFERROR(VLOOKUP($C10,'Config'!$D$2:$E$30,2,FALSE),0))</f>
      </c>
      <c r="M10" s="20"/>
      <c r="N10" s="22"/>
      <c r="O10" s="22"/>
      <c r="P10" s="17">
        <f>IF(OR($A10="",$D10&lt;&gt;"Activo"),"",SUMPRODUCT(($C$2:$C$201=$C10)*($D$2:$D$201="Activo")*(($S$2:$S$201&lt;$S10)+(($S$2:$S$201=$S10)*($B$2:$B$201&lt;$B10))))+1)</f>
      </c>
      <c r="Q10" s="19">
        <f>IF($P10="","",$C10&amp;"|"&amp;$P10)</f>
      </c>
      <c r="R10" s="20"/>
      <c r="S10" s="17">
        <f>IF($A10="","",IFERROR(VALUE(TRIM(LEFT($R10,FIND("x",LOWER($R10))-1)))*VALUE(TRIM(MID($R10,FIND("x",LOWER($R10))+1,20))),0))</f>
      </c>
      <c r="T10" s="17">
        <f>IF(OR($A10="",$D10&lt;&gt;"Activo"),"",SUMPRODUCT(($D$2:$D$201="Activo")*(($C$2:$C$201&lt;$C10)+(($C$2:$C$201=$C10)*($S$2:$S$201&lt;$S10))+(($C$2:$C$201=$C10)*($S$2:$S$201=$S10)*($B$2:$B$201&lt;$B10))))+1)</f>
      </c>
      <c r="U10" s="19">
        <f>IF($T10="","","TODAS|"&amp;$T10)</f>
      </c>
      <c r="V10" s="14">
        <f>IF($A10="","",IFERROR(IF(COUNTIF('Compras'!$B:$B,$A10)=0,"",MINIFS('Compras'!$A:$A,'Compras'!$B:$B,$A10)),""))</f>
      </c>
      <c r="W10" s="17">
        <f>IF(OR($A10="",$V10=""),"",TODAY()-$V10)</f>
      </c>
      <c r="X10" s="17">
        <f>IF($A10="","",SUMIF('Ventas'!$D:$D,$A10,'Ventas'!$F:$F))</f>
      </c>
      <c r="Y10" s="19">
        <f>IF($A10="","",IF(AND($X10&gt;=3,$W10&lt;&gt;"",$W10&lt;=15),"🔥 Se vende rápido — REABASTECE",IF($K10="Agotado","🔴 Agotado — reabastece",IF($K10="Stock bajo","🟠 Stock bajo","✅ Ok"))))</f>
      </c>
    </row>
    <row r="11">
      <c r="A11" s="20"/>
      <c r="B11" s="20"/>
      <c r="C11" s="20"/>
      <c r="D11" s="20"/>
      <c r="E11" s="21"/>
      <c r="F11" s="16">
        <f>IF($A11="","",IFERROR(SUMIF('Compras'!$B:$B,$A11,'Compras'!$F:$F)/SUMIF('Compras'!$B:$B,$A11,'Compras'!$D:$D),0))</f>
      </c>
      <c r="G11" s="17">
        <f>IF($A11="","",SUMIF('Compras'!$B:$B,$A11,'Compras'!$D:$D)+SUMIF('Traslados'!$H:$H,$A11&amp;"|Casa",'Traslados'!$D:$D)-SUMIF('Traslados'!$G:$G,$A11&amp;"|Casa",'Traslados'!$D:$D)-SUMIF('Ventas'!$M:$M,$A11&amp;"|Casa",'Ventas'!$F:$F)+SUMIF('Ajustes'!$H:$H,$A11&amp;"|Casa",'Ajustes'!$D:$D))</f>
      </c>
      <c r="H11" s="17">
        <f>IF($A11="","",SUMIF('Traslados'!$H:$H,$A11&amp;"|Mercado Libre",'Traslados'!$D:$D)-SUMIF('Traslados'!$G:$G,$A11&amp;"|Mercado Libre",'Traslados'!$D:$D)-SUMIF('Ventas'!$M:$M,$A11&amp;"|Mercado Libre",'Ventas'!$F:$F)+SUMIF('Ajustes'!$H:$H,$A11&amp;"|Mercado Libre",'Ajustes'!$D:$D))</f>
      </c>
      <c r="I11" s="17">
        <f>IF($A11="","",$G11+$H11)</f>
      </c>
      <c r="J11" s="16">
        <f>IF($A11="","",$I11*$F11)</f>
      </c>
      <c r="K11" s="19">
        <f>IF($A11="","",IF($I11&lt;=0,"Agotado",IF($I11&lt;=$E11,"Stock bajo","Disponible")))</f>
      </c>
      <c r="L11" s="17">
        <f>IF($A11="","",IFERROR(VLOOKUP($C11,'Config'!$D$2:$E$30,2,FALSE),0))</f>
      </c>
      <c r="M11" s="20"/>
      <c r="N11" s="22"/>
      <c r="O11" s="22"/>
      <c r="P11" s="17">
        <f>IF(OR($A11="",$D11&lt;&gt;"Activo"),"",SUMPRODUCT(($C$2:$C$201=$C11)*($D$2:$D$201="Activo")*(($S$2:$S$201&lt;$S11)+(($S$2:$S$201=$S11)*($B$2:$B$201&lt;$B11))))+1)</f>
      </c>
      <c r="Q11" s="19">
        <f>IF($P11="","",$C11&amp;"|"&amp;$P11)</f>
      </c>
      <c r="R11" s="20"/>
      <c r="S11" s="17">
        <f>IF($A11="","",IFERROR(VALUE(TRIM(LEFT($R11,FIND("x",LOWER($R11))-1)))*VALUE(TRIM(MID($R11,FIND("x",LOWER($R11))+1,20))),0))</f>
      </c>
      <c r="T11" s="17">
        <f>IF(OR($A11="",$D11&lt;&gt;"Activo"),"",SUMPRODUCT(($D$2:$D$201="Activo")*(($C$2:$C$201&lt;$C11)+(($C$2:$C$201=$C11)*($S$2:$S$201&lt;$S11))+(($C$2:$C$201=$C11)*($S$2:$S$201=$S11)*($B$2:$B$201&lt;$B11))))+1)</f>
      </c>
      <c r="U11" s="19">
        <f>IF($T11="","","TODAS|"&amp;$T11)</f>
      </c>
      <c r="V11" s="14">
        <f>IF($A11="","",IFERROR(IF(COUNTIF('Compras'!$B:$B,$A11)=0,"",MINIFS('Compras'!$A:$A,'Compras'!$B:$B,$A11)),""))</f>
      </c>
      <c r="W11" s="17">
        <f>IF(OR($A11="",$V11=""),"",TODAY()-$V11)</f>
      </c>
      <c r="X11" s="17">
        <f>IF($A11="","",SUMIF('Ventas'!$D:$D,$A11,'Ventas'!$F:$F))</f>
      </c>
      <c r="Y11" s="19">
        <f>IF($A11="","",IF(AND($X11&gt;=3,$W11&lt;&gt;"",$W11&lt;=15),"🔥 Se vende rápido — REABASTECE",IF($K11="Agotado","🔴 Agotado — reabastece",IF($K11="Stock bajo","🟠 Stock bajo","✅ Ok"))))</f>
      </c>
    </row>
    <row r="12">
      <c r="A12" s="20"/>
      <c r="B12" s="20"/>
      <c r="C12" s="20"/>
      <c r="D12" s="20"/>
      <c r="E12" s="21"/>
      <c r="F12" s="16">
        <f>IF($A12="","",IFERROR(SUMIF('Compras'!$B:$B,$A12,'Compras'!$F:$F)/SUMIF('Compras'!$B:$B,$A12,'Compras'!$D:$D),0))</f>
      </c>
      <c r="G12" s="17">
        <f>IF($A12="","",SUMIF('Compras'!$B:$B,$A12,'Compras'!$D:$D)+SUMIF('Traslados'!$H:$H,$A12&amp;"|Casa",'Traslados'!$D:$D)-SUMIF('Traslados'!$G:$G,$A12&amp;"|Casa",'Traslados'!$D:$D)-SUMIF('Ventas'!$M:$M,$A12&amp;"|Casa",'Ventas'!$F:$F)+SUMIF('Ajustes'!$H:$H,$A12&amp;"|Casa",'Ajustes'!$D:$D))</f>
      </c>
      <c r="H12" s="17">
        <f>IF($A12="","",SUMIF('Traslados'!$H:$H,$A12&amp;"|Mercado Libre",'Traslados'!$D:$D)-SUMIF('Traslados'!$G:$G,$A12&amp;"|Mercado Libre",'Traslados'!$D:$D)-SUMIF('Ventas'!$M:$M,$A12&amp;"|Mercado Libre",'Ventas'!$F:$F)+SUMIF('Ajustes'!$H:$H,$A12&amp;"|Mercado Libre",'Ajustes'!$D:$D))</f>
      </c>
      <c r="I12" s="17">
        <f>IF($A12="","",$G12+$H12)</f>
      </c>
      <c r="J12" s="16">
        <f>IF($A12="","",$I12*$F12)</f>
      </c>
      <c r="K12" s="19">
        <f>IF($A12="","",IF($I12&lt;=0,"Agotado",IF($I12&lt;=$E12,"Stock bajo","Disponible")))</f>
      </c>
      <c r="L12" s="17">
        <f>IF($A12="","",IFERROR(VLOOKUP($C12,'Config'!$D$2:$E$30,2,FALSE),0))</f>
      </c>
      <c r="M12" s="20"/>
      <c r="N12" s="22"/>
      <c r="O12" s="22"/>
      <c r="P12" s="17">
        <f>IF(OR($A12="",$D12&lt;&gt;"Activo"),"",SUMPRODUCT(($C$2:$C$201=$C12)*($D$2:$D$201="Activo")*(($S$2:$S$201&lt;$S12)+(($S$2:$S$201=$S12)*($B$2:$B$201&lt;$B12))))+1)</f>
      </c>
      <c r="Q12" s="19">
        <f>IF($P12="","",$C12&amp;"|"&amp;$P12)</f>
      </c>
      <c r="R12" s="20"/>
      <c r="S12" s="17">
        <f>IF($A12="","",IFERROR(VALUE(TRIM(LEFT($R12,FIND("x",LOWER($R12))-1)))*VALUE(TRIM(MID($R12,FIND("x",LOWER($R12))+1,20))),0))</f>
      </c>
      <c r="T12" s="17">
        <f>IF(OR($A12="",$D12&lt;&gt;"Activo"),"",SUMPRODUCT(($D$2:$D$201="Activo")*(($C$2:$C$201&lt;$C12)+(($C$2:$C$201=$C12)*($S$2:$S$201&lt;$S12))+(($C$2:$C$201=$C12)*($S$2:$S$201=$S12)*($B$2:$B$201&lt;$B12))))+1)</f>
      </c>
      <c r="U12" s="19">
        <f>IF($T12="","","TODAS|"&amp;$T12)</f>
      </c>
      <c r="V12" s="14">
        <f>IF($A12="","",IFERROR(IF(COUNTIF('Compras'!$B:$B,$A12)=0,"",MINIFS('Compras'!$A:$A,'Compras'!$B:$B,$A12)),""))</f>
      </c>
      <c r="W12" s="17">
        <f>IF(OR($A12="",$V12=""),"",TODAY()-$V12)</f>
      </c>
      <c r="X12" s="17">
        <f>IF($A12="","",SUMIF('Ventas'!$D:$D,$A12,'Ventas'!$F:$F))</f>
      </c>
      <c r="Y12" s="19">
        <f>IF($A12="","",IF(AND($X12&gt;=3,$W12&lt;&gt;"",$W12&lt;=15),"🔥 Se vende rápido — REABASTECE",IF($K12="Agotado","🔴 Agotado — reabastece",IF($K12="Stock bajo","🟠 Stock bajo","✅ Ok"))))</f>
      </c>
    </row>
    <row r="13">
      <c r="A13" s="20"/>
      <c r="B13" s="20"/>
      <c r="C13" s="20"/>
      <c r="D13" s="20"/>
      <c r="E13" s="21"/>
      <c r="F13" s="16">
        <f>IF($A13="","",IFERROR(SUMIF('Compras'!$B:$B,$A13,'Compras'!$F:$F)/SUMIF('Compras'!$B:$B,$A13,'Compras'!$D:$D),0))</f>
      </c>
      <c r="G13" s="17">
        <f>IF($A13="","",SUMIF('Compras'!$B:$B,$A13,'Compras'!$D:$D)+SUMIF('Traslados'!$H:$H,$A13&amp;"|Casa",'Traslados'!$D:$D)-SUMIF('Traslados'!$G:$G,$A13&amp;"|Casa",'Traslados'!$D:$D)-SUMIF('Ventas'!$M:$M,$A13&amp;"|Casa",'Ventas'!$F:$F)+SUMIF('Ajustes'!$H:$H,$A13&amp;"|Casa",'Ajustes'!$D:$D))</f>
      </c>
      <c r="H13" s="17">
        <f>IF($A13="","",SUMIF('Traslados'!$H:$H,$A13&amp;"|Mercado Libre",'Traslados'!$D:$D)-SUMIF('Traslados'!$G:$G,$A13&amp;"|Mercado Libre",'Traslados'!$D:$D)-SUMIF('Ventas'!$M:$M,$A13&amp;"|Mercado Libre",'Ventas'!$F:$F)+SUMIF('Ajustes'!$H:$H,$A13&amp;"|Mercado Libre",'Ajustes'!$D:$D))</f>
      </c>
      <c r="I13" s="17">
        <f>IF($A13="","",$G13+$H13)</f>
      </c>
      <c r="J13" s="16">
        <f>IF($A13="","",$I13*$F13)</f>
      </c>
      <c r="K13" s="19">
        <f>IF($A13="","",IF($I13&lt;=0,"Agotado",IF($I13&lt;=$E13,"Stock bajo","Disponible")))</f>
      </c>
      <c r="L13" s="17">
        <f>IF($A13="","",IFERROR(VLOOKUP($C13,'Config'!$D$2:$E$30,2,FALSE),0))</f>
      </c>
      <c r="M13" s="20"/>
      <c r="N13" s="22"/>
      <c r="O13" s="22"/>
      <c r="P13" s="17">
        <f>IF(OR($A13="",$D13&lt;&gt;"Activo"),"",SUMPRODUCT(($C$2:$C$201=$C13)*($D$2:$D$201="Activo")*(($S$2:$S$201&lt;$S13)+(($S$2:$S$201=$S13)*($B$2:$B$201&lt;$B13))))+1)</f>
      </c>
      <c r="Q13" s="19">
        <f>IF($P13="","",$C13&amp;"|"&amp;$P13)</f>
      </c>
      <c r="R13" s="20"/>
      <c r="S13" s="17">
        <f>IF($A13="","",IFERROR(VALUE(TRIM(LEFT($R13,FIND("x",LOWER($R13))-1)))*VALUE(TRIM(MID($R13,FIND("x",LOWER($R13))+1,20))),0))</f>
      </c>
      <c r="T13" s="17">
        <f>IF(OR($A13="",$D13&lt;&gt;"Activo"),"",SUMPRODUCT(($D$2:$D$201="Activo")*(($C$2:$C$201&lt;$C13)+(($C$2:$C$201=$C13)*($S$2:$S$201&lt;$S13))+(($C$2:$C$201=$C13)*($S$2:$S$201=$S13)*($B$2:$B$201&lt;$B13))))+1)</f>
      </c>
      <c r="U13" s="19">
        <f>IF($T13="","","TODAS|"&amp;$T13)</f>
      </c>
      <c r="V13" s="14">
        <f>IF($A13="","",IFERROR(IF(COUNTIF('Compras'!$B:$B,$A13)=0,"",MINIFS('Compras'!$A:$A,'Compras'!$B:$B,$A13)),""))</f>
      </c>
      <c r="W13" s="17">
        <f>IF(OR($A13="",$V13=""),"",TODAY()-$V13)</f>
      </c>
      <c r="X13" s="17">
        <f>IF($A13="","",SUMIF('Ventas'!$D:$D,$A13,'Ventas'!$F:$F))</f>
      </c>
      <c r="Y13" s="19">
        <f>IF($A13="","",IF(AND($X13&gt;=3,$W13&lt;&gt;"",$W13&lt;=15),"🔥 Se vende rápido — REABASTECE",IF($K13="Agotado","🔴 Agotado — reabastece",IF($K13="Stock bajo","🟠 Stock bajo","✅ Ok"))))</f>
      </c>
    </row>
    <row r="14">
      <c r="A14" s="20"/>
      <c r="B14" s="20"/>
      <c r="C14" s="20"/>
      <c r="D14" s="20"/>
      <c r="E14" s="21"/>
      <c r="F14" s="16">
        <f>IF($A14="","",IFERROR(SUMIF('Compras'!$B:$B,$A14,'Compras'!$F:$F)/SUMIF('Compras'!$B:$B,$A14,'Compras'!$D:$D),0))</f>
      </c>
      <c r="G14" s="17">
        <f>IF($A14="","",SUMIF('Compras'!$B:$B,$A14,'Compras'!$D:$D)+SUMIF('Traslados'!$H:$H,$A14&amp;"|Casa",'Traslados'!$D:$D)-SUMIF('Traslados'!$G:$G,$A14&amp;"|Casa",'Traslados'!$D:$D)-SUMIF('Ventas'!$M:$M,$A14&amp;"|Casa",'Ventas'!$F:$F)+SUMIF('Ajustes'!$H:$H,$A14&amp;"|Casa",'Ajustes'!$D:$D))</f>
      </c>
      <c r="H14" s="17">
        <f>IF($A14="","",SUMIF('Traslados'!$H:$H,$A14&amp;"|Mercado Libre",'Traslados'!$D:$D)-SUMIF('Traslados'!$G:$G,$A14&amp;"|Mercado Libre",'Traslados'!$D:$D)-SUMIF('Ventas'!$M:$M,$A14&amp;"|Mercado Libre",'Ventas'!$F:$F)+SUMIF('Ajustes'!$H:$H,$A14&amp;"|Mercado Libre",'Ajustes'!$D:$D))</f>
      </c>
      <c r="I14" s="17">
        <f>IF($A14="","",$G14+$H14)</f>
      </c>
      <c r="J14" s="16">
        <f>IF($A14="","",$I14*$F14)</f>
      </c>
      <c r="K14" s="19">
        <f>IF($A14="","",IF($I14&lt;=0,"Agotado",IF($I14&lt;=$E14,"Stock bajo","Disponible")))</f>
      </c>
      <c r="L14" s="17">
        <f>IF($A14="","",IFERROR(VLOOKUP($C14,'Config'!$D$2:$E$30,2,FALSE),0))</f>
      </c>
      <c r="M14" s="20"/>
      <c r="N14" s="22"/>
      <c r="O14" s="22"/>
      <c r="P14" s="17">
        <f>IF(OR($A14="",$D14&lt;&gt;"Activo"),"",SUMPRODUCT(($C$2:$C$201=$C14)*($D$2:$D$201="Activo")*(($S$2:$S$201&lt;$S14)+(($S$2:$S$201=$S14)*($B$2:$B$201&lt;$B14))))+1)</f>
      </c>
      <c r="Q14" s="19">
        <f>IF($P14="","",$C14&amp;"|"&amp;$P14)</f>
      </c>
      <c r="R14" s="20"/>
      <c r="S14" s="17">
        <f>IF($A14="","",IFERROR(VALUE(TRIM(LEFT($R14,FIND("x",LOWER($R14))-1)))*VALUE(TRIM(MID($R14,FIND("x",LOWER($R14))+1,20))),0))</f>
      </c>
      <c r="T14" s="17">
        <f>IF(OR($A14="",$D14&lt;&gt;"Activo"),"",SUMPRODUCT(($D$2:$D$201="Activo")*(($C$2:$C$201&lt;$C14)+(($C$2:$C$201=$C14)*($S$2:$S$201&lt;$S14))+(($C$2:$C$201=$C14)*($S$2:$S$201=$S14)*($B$2:$B$201&lt;$B14))))+1)</f>
      </c>
      <c r="U14" s="19">
        <f>IF($T14="","","TODAS|"&amp;$T14)</f>
      </c>
      <c r="V14" s="14">
        <f>IF($A14="","",IFERROR(IF(COUNTIF('Compras'!$B:$B,$A14)=0,"",MINIFS('Compras'!$A:$A,'Compras'!$B:$B,$A14)),""))</f>
      </c>
      <c r="W14" s="17">
        <f>IF(OR($A14="",$V14=""),"",TODAY()-$V14)</f>
      </c>
      <c r="X14" s="17">
        <f>IF($A14="","",SUMIF('Ventas'!$D:$D,$A14,'Ventas'!$F:$F))</f>
      </c>
      <c r="Y14" s="19">
        <f>IF($A14="","",IF(AND($X14&gt;=3,$W14&lt;&gt;"",$W14&lt;=15),"🔥 Se vende rápido — REABASTECE",IF($K14="Agotado","🔴 Agotado — reabastece",IF($K14="Stock bajo","🟠 Stock bajo","✅ Ok"))))</f>
      </c>
    </row>
    <row r="15">
      <c r="A15" s="20"/>
      <c r="B15" s="20"/>
      <c r="C15" s="20"/>
      <c r="D15" s="20"/>
      <c r="E15" s="21"/>
      <c r="F15" s="16">
        <f>IF($A15="","",IFERROR(SUMIF('Compras'!$B:$B,$A15,'Compras'!$F:$F)/SUMIF('Compras'!$B:$B,$A15,'Compras'!$D:$D),0))</f>
      </c>
      <c r="G15" s="17">
        <f>IF($A15="","",SUMIF('Compras'!$B:$B,$A15,'Compras'!$D:$D)+SUMIF('Traslados'!$H:$H,$A15&amp;"|Casa",'Traslados'!$D:$D)-SUMIF('Traslados'!$G:$G,$A15&amp;"|Casa",'Traslados'!$D:$D)-SUMIF('Ventas'!$M:$M,$A15&amp;"|Casa",'Ventas'!$F:$F)+SUMIF('Ajustes'!$H:$H,$A15&amp;"|Casa",'Ajustes'!$D:$D))</f>
      </c>
      <c r="H15" s="17">
        <f>IF($A15="","",SUMIF('Traslados'!$H:$H,$A15&amp;"|Mercado Libre",'Traslados'!$D:$D)-SUMIF('Traslados'!$G:$G,$A15&amp;"|Mercado Libre",'Traslados'!$D:$D)-SUMIF('Ventas'!$M:$M,$A15&amp;"|Mercado Libre",'Ventas'!$F:$F)+SUMIF('Ajustes'!$H:$H,$A15&amp;"|Mercado Libre",'Ajustes'!$D:$D))</f>
      </c>
      <c r="I15" s="17">
        <f>IF($A15="","",$G15+$H15)</f>
      </c>
      <c r="J15" s="16">
        <f>IF($A15="","",$I15*$F15)</f>
      </c>
      <c r="K15" s="19">
        <f>IF($A15="","",IF($I15&lt;=0,"Agotado",IF($I15&lt;=$E15,"Stock bajo","Disponible")))</f>
      </c>
      <c r="L15" s="17">
        <f>IF($A15="","",IFERROR(VLOOKUP($C15,'Config'!$D$2:$E$30,2,FALSE),0))</f>
      </c>
      <c r="M15" s="20"/>
      <c r="N15" s="22"/>
      <c r="O15" s="22"/>
      <c r="P15" s="17">
        <f>IF(OR($A15="",$D15&lt;&gt;"Activo"),"",SUMPRODUCT(($C$2:$C$201=$C15)*($D$2:$D$201="Activo")*(($S$2:$S$201&lt;$S15)+(($S$2:$S$201=$S15)*($B$2:$B$201&lt;$B15))))+1)</f>
      </c>
      <c r="Q15" s="19">
        <f>IF($P15="","",$C15&amp;"|"&amp;$P15)</f>
      </c>
      <c r="R15" s="20"/>
      <c r="S15" s="17">
        <f>IF($A15="","",IFERROR(VALUE(TRIM(LEFT($R15,FIND("x",LOWER($R15))-1)))*VALUE(TRIM(MID($R15,FIND("x",LOWER($R15))+1,20))),0))</f>
      </c>
      <c r="T15" s="17">
        <f>IF(OR($A15="",$D15&lt;&gt;"Activo"),"",SUMPRODUCT(($D$2:$D$201="Activo")*(($C$2:$C$201&lt;$C15)+(($C$2:$C$201=$C15)*($S$2:$S$201&lt;$S15))+(($C$2:$C$201=$C15)*($S$2:$S$201=$S15)*($B$2:$B$201&lt;$B15))))+1)</f>
      </c>
      <c r="U15" s="19">
        <f>IF($T15="","","TODAS|"&amp;$T15)</f>
      </c>
      <c r="V15" s="14">
        <f>IF($A15="","",IFERROR(IF(COUNTIF('Compras'!$B:$B,$A15)=0,"",MINIFS('Compras'!$A:$A,'Compras'!$B:$B,$A15)),""))</f>
      </c>
      <c r="W15" s="17">
        <f>IF(OR($A15="",$V15=""),"",TODAY()-$V15)</f>
      </c>
      <c r="X15" s="17">
        <f>IF($A15="","",SUMIF('Ventas'!$D:$D,$A15,'Ventas'!$F:$F))</f>
      </c>
      <c r="Y15" s="19">
        <f>IF($A15="","",IF(AND($X15&gt;=3,$W15&lt;&gt;"",$W15&lt;=15),"🔥 Se vende rápido — REABASTECE",IF($K15="Agotado","🔴 Agotado — reabastece",IF($K15="Stock bajo","🟠 Stock bajo","✅ Ok"))))</f>
      </c>
    </row>
    <row r="16">
      <c r="A16" s="20"/>
      <c r="B16" s="20"/>
      <c r="C16" s="20"/>
      <c r="D16" s="20"/>
      <c r="E16" s="21"/>
      <c r="F16" s="16">
        <f>IF($A16="","",IFERROR(SUMIF('Compras'!$B:$B,$A16,'Compras'!$F:$F)/SUMIF('Compras'!$B:$B,$A16,'Compras'!$D:$D),0))</f>
      </c>
      <c r="G16" s="17">
        <f>IF($A16="","",SUMIF('Compras'!$B:$B,$A16,'Compras'!$D:$D)+SUMIF('Traslados'!$H:$H,$A16&amp;"|Casa",'Traslados'!$D:$D)-SUMIF('Traslados'!$G:$G,$A16&amp;"|Casa",'Traslados'!$D:$D)-SUMIF('Ventas'!$M:$M,$A16&amp;"|Casa",'Ventas'!$F:$F)+SUMIF('Ajustes'!$H:$H,$A16&amp;"|Casa",'Ajustes'!$D:$D))</f>
      </c>
      <c r="H16" s="17">
        <f>IF($A16="","",SUMIF('Traslados'!$H:$H,$A16&amp;"|Mercado Libre",'Traslados'!$D:$D)-SUMIF('Traslados'!$G:$G,$A16&amp;"|Mercado Libre",'Traslados'!$D:$D)-SUMIF('Ventas'!$M:$M,$A16&amp;"|Mercado Libre",'Ventas'!$F:$F)+SUMIF('Ajustes'!$H:$H,$A16&amp;"|Mercado Libre",'Ajustes'!$D:$D))</f>
      </c>
      <c r="I16" s="17">
        <f>IF($A16="","",$G16+$H16)</f>
      </c>
      <c r="J16" s="16">
        <f>IF($A16="","",$I16*$F16)</f>
      </c>
      <c r="K16" s="19">
        <f>IF($A16="","",IF($I16&lt;=0,"Agotado",IF($I16&lt;=$E16,"Stock bajo","Disponible")))</f>
      </c>
      <c r="L16" s="17">
        <f>IF($A16="","",IFERROR(VLOOKUP($C16,'Config'!$D$2:$E$30,2,FALSE),0))</f>
      </c>
      <c r="M16" s="20"/>
      <c r="N16" s="22"/>
      <c r="O16" s="22"/>
      <c r="P16" s="17">
        <f>IF(OR($A16="",$D16&lt;&gt;"Activo"),"",SUMPRODUCT(($C$2:$C$201=$C16)*($D$2:$D$201="Activo")*(($S$2:$S$201&lt;$S16)+(($S$2:$S$201=$S16)*($B$2:$B$201&lt;$B16))))+1)</f>
      </c>
      <c r="Q16" s="19">
        <f>IF($P16="","",$C16&amp;"|"&amp;$P16)</f>
      </c>
      <c r="R16" s="20"/>
      <c r="S16" s="17">
        <f>IF($A16="","",IFERROR(VALUE(TRIM(LEFT($R16,FIND("x",LOWER($R16))-1)))*VALUE(TRIM(MID($R16,FIND("x",LOWER($R16))+1,20))),0))</f>
      </c>
      <c r="T16" s="17">
        <f>IF(OR($A16="",$D16&lt;&gt;"Activo"),"",SUMPRODUCT(($D$2:$D$201="Activo")*(($C$2:$C$201&lt;$C16)+(($C$2:$C$201=$C16)*($S$2:$S$201&lt;$S16))+(($C$2:$C$201=$C16)*($S$2:$S$201=$S16)*($B$2:$B$201&lt;$B16))))+1)</f>
      </c>
      <c r="U16" s="19">
        <f>IF($T16="","","TODAS|"&amp;$T16)</f>
      </c>
      <c r="V16" s="14">
        <f>IF($A16="","",IFERROR(IF(COUNTIF('Compras'!$B:$B,$A16)=0,"",MINIFS('Compras'!$A:$A,'Compras'!$B:$B,$A16)),""))</f>
      </c>
      <c r="W16" s="17">
        <f>IF(OR($A16="",$V16=""),"",TODAY()-$V16)</f>
      </c>
      <c r="X16" s="17">
        <f>IF($A16="","",SUMIF('Ventas'!$D:$D,$A16,'Ventas'!$F:$F))</f>
      </c>
      <c r="Y16" s="19">
        <f>IF($A16="","",IF(AND($X16&gt;=3,$W16&lt;&gt;"",$W16&lt;=15),"🔥 Se vende rápido — REABASTECE",IF($K16="Agotado","🔴 Agotado — reabastece",IF($K16="Stock bajo","🟠 Stock bajo","✅ Ok"))))</f>
      </c>
    </row>
    <row r="17">
      <c r="A17" s="20"/>
      <c r="B17" s="20"/>
      <c r="C17" s="20"/>
      <c r="D17" s="20"/>
      <c r="E17" s="21"/>
      <c r="F17" s="16">
        <f>IF($A17="","",IFERROR(SUMIF('Compras'!$B:$B,$A17,'Compras'!$F:$F)/SUMIF('Compras'!$B:$B,$A17,'Compras'!$D:$D),0))</f>
      </c>
      <c r="G17" s="17">
        <f>IF($A17="","",SUMIF('Compras'!$B:$B,$A17,'Compras'!$D:$D)+SUMIF('Traslados'!$H:$H,$A17&amp;"|Casa",'Traslados'!$D:$D)-SUMIF('Traslados'!$G:$G,$A17&amp;"|Casa",'Traslados'!$D:$D)-SUMIF('Ventas'!$M:$M,$A17&amp;"|Casa",'Ventas'!$F:$F)+SUMIF('Ajustes'!$H:$H,$A17&amp;"|Casa",'Ajustes'!$D:$D))</f>
      </c>
      <c r="H17" s="17">
        <f>IF($A17="","",SUMIF('Traslados'!$H:$H,$A17&amp;"|Mercado Libre",'Traslados'!$D:$D)-SUMIF('Traslados'!$G:$G,$A17&amp;"|Mercado Libre",'Traslados'!$D:$D)-SUMIF('Ventas'!$M:$M,$A17&amp;"|Mercado Libre",'Ventas'!$F:$F)+SUMIF('Ajustes'!$H:$H,$A17&amp;"|Mercado Libre",'Ajustes'!$D:$D))</f>
      </c>
      <c r="I17" s="17">
        <f>IF($A17="","",$G17+$H17)</f>
      </c>
      <c r="J17" s="16">
        <f>IF($A17="","",$I17*$F17)</f>
      </c>
      <c r="K17" s="19">
        <f>IF($A17="","",IF($I17&lt;=0,"Agotado",IF($I17&lt;=$E17,"Stock bajo","Disponible")))</f>
      </c>
      <c r="L17" s="17">
        <f>IF($A17="","",IFERROR(VLOOKUP($C17,'Config'!$D$2:$E$30,2,FALSE),0))</f>
      </c>
      <c r="M17" s="20"/>
      <c r="N17" s="22"/>
      <c r="O17" s="22"/>
      <c r="P17" s="17">
        <f>IF(OR($A17="",$D17&lt;&gt;"Activo"),"",SUMPRODUCT(($C$2:$C$201=$C17)*($D$2:$D$201="Activo")*(($S$2:$S$201&lt;$S17)+(($S$2:$S$201=$S17)*($B$2:$B$201&lt;$B17))))+1)</f>
      </c>
      <c r="Q17" s="19">
        <f>IF($P17="","",$C17&amp;"|"&amp;$P17)</f>
      </c>
      <c r="R17" s="20"/>
      <c r="S17" s="17">
        <f>IF($A17="","",IFERROR(VALUE(TRIM(LEFT($R17,FIND("x",LOWER($R17))-1)))*VALUE(TRIM(MID($R17,FIND("x",LOWER($R17))+1,20))),0))</f>
      </c>
      <c r="T17" s="17">
        <f>IF(OR($A17="",$D17&lt;&gt;"Activo"),"",SUMPRODUCT(($D$2:$D$201="Activo")*(($C$2:$C$201&lt;$C17)+(($C$2:$C$201=$C17)*($S$2:$S$201&lt;$S17))+(($C$2:$C$201=$C17)*($S$2:$S$201=$S17)*($B$2:$B$201&lt;$B17))))+1)</f>
      </c>
      <c r="U17" s="19">
        <f>IF($T17="","","TODAS|"&amp;$T17)</f>
      </c>
      <c r="V17" s="14">
        <f>IF($A17="","",IFERROR(IF(COUNTIF('Compras'!$B:$B,$A17)=0,"",MINIFS('Compras'!$A:$A,'Compras'!$B:$B,$A17)),""))</f>
      </c>
      <c r="W17" s="17">
        <f>IF(OR($A17="",$V17=""),"",TODAY()-$V17)</f>
      </c>
      <c r="X17" s="17">
        <f>IF($A17="","",SUMIF('Ventas'!$D:$D,$A17,'Ventas'!$F:$F))</f>
      </c>
      <c r="Y17" s="19">
        <f>IF($A17="","",IF(AND($X17&gt;=3,$W17&lt;&gt;"",$W17&lt;=15),"🔥 Se vende rápido — REABASTECE",IF($K17="Agotado","🔴 Agotado — reabastece",IF($K17="Stock bajo","🟠 Stock bajo","✅ Ok"))))</f>
      </c>
    </row>
    <row r="18">
      <c r="A18" s="20"/>
      <c r="B18" s="20"/>
      <c r="C18" s="20"/>
      <c r="D18" s="20"/>
      <c r="E18" s="21"/>
      <c r="F18" s="16">
        <f>IF($A18="","",IFERROR(SUMIF('Compras'!$B:$B,$A18,'Compras'!$F:$F)/SUMIF('Compras'!$B:$B,$A18,'Compras'!$D:$D),0))</f>
      </c>
      <c r="G18" s="17">
        <f>IF($A18="","",SUMIF('Compras'!$B:$B,$A18,'Compras'!$D:$D)+SUMIF('Traslados'!$H:$H,$A18&amp;"|Casa",'Traslados'!$D:$D)-SUMIF('Traslados'!$G:$G,$A18&amp;"|Casa",'Traslados'!$D:$D)-SUMIF('Ventas'!$M:$M,$A18&amp;"|Casa",'Ventas'!$F:$F)+SUMIF('Ajustes'!$H:$H,$A18&amp;"|Casa",'Ajustes'!$D:$D))</f>
      </c>
      <c r="H18" s="17">
        <f>IF($A18="","",SUMIF('Traslados'!$H:$H,$A18&amp;"|Mercado Libre",'Traslados'!$D:$D)-SUMIF('Traslados'!$G:$G,$A18&amp;"|Mercado Libre",'Traslados'!$D:$D)-SUMIF('Ventas'!$M:$M,$A18&amp;"|Mercado Libre",'Ventas'!$F:$F)+SUMIF('Ajustes'!$H:$H,$A18&amp;"|Mercado Libre",'Ajustes'!$D:$D))</f>
      </c>
      <c r="I18" s="17">
        <f>IF($A18="","",$G18+$H18)</f>
      </c>
      <c r="J18" s="16">
        <f>IF($A18="","",$I18*$F18)</f>
      </c>
      <c r="K18" s="19">
        <f>IF($A18="","",IF($I18&lt;=0,"Agotado",IF($I18&lt;=$E18,"Stock bajo","Disponible")))</f>
      </c>
      <c r="L18" s="17">
        <f>IF($A18="","",IFERROR(VLOOKUP($C18,'Config'!$D$2:$E$30,2,FALSE),0))</f>
      </c>
      <c r="M18" s="20"/>
      <c r="N18" s="22"/>
      <c r="O18" s="22"/>
      <c r="P18" s="17">
        <f>IF(OR($A18="",$D18&lt;&gt;"Activo"),"",SUMPRODUCT(($C$2:$C$201=$C18)*($D$2:$D$201="Activo")*(($S$2:$S$201&lt;$S18)+(($S$2:$S$201=$S18)*($B$2:$B$201&lt;$B18))))+1)</f>
      </c>
      <c r="Q18" s="19">
        <f>IF($P18="","",$C18&amp;"|"&amp;$P18)</f>
      </c>
      <c r="R18" s="20"/>
      <c r="S18" s="17">
        <f>IF($A18="","",IFERROR(VALUE(TRIM(LEFT($R18,FIND("x",LOWER($R18))-1)))*VALUE(TRIM(MID($R18,FIND("x",LOWER($R18))+1,20))),0))</f>
      </c>
      <c r="T18" s="17">
        <f>IF(OR($A18="",$D18&lt;&gt;"Activo"),"",SUMPRODUCT(($D$2:$D$201="Activo")*(($C$2:$C$201&lt;$C18)+(($C$2:$C$201=$C18)*($S$2:$S$201&lt;$S18))+(($C$2:$C$201=$C18)*($S$2:$S$201=$S18)*($B$2:$B$201&lt;$B18))))+1)</f>
      </c>
      <c r="U18" s="19">
        <f>IF($T18="","","TODAS|"&amp;$T18)</f>
      </c>
      <c r="V18" s="14">
        <f>IF($A18="","",IFERROR(IF(COUNTIF('Compras'!$B:$B,$A18)=0,"",MINIFS('Compras'!$A:$A,'Compras'!$B:$B,$A18)),""))</f>
      </c>
      <c r="W18" s="17">
        <f>IF(OR($A18="",$V18=""),"",TODAY()-$V18)</f>
      </c>
      <c r="X18" s="17">
        <f>IF($A18="","",SUMIF('Ventas'!$D:$D,$A18,'Ventas'!$F:$F))</f>
      </c>
      <c r="Y18" s="19">
        <f>IF($A18="","",IF(AND($X18&gt;=3,$W18&lt;&gt;"",$W18&lt;=15),"🔥 Se vende rápido — REABASTECE",IF($K18="Agotado","🔴 Agotado — reabastece",IF($K18="Stock bajo","🟠 Stock bajo","✅ Ok"))))</f>
      </c>
    </row>
    <row r="19">
      <c r="A19" s="20"/>
      <c r="B19" s="20"/>
      <c r="C19" s="20"/>
      <c r="D19" s="20"/>
      <c r="E19" s="21"/>
      <c r="F19" s="16">
        <f>IF($A19="","",IFERROR(SUMIF('Compras'!$B:$B,$A19,'Compras'!$F:$F)/SUMIF('Compras'!$B:$B,$A19,'Compras'!$D:$D),0))</f>
      </c>
      <c r="G19" s="17">
        <f>IF($A19="","",SUMIF('Compras'!$B:$B,$A19,'Compras'!$D:$D)+SUMIF('Traslados'!$H:$H,$A19&amp;"|Casa",'Traslados'!$D:$D)-SUMIF('Traslados'!$G:$G,$A19&amp;"|Casa",'Traslados'!$D:$D)-SUMIF('Ventas'!$M:$M,$A19&amp;"|Casa",'Ventas'!$F:$F)+SUMIF('Ajustes'!$H:$H,$A19&amp;"|Casa",'Ajustes'!$D:$D))</f>
      </c>
      <c r="H19" s="17">
        <f>IF($A19="","",SUMIF('Traslados'!$H:$H,$A19&amp;"|Mercado Libre",'Traslados'!$D:$D)-SUMIF('Traslados'!$G:$G,$A19&amp;"|Mercado Libre",'Traslados'!$D:$D)-SUMIF('Ventas'!$M:$M,$A19&amp;"|Mercado Libre",'Ventas'!$F:$F)+SUMIF('Ajustes'!$H:$H,$A19&amp;"|Mercado Libre",'Ajustes'!$D:$D))</f>
      </c>
      <c r="I19" s="17">
        <f>IF($A19="","",$G19+$H19)</f>
      </c>
      <c r="J19" s="16">
        <f>IF($A19="","",$I19*$F19)</f>
      </c>
      <c r="K19" s="19">
        <f>IF($A19="","",IF($I19&lt;=0,"Agotado",IF($I19&lt;=$E19,"Stock bajo","Disponible")))</f>
      </c>
      <c r="L19" s="17">
        <f>IF($A19="","",IFERROR(VLOOKUP($C19,'Config'!$D$2:$E$30,2,FALSE),0))</f>
      </c>
      <c r="M19" s="20"/>
      <c r="N19" s="22"/>
      <c r="O19" s="22"/>
      <c r="P19" s="17">
        <f>IF(OR($A19="",$D19&lt;&gt;"Activo"),"",SUMPRODUCT(($C$2:$C$201=$C19)*($D$2:$D$201="Activo")*(($S$2:$S$201&lt;$S19)+(($S$2:$S$201=$S19)*($B$2:$B$201&lt;$B19))))+1)</f>
      </c>
      <c r="Q19" s="19">
        <f>IF($P19="","",$C19&amp;"|"&amp;$P19)</f>
      </c>
      <c r="R19" s="20"/>
      <c r="S19" s="17">
        <f>IF($A19="","",IFERROR(VALUE(TRIM(LEFT($R19,FIND("x",LOWER($R19))-1)))*VALUE(TRIM(MID($R19,FIND("x",LOWER($R19))+1,20))),0))</f>
      </c>
      <c r="T19" s="17">
        <f>IF(OR($A19="",$D19&lt;&gt;"Activo"),"",SUMPRODUCT(($D$2:$D$201="Activo")*(($C$2:$C$201&lt;$C19)+(($C$2:$C$201=$C19)*($S$2:$S$201&lt;$S19))+(($C$2:$C$201=$C19)*($S$2:$S$201=$S19)*($B$2:$B$201&lt;$B19))))+1)</f>
      </c>
      <c r="U19" s="19">
        <f>IF($T19="","","TODAS|"&amp;$T19)</f>
      </c>
      <c r="V19" s="14">
        <f>IF($A19="","",IFERROR(IF(COUNTIF('Compras'!$B:$B,$A19)=0,"",MINIFS('Compras'!$A:$A,'Compras'!$B:$B,$A19)),""))</f>
      </c>
      <c r="W19" s="17">
        <f>IF(OR($A19="",$V19=""),"",TODAY()-$V19)</f>
      </c>
      <c r="X19" s="17">
        <f>IF($A19="","",SUMIF('Ventas'!$D:$D,$A19,'Ventas'!$F:$F))</f>
      </c>
      <c r="Y19" s="19">
        <f>IF($A19="","",IF(AND($X19&gt;=3,$W19&lt;&gt;"",$W19&lt;=15),"🔥 Se vende rápido — REABASTECE",IF($K19="Agotado","🔴 Agotado — reabastece",IF($K19="Stock bajo","🟠 Stock bajo","✅ Ok"))))</f>
      </c>
    </row>
    <row r="20">
      <c r="A20" s="20"/>
      <c r="B20" s="20"/>
      <c r="C20" s="20"/>
      <c r="D20" s="20"/>
      <c r="E20" s="21"/>
      <c r="F20" s="16">
        <f>IF($A20="","",IFERROR(SUMIF('Compras'!$B:$B,$A20,'Compras'!$F:$F)/SUMIF('Compras'!$B:$B,$A20,'Compras'!$D:$D),0))</f>
      </c>
      <c r="G20" s="17">
        <f>IF($A20="","",SUMIF('Compras'!$B:$B,$A20,'Compras'!$D:$D)+SUMIF('Traslados'!$H:$H,$A20&amp;"|Casa",'Traslados'!$D:$D)-SUMIF('Traslados'!$G:$G,$A20&amp;"|Casa",'Traslados'!$D:$D)-SUMIF('Ventas'!$M:$M,$A20&amp;"|Casa",'Ventas'!$F:$F)+SUMIF('Ajustes'!$H:$H,$A20&amp;"|Casa",'Ajustes'!$D:$D))</f>
      </c>
      <c r="H20" s="17">
        <f>IF($A20="","",SUMIF('Traslados'!$H:$H,$A20&amp;"|Mercado Libre",'Traslados'!$D:$D)-SUMIF('Traslados'!$G:$G,$A20&amp;"|Mercado Libre",'Traslados'!$D:$D)-SUMIF('Ventas'!$M:$M,$A20&amp;"|Mercado Libre",'Ventas'!$F:$F)+SUMIF('Ajustes'!$H:$H,$A20&amp;"|Mercado Libre",'Ajustes'!$D:$D))</f>
      </c>
      <c r="I20" s="17">
        <f>IF($A20="","",$G20+$H20)</f>
      </c>
      <c r="J20" s="16">
        <f>IF($A20="","",$I20*$F20)</f>
      </c>
      <c r="K20" s="19">
        <f>IF($A20="","",IF($I20&lt;=0,"Agotado",IF($I20&lt;=$E20,"Stock bajo","Disponible")))</f>
      </c>
      <c r="L20" s="17">
        <f>IF($A20="","",IFERROR(VLOOKUP($C20,'Config'!$D$2:$E$30,2,FALSE),0))</f>
      </c>
      <c r="M20" s="20"/>
      <c r="N20" s="22"/>
      <c r="O20" s="22"/>
      <c r="P20" s="17">
        <f>IF(OR($A20="",$D20&lt;&gt;"Activo"),"",SUMPRODUCT(($C$2:$C$201=$C20)*($D$2:$D$201="Activo")*(($S$2:$S$201&lt;$S20)+(($S$2:$S$201=$S20)*($B$2:$B$201&lt;$B20))))+1)</f>
      </c>
      <c r="Q20" s="19">
        <f>IF($P20="","",$C20&amp;"|"&amp;$P20)</f>
      </c>
      <c r="R20" s="20"/>
      <c r="S20" s="17">
        <f>IF($A20="","",IFERROR(VALUE(TRIM(LEFT($R20,FIND("x",LOWER($R20))-1)))*VALUE(TRIM(MID($R20,FIND("x",LOWER($R20))+1,20))),0))</f>
      </c>
      <c r="T20" s="17">
        <f>IF(OR($A20="",$D20&lt;&gt;"Activo"),"",SUMPRODUCT(($D$2:$D$201="Activo")*(($C$2:$C$201&lt;$C20)+(($C$2:$C$201=$C20)*($S$2:$S$201&lt;$S20))+(($C$2:$C$201=$C20)*($S$2:$S$201=$S20)*($B$2:$B$201&lt;$B20))))+1)</f>
      </c>
      <c r="U20" s="19">
        <f>IF($T20="","","TODAS|"&amp;$T20)</f>
      </c>
      <c r="V20" s="14">
        <f>IF($A20="","",IFERROR(IF(COUNTIF('Compras'!$B:$B,$A20)=0,"",MINIFS('Compras'!$A:$A,'Compras'!$B:$B,$A20)),""))</f>
      </c>
      <c r="W20" s="17">
        <f>IF(OR($A20="",$V20=""),"",TODAY()-$V20)</f>
      </c>
      <c r="X20" s="17">
        <f>IF($A20="","",SUMIF('Ventas'!$D:$D,$A20,'Ventas'!$F:$F))</f>
      </c>
      <c r="Y20" s="19">
        <f>IF($A20="","",IF(AND($X20&gt;=3,$W20&lt;&gt;"",$W20&lt;=15),"🔥 Se vende rápido — REABASTECE",IF($K20="Agotado","🔴 Agotado — reabastece",IF($K20="Stock bajo","🟠 Stock bajo","✅ Ok"))))</f>
      </c>
    </row>
    <row r="21">
      <c r="A21" s="20"/>
      <c r="B21" s="20"/>
      <c r="C21" s="20"/>
      <c r="D21" s="20"/>
      <c r="E21" s="21"/>
      <c r="F21" s="16">
        <f>IF($A21="","",IFERROR(SUMIF('Compras'!$B:$B,$A21,'Compras'!$F:$F)/SUMIF('Compras'!$B:$B,$A21,'Compras'!$D:$D),0))</f>
      </c>
      <c r="G21" s="17">
        <f>IF($A21="","",SUMIF('Compras'!$B:$B,$A21,'Compras'!$D:$D)+SUMIF('Traslados'!$H:$H,$A21&amp;"|Casa",'Traslados'!$D:$D)-SUMIF('Traslados'!$G:$G,$A21&amp;"|Casa",'Traslados'!$D:$D)-SUMIF('Ventas'!$M:$M,$A21&amp;"|Casa",'Ventas'!$F:$F)+SUMIF('Ajustes'!$H:$H,$A21&amp;"|Casa",'Ajustes'!$D:$D))</f>
      </c>
      <c r="H21" s="17">
        <f>IF($A21="","",SUMIF('Traslados'!$H:$H,$A21&amp;"|Mercado Libre",'Traslados'!$D:$D)-SUMIF('Traslados'!$G:$G,$A21&amp;"|Mercado Libre",'Traslados'!$D:$D)-SUMIF('Ventas'!$M:$M,$A21&amp;"|Mercado Libre",'Ventas'!$F:$F)+SUMIF('Ajustes'!$H:$H,$A21&amp;"|Mercado Libre",'Ajustes'!$D:$D))</f>
      </c>
      <c r="I21" s="17">
        <f>IF($A21="","",$G21+$H21)</f>
      </c>
      <c r="J21" s="16">
        <f>IF($A21="","",$I21*$F21)</f>
      </c>
      <c r="K21" s="19">
        <f>IF($A21="","",IF($I21&lt;=0,"Agotado",IF($I21&lt;=$E21,"Stock bajo","Disponible")))</f>
      </c>
      <c r="L21" s="17">
        <f>IF($A21="","",IFERROR(VLOOKUP($C21,'Config'!$D$2:$E$30,2,FALSE),0))</f>
      </c>
      <c r="M21" s="20"/>
      <c r="N21" s="22"/>
      <c r="O21" s="22"/>
      <c r="P21" s="17">
        <f>IF(OR($A21="",$D21&lt;&gt;"Activo"),"",SUMPRODUCT(($C$2:$C$201=$C21)*($D$2:$D$201="Activo")*(($S$2:$S$201&lt;$S21)+(($S$2:$S$201=$S21)*($B$2:$B$201&lt;$B21))))+1)</f>
      </c>
      <c r="Q21" s="19">
        <f>IF($P21="","",$C21&amp;"|"&amp;$P21)</f>
      </c>
      <c r="R21" s="20"/>
      <c r="S21" s="17">
        <f>IF($A21="","",IFERROR(VALUE(TRIM(LEFT($R21,FIND("x",LOWER($R21))-1)))*VALUE(TRIM(MID($R21,FIND("x",LOWER($R21))+1,20))),0))</f>
      </c>
      <c r="T21" s="17">
        <f>IF(OR($A21="",$D21&lt;&gt;"Activo"),"",SUMPRODUCT(($D$2:$D$201="Activo")*(($C$2:$C$201&lt;$C21)+(($C$2:$C$201=$C21)*($S$2:$S$201&lt;$S21))+(($C$2:$C$201=$C21)*($S$2:$S$201=$S21)*($B$2:$B$201&lt;$B21))))+1)</f>
      </c>
      <c r="U21" s="19">
        <f>IF($T21="","","TODAS|"&amp;$T21)</f>
      </c>
      <c r="V21" s="14">
        <f>IF($A21="","",IFERROR(IF(COUNTIF('Compras'!$B:$B,$A21)=0,"",MINIFS('Compras'!$A:$A,'Compras'!$B:$B,$A21)),""))</f>
      </c>
      <c r="W21" s="17">
        <f>IF(OR($A21="",$V21=""),"",TODAY()-$V21)</f>
      </c>
      <c r="X21" s="17">
        <f>IF($A21="","",SUMIF('Ventas'!$D:$D,$A21,'Ventas'!$F:$F))</f>
      </c>
      <c r="Y21" s="19">
        <f>IF($A21="","",IF(AND($X21&gt;=3,$W21&lt;&gt;"",$W21&lt;=15),"🔥 Se vende rápido — REABASTECE",IF($K21="Agotado","🔴 Agotado — reabastece",IF($K21="Stock bajo","🟠 Stock bajo","✅ Ok"))))</f>
      </c>
    </row>
    <row r="22">
      <c r="A22" s="20"/>
      <c r="B22" s="20"/>
      <c r="C22" s="20"/>
      <c r="D22" s="20"/>
      <c r="E22" s="21"/>
      <c r="F22" s="16">
        <f>IF($A22="","",IFERROR(SUMIF('Compras'!$B:$B,$A22,'Compras'!$F:$F)/SUMIF('Compras'!$B:$B,$A22,'Compras'!$D:$D),0))</f>
      </c>
      <c r="G22" s="17">
        <f>IF($A22="","",SUMIF('Compras'!$B:$B,$A22,'Compras'!$D:$D)+SUMIF('Traslados'!$H:$H,$A22&amp;"|Casa",'Traslados'!$D:$D)-SUMIF('Traslados'!$G:$G,$A22&amp;"|Casa",'Traslados'!$D:$D)-SUMIF('Ventas'!$M:$M,$A22&amp;"|Casa",'Ventas'!$F:$F)+SUMIF('Ajustes'!$H:$H,$A22&amp;"|Casa",'Ajustes'!$D:$D))</f>
      </c>
      <c r="H22" s="17">
        <f>IF($A22="","",SUMIF('Traslados'!$H:$H,$A22&amp;"|Mercado Libre",'Traslados'!$D:$D)-SUMIF('Traslados'!$G:$G,$A22&amp;"|Mercado Libre",'Traslados'!$D:$D)-SUMIF('Ventas'!$M:$M,$A22&amp;"|Mercado Libre",'Ventas'!$F:$F)+SUMIF('Ajustes'!$H:$H,$A22&amp;"|Mercado Libre",'Ajustes'!$D:$D))</f>
      </c>
      <c r="I22" s="17">
        <f>IF($A22="","",$G22+$H22)</f>
      </c>
      <c r="J22" s="16">
        <f>IF($A22="","",$I22*$F22)</f>
      </c>
      <c r="K22" s="19">
        <f>IF($A22="","",IF($I22&lt;=0,"Agotado",IF($I22&lt;=$E22,"Stock bajo","Disponible")))</f>
      </c>
      <c r="L22" s="17">
        <f>IF($A22="","",IFERROR(VLOOKUP($C22,'Config'!$D$2:$E$30,2,FALSE),0))</f>
      </c>
      <c r="M22" s="20"/>
      <c r="N22" s="22"/>
      <c r="O22" s="22"/>
      <c r="P22" s="17">
        <f>IF(OR($A22="",$D22&lt;&gt;"Activo"),"",SUMPRODUCT(($C$2:$C$201=$C22)*($D$2:$D$201="Activo")*(($S$2:$S$201&lt;$S22)+(($S$2:$S$201=$S22)*($B$2:$B$201&lt;$B22))))+1)</f>
      </c>
      <c r="Q22" s="19">
        <f>IF($P22="","",$C22&amp;"|"&amp;$P22)</f>
      </c>
      <c r="R22" s="20"/>
      <c r="S22" s="17">
        <f>IF($A22="","",IFERROR(VALUE(TRIM(LEFT($R22,FIND("x",LOWER($R22))-1)))*VALUE(TRIM(MID($R22,FIND("x",LOWER($R22))+1,20))),0))</f>
      </c>
      <c r="T22" s="17">
        <f>IF(OR($A22="",$D22&lt;&gt;"Activo"),"",SUMPRODUCT(($D$2:$D$201="Activo")*(($C$2:$C$201&lt;$C22)+(($C$2:$C$201=$C22)*($S$2:$S$201&lt;$S22))+(($C$2:$C$201=$C22)*($S$2:$S$201=$S22)*($B$2:$B$201&lt;$B22))))+1)</f>
      </c>
      <c r="U22" s="19">
        <f>IF($T22="","","TODAS|"&amp;$T22)</f>
      </c>
      <c r="V22" s="14">
        <f>IF($A22="","",IFERROR(IF(COUNTIF('Compras'!$B:$B,$A22)=0,"",MINIFS('Compras'!$A:$A,'Compras'!$B:$B,$A22)),""))</f>
      </c>
      <c r="W22" s="17">
        <f>IF(OR($A22="",$V22=""),"",TODAY()-$V22)</f>
      </c>
      <c r="X22" s="17">
        <f>IF($A22="","",SUMIF('Ventas'!$D:$D,$A22,'Ventas'!$F:$F))</f>
      </c>
      <c r="Y22" s="19">
        <f>IF($A22="","",IF(AND($X22&gt;=3,$W22&lt;&gt;"",$W22&lt;=15),"🔥 Se vende rápido — REABASTECE",IF($K22="Agotado","🔴 Agotado — reabastece",IF($K22="Stock bajo","🟠 Stock bajo","✅ Ok"))))</f>
      </c>
    </row>
    <row r="23">
      <c r="A23" s="20"/>
      <c r="B23" s="20"/>
      <c r="C23" s="20"/>
      <c r="D23" s="20"/>
      <c r="E23" s="21"/>
      <c r="F23" s="16">
        <f>IF($A23="","",IFERROR(SUMIF('Compras'!$B:$B,$A23,'Compras'!$F:$F)/SUMIF('Compras'!$B:$B,$A23,'Compras'!$D:$D),0))</f>
      </c>
      <c r="G23" s="17">
        <f>IF($A23="","",SUMIF('Compras'!$B:$B,$A23,'Compras'!$D:$D)+SUMIF('Traslados'!$H:$H,$A23&amp;"|Casa",'Traslados'!$D:$D)-SUMIF('Traslados'!$G:$G,$A23&amp;"|Casa",'Traslados'!$D:$D)-SUMIF('Ventas'!$M:$M,$A23&amp;"|Casa",'Ventas'!$F:$F)+SUMIF('Ajustes'!$H:$H,$A23&amp;"|Casa",'Ajustes'!$D:$D))</f>
      </c>
      <c r="H23" s="17">
        <f>IF($A23="","",SUMIF('Traslados'!$H:$H,$A23&amp;"|Mercado Libre",'Traslados'!$D:$D)-SUMIF('Traslados'!$G:$G,$A23&amp;"|Mercado Libre",'Traslados'!$D:$D)-SUMIF('Ventas'!$M:$M,$A23&amp;"|Mercado Libre",'Ventas'!$F:$F)+SUMIF('Ajustes'!$H:$H,$A23&amp;"|Mercado Libre",'Ajustes'!$D:$D))</f>
      </c>
      <c r="I23" s="17">
        <f>IF($A23="","",$G23+$H23)</f>
      </c>
      <c r="J23" s="16">
        <f>IF($A23="","",$I23*$F23)</f>
      </c>
      <c r="K23" s="19">
        <f>IF($A23="","",IF($I23&lt;=0,"Agotado",IF($I23&lt;=$E23,"Stock bajo","Disponible")))</f>
      </c>
      <c r="L23" s="17">
        <f>IF($A23="","",IFERROR(VLOOKUP($C23,'Config'!$D$2:$E$30,2,FALSE),0))</f>
      </c>
      <c r="M23" s="20"/>
      <c r="N23" s="22"/>
      <c r="O23" s="22"/>
      <c r="P23" s="17">
        <f>IF(OR($A23="",$D23&lt;&gt;"Activo"),"",SUMPRODUCT(($C$2:$C$201=$C23)*($D$2:$D$201="Activo")*(($S$2:$S$201&lt;$S23)+(($S$2:$S$201=$S23)*($B$2:$B$201&lt;$B23))))+1)</f>
      </c>
      <c r="Q23" s="19">
        <f>IF($P23="","",$C23&amp;"|"&amp;$P23)</f>
      </c>
      <c r="R23" s="20"/>
      <c r="S23" s="17">
        <f>IF($A23="","",IFERROR(VALUE(TRIM(LEFT($R23,FIND("x",LOWER($R23))-1)))*VALUE(TRIM(MID($R23,FIND("x",LOWER($R23))+1,20))),0))</f>
      </c>
      <c r="T23" s="17">
        <f>IF(OR($A23="",$D23&lt;&gt;"Activo"),"",SUMPRODUCT(($D$2:$D$201="Activo")*(($C$2:$C$201&lt;$C23)+(($C$2:$C$201=$C23)*($S$2:$S$201&lt;$S23))+(($C$2:$C$201=$C23)*($S$2:$S$201=$S23)*($B$2:$B$201&lt;$B23))))+1)</f>
      </c>
      <c r="U23" s="19">
        <f>IF($T23="","","TODAS|"&amp;$T23)</f>
      </c>
      <c r="V23" s="14">
        <f>IF($A23="","",IFERROR(IF(COUNTIF('Compras'!$B:$B,$A23)=0,"",MINIFS('Compras'!$A:$A,'Compras'!$B:$B,$A23)),""))</f>
      </c>
      <c r="W23" s="17">
        <f>IF(OR($A23="",$V23=""),"",TODAY()-$V23)</f>
      </c>
      <c r="X23" s="17">
        <f>IF($A23="","",SUMIF('Ventas'!$D:$D,$A23,'Ventas'!$F:$F))</f>
      </c>
      <c r="Y23" s="19">
        <f>IF($A23="","",IF(AND($X23&gt;=3,$W23&lt;&gt;"",$W23&lt;=15),"🔥 Se vende rápido — REABASTECE",IF($K23="Agotado","🔴 Agotado — reabastece",IF($K23="Stock bajo","🟠 Stock bajo","✅ Ok"))))</f>
      </c>
    </row>
    <row r="24">
      <c r="A24" s="20"/>
      <c r="B24" s="20"/>
      <c r="C24" s="20"/>
      <c r="D24" s="20"/>
      <c r="E24" s="21"/>
      <c r="F24" s="16">
        <f>IF($A24="","",IFERROR(SUMIF('Compras'!$B:$B,$A24,'Compras'!$F:$F)/SUMIF('Compras'!$B:$B,$A24,'Compras'!$D:$D),0))</f>
      </c>
      <c r="G24" s="17">
        <f>IF($A24="","",SUMIF('Compras'!$B:$B,$A24,'Compras'!$D:$D)+SUMIF('Traslados'!$H:$H,$A24&amp;"|Casa",'Traslados'!$D:$D)-SUMIF('Traslados'!$G:$G,$A24&amp;"|Casa",'Traslados'!$D:$D)-SUMIF('Ventas'!$M:$M,$A24&amp;"|Casa",'Ventas'!$F:$F)+SUMIF('Ajustes'!$H:$H,$A24&amp;"|Casa",'Ajustes'!$D:$D))</f>
      </c>
      <c r="H24" s="17">
        <f>IF($A24="","",SUMIF('Traslados'!$H:$H,$A24&amp;"|Mercado Libre",'Traslados'!$D:$D)-SUMIF('Traslados'!$G:$G,$A24&amp;"|Mercado Libre",'Traslados'!$D:$D)-SUMIF('Ventas'!$M:$M,$A24&amp;"|Mercado Libre",'Ventas'!$F:$F)+SUMIF('Ajustes'!$H:$H,$A24&amp;"|Mercado Libre",'Ajustes'!$D:$D))</f>
      </c>
      <c r="I24" s="17">
        <f>IF($A24="","",$G24+$H24)</f>
      </c>
      <c r="J24" s="16">
        <f>IF($A24="","",$I24*$F24)</f>
      </c>
      <c r="K24" s="19">
        <f>IF($A24="","",IF($I24&lt;=0,"Agotado",IF($I24&lt;=$E24,"Stock bajo","Disponible")))</f>
      </c>
      <c r="L24" s="17">
        <f>IF($A24="","",IFERROR(VLOOKUP($C24,'Config'!$D$2:$E$30,2,FALSE),0))</f>
      </c>
      <c r="M24" s="20"/>
      <c r="N24" s="22"/>
      <c r="O24" s="22"/>
      <c r="P24" s="17">
        <f>IF(OR($A24="",$D24&lt;&gt;"Activo"),"",SUMPRODUCT(($C$2:$C$201=$C24)*($D$2:$D$201="Activo")*(($S$2:$S$201&lt;$S24)+(($S$2:$S$201=$S24)*($B$2:$B$201&lt;$B24))))+1)</f>
      </c>
      <c r="Q24" s="19">
        <f>IF($P24="","",$C24&amp;"|"&amp;$P24)</f>
      </c>
      <c r="R24" s="20"/>
      <c r="S24" s="17">
        <f>IF($A24="","",IFERROR(VALUE(TRIM(LEFT($R24,FIND("x",LOWER($R24))-1)))*VALUE(TRIM(MID($R24,FIND("x",LOWER($R24))+1,20))),0))</f>
      </c>
      <c r="T24" s="17">
        <f>IF(OR($A24="",$D24&lt;&gt;"Activo"),"",SUMPRODUCT(($D$2:$D$201="Activo")*(($C$2:$C$201&lt;$C24)+(($C$2:$C$201=$C24)*($S$2:$S$201&lt;$S24))+(($C$2:$C$201=$C24)*($S$2:$S$201=$S24)*($B$2:$B$201&lt;$B24))))+1)</f>
      </c>
      <c r="U24" s="19">
        <f>IF($T24="","","TODAS|"&amp;$T24)</f>
      </c>
      <c r="V24" s="14">
        <f>IF($A24="","",IFERROR(IF(COUNTIF('Compras'!$B:$B,$A24)=0,"",MINIFS('Compras'!$A:$A,'Compras'!$B:$B,$A24)),""))</f>
      </c>
      <c r="W24" s="17">
        <f>IF(OR($A24="",$V24=""),"",TODAY()-$V24)</f>
      </c>
      <c r="X24" s="17">
        <f>IF($A24="","",SUMIF('Ventas'!$D:$D,$A24,'Ventas'!$F:$F))</f>
      </c>
      <c r="Y24" s="19">
        <f>IF($A24="","",IF(AND($X24&gt;=3,$W24&lt;&gt;"",$W24&lt;=15),"🔥 Se vende rápido — REABASTECE",IF($K24="Agotado","🔴 Agotado — reabastece",IF($K24="Stock bajo","🟠 Stock bajo","✅ Ok"))))</f>
      </c>
    </row>
    <row r="25">
      <c r="A25" s="20"/>
      <c r="B25" s="20"/>
      <c r="C25" s="20"/>
      <c r="D25" s="20"/>
      <c r="E25" s="21"/>
      <c r="F25" s="16">
        <f>IF($A25="","",IFERROR(SUMIF('Compras'!$B:$B,$A25,'Compras'!$F:$F)/SUMIF('Compras'!$B:$B,$A25,'Compras'!$D:$D),0))</f>
      </c>
      <c r="G25" s="17">
        <f>IF($A25="","",SUMIF('Compras'!$B:$B,$A25,'Compras'!$D:$D)+SUMIF('Traslados'!$H:$H,$A25&amp;"|Casa",'Traslados'!$D:$D)-SUMIF('Traslados'!$G:$G,$A25&amp;"|Casa",'Traslados'!$D:$D)-SUMIF('Ventas'!$M:$M,$A25&amp;"|Casa",'Ventas'!$F:$F)+SUMIF('Ajustes'!$H:$H,$A25&amp;"|Casa",'Ajustes'!$D:$D))</f>
      </c>
      <c r="H25" s="17">
        <f>IF($A25="","",SUMIF('Traslados'!$H:$H,$A25&amp;"|Mercado Libre",'Traslados'!$D:$D)-SUMIF('Traslados'!$G:$G,$A25&amp;"|Mercado Libre",'Traslados'!$D:$D)-SUMIF('Ventas'!$M:$M,$A25&amp;"|Mercado Libre",'Ventas'!$F:$F)+SUMIF('Ajustes'!$H:$H,$A25&amp;"|Mercado Libre",'Ajustes'!$D:$D))</f>
      </c>
      <c r="I25" s="17">
        <f>IF($A25="","",$G25+$H25)</f>
      </c>
      <c r="J25" s="16">
        <f>IF($A25="","",$I25*$F25)</f>
      </c>
      <c r="K25" s="19">
        <f>IF($A25="","",IF($I25&lt;=0,"Agotado",IF($I25&lt;=$E25,"Stock bajo","Disponible")))</f>
      </c>
      <c r="L25" s="17">
        <f>IF($A25="","",IFERROR(VLOOKUP($C25,'Config'!$D$2:$E$30,2,FALSE),0))</f>
      </c>
      <c r="M25" s="20"/>
      <c r="N25" s="22"/>
      <c r="O25" s="22"/>
      <c r="P25" s="17">
        <f>IF(OR($A25="",$D25&lt;&gt;"Activo"),"",SUMPRODUCT(($C$2:$C$201=$C25)*($D$2:$D$201="Activo")*(($S$2:$S$201&lt;$S25)+(($S$2:$S$201=$S25)*($B$2:$B$201&lt;$B25))))+1)</f>
      </c>
      <c r="Q25" s="19">
        <f>IF($P25="","",$C25&amp;"|"&amp;$P25)</f>
      </c>
      <c r="R25" s="20"/>
      <c r="S25" s="17">
        <f>IF($A25="","",IFERROR(VALUE(TRIM(LEFT($R25,FIND("x",LOWER($R25))-1)))*VALUE(TRIM(MID($R25,FIND("x",LOWER($R25))+1,20))),0))</f>
      </c>
      <c r="T25" s="17">
        <f>IF(OR($A25="",$D25&lt;&gt;"Activo"),"",SUMPRODUCT(($D$2:$D$201="Activo")*(($C$2:$C$201&lt;$C25)+(($C$2:$C$201=$C25)*($S$2:$S$201&lt;$S25))+(($C$2:$C$201=$C25)*($S$2:$S$201=$S25)*($B$2:$B$201&lt;$B25))))+1)</f>
      </c>
      <c r="U25" s="19">
        <f>IF($T25="","","TODAS|"&amp;$T25)</f>
      </c>
      <c r="V25" s="14">
        <f>IF($A25="","",IFERROR(IF(COUNTIF('Compras'!$B:$B,$A25)=0,"",MINIFS('Compras'!$A:$A,'Compras'!$B:$B,$A25)),""))</f>
      </c>
      <c r="W25" s="17">
        <f>IF(OR($A25="",$V25=""),"",TODAY()-$V25)</f>
      </c>
      <c r="X25" s="17">
        <f>IF($A25="","",SUMIF('Ventas'!$D:$D,$A25,'Ventas'!$F:$F))</f>
      </c>
      <c r="Y25" s="19">
        <f>IF($A25="","",IF(AND($X25&gt;=3,$W25&lt;&gt;"",$W25&lt;=15),"🔥 Se vende rápido — REABASTECE",IF($K25="Agotado","🔴 Agotado — reabastece",IF($K25="Stock bajo","🟠 Stock bajo","✅ Ok"))))</f>
      </c>
    </row>
    <row r="26">
      <c r="A26" s="20"/>
      <c r="B26" s="20"/>
      <c r="C26" s="20"/>
      <c r="D26" s="20"/>
      <c r="E26" s="21"/>
      <c r="F26" s="16">
        <f>IF($A26="","",IFERROR(SUMIF('Compras'!$B:$B,$A26,'Compras'!$F:$F)/SUMIF('Compras'!$B:$B,$A26,'Compras'!$D:$D),0))</f>
      </c>
      <c r="G26" s="17">
        <f>IF($A26="","",SUMIF('Compras'!$B:$B,$A26,'Compras'!$D:$D)+SUMIF('Traslados'!$H:$H,$A26&amp;"|Casa",'Traslados'!$D:$D)-SUMIF('Traslados'!$G:$G,$A26&amp;"|Casa",'Traslados'!$D:$D)-SUMIF('Ventas'!$M:$M,$A26&amp;"|Casa",'Ventas'!$F:$F)+SUMIF('Ajustes'!$H:$H,$A26&amp;"|Casa",'Ajustes'!$D:$D))</f>
      </c>
      <c r="H26" s="17">
        <f>IF($A26="","",SUMIF('Traslados'!$H:$H,$A26&amp;"|Mercado Libre",'Traslados'!$D:$D)-SUMIF('Traslados'!$G:$G,$A26&amp;"|Mercado Libre",'Traslados'!$D:$D)-SUMIF('Ventas'!$M:$M,$A26&amp;"|Mercado Libre",'Ventas'!$F:$F)+SUMIF('Ajustes'!$H:$H,$A26&amp;"|Mercado Libre",'Ajustes'!$D:$D))</f>
      </c>
      <c r="I26" s="17">
        <f>IF($A26="","",$G26+$H26)</f>
      </c>
      <c r="J26" s="16">
        <f>IF($A26="","",$I26*$F26)</f>
      </c>
      <c r="K26" s="19">
        <f>IF($A26="","",IF($I26&lt;=0,"Agotado",IF($I26&lt;=$E26,"Stock bajo","Disponible")))</f>
      </c>
      <c r="L26" s="17">
        <f>IF($A26="","",IFERROR(VLOOKUP($C26,'Config'!$D$2:$E$30,2,FALSE),0))</f>
      </c>
      <c r="M26" s="20"/>
      <c r="N26" s="22"/>
      <c r="O26" s="22"/>
      <c r="P26" s="17">
        <f>IF(OR($A26="",$D26&lt;&gt;"Activo"),"",SUMPRODUCT(($C$2:$C$201=$C26)*($D$2:$D$201="Activo")*(($S$2:$S$201&lt;$S26)+(($S$2:$S$201=$S26)*($B$2:$B$201&lt;$B26))))+1)</f>
      </c>
      <c r="Q26" s="19">
        <f>IF($P26="","",$C26&amp;"|"&amp;$P26)</f>
      </c>
      <c r="R26" s="20"/>
      <c r="S26" s="17">
        <f>IF($A26="","",IFERROR(VALUE(TRIM(LEFT($R26,FIND("x",LOWER($R26))-1)))*VALUE(TRIM(MID($R26,FIND("x",LOWER($R26))+1,20))),0))</f>
      </c>
      <c r="T26" s="17">
        <f>IF(OR($A26="",$D26&lt;&gt;"Activo"),"",SUMPRODUCT(($D$2:$D$201="Activo")*(($C$2:$C$201&lt;$C26)+(($C$2:$C$201=$C26)*($S$2:$S$201&lt;$S26))+(($C$2:$C$201=$C26)*($S$2:$S$201=$S26)*($B$2:$B$201&lt;$B26))))+1)</f>
      </c>
      <c r="U26" s="19">
        <f>IF($T26="","","TODAS|"&amp;$T26)</f>
      </c>
      <c r="V26" s="14">
        <f>IF($A26="","",IFERROR(IF(COUNTIF('Compras'!$B:$B,$A26)=0,"",MINIFS('Compras'!$A:$A,'Compras'!$B:$B,$A26)),""))</f>
      </c>
      <c r="W26" s="17">
        <f>IF(OR($A26="",$V26=""),"",TODAY()-$V26)</f>
      </c>
      <c r="X26" s="17">
        <f>IF($A26="","",SUMIF('Ventas'!$D:$D,$A26,'Ventas'!$F:$F))</f>
      </c>
      <c r="Y26" s="19">
        <f>IF($A26="","",IF(AND($X26&gt;=3,$W26&lt;&gt;"",$W26&lt;=15),"🔥 Se vende rápido — REABASTECE",IF($K26="Agotado","🔴 Agotado — reabastece",IF($K26="Stock bajo","🟠 Stock bajo","✅ Ok"))))</f>
      </c>
    </row>
    <row r="27">
      <c r="A27" s="20"/>
      <c r="B27" s="20"/>
      <c r="C27" s="20"/>
      <c r="D27" s="20"/>
      <c r="E27" s="21"/>
      <c r="F27" s="16">
        <f>IF($A27="","",IFERROR(SUMIF('Compras'!$B:$B,$A27,'Compras'!$F:$F)/SUMIF('Compras'!$B:$B,$A27,'Compras'!$D:$D),0))</f>
      </c>
      <c r="G27" s="17">
        <f>IF($A27="","",SUMIF('Compras'!$B:$B,$A27,'Compras'!$D:$D)+SUMIF('Traslados'!$H:$H,$A27&amp;"|Casa",'Traslados'!$D:$D)-SUMIF('Traslados'!$G:$G,$A27&amp;"|Casa",'Traslados'!$D:$D)-SUMIF('Ventas'!$M:$M,$A27&amp;"|Casa",'Ventas'!$F:$F)+SUMIF('Ajustes'!$H:$H,$A27&amp;"|Casa",'Ajustes'!$D:$D))</f>
      </c>
      <c r="H27" s="17">
        <f>IF($A27="","",SUMIF('Traslados'!$H:$H,$A27&amp;"|Mercado Libre",'Traslados'!$D:$D)-SUMIF('Traslados'!$G:$G,$A27&amp;"|Mercado Libre",'Traslados'!$D:$D)-SUMIF('Ventas'!$M:$M,$A27&amp;"|Mercado Libre",'Ventas'!$F:$F)+SUMIF('Ajustes'!$H:$H,$A27&amp;"|Mercado Libre",'Ajustes'!$D:$D))</f>
      </c>
      <c r="I27" s="17">
        <f>IF($A27="","",$G27+$H27)</f>
      </c>
      <c r="J27" s="16">
        <f>IF($A27="","",$I27*$F27)</f>
      </c>
      <c r="K27" s="19">
        <f>IF($A27="","",IF($I27&lt;=0,"Agotado",IF($I27&lt;=$E27,"Stock bajo","Disponible")))</f>
      </c>
      <c r="L27" s="17">
        <f>IF($A27="","",IFERROR(VLOOKUP($C27,'Config'!$D$2:$E$30,2,FALSE),0))</f>
      </c>
      <c r="M27" s="20"/>
      <c r="N27" s="22"/>
      <c r="O27" s="22"/>
      <c r="P27" s="17">
        <f>IF(OR($A27="",$D27&lt;&gt;"Activo"),"",SUMPRODUCT(($C$2:$C$201=$C27)*($D$2:$D$201="Activo")*(($S$2:$S$201&lt;$S27)+(($S$2:$S$201=$S27)*($B$2:$B$201&lt;$B27))))+1)</f>
      </c>
      <c r="Q27" s="19">
        <f>IF($P27="","",$C27&amp;"|"&amp;$P27)</f>
      </c>
      <c r="R27" s="20"/>
      <c r="S27" s="17">
        <f>IF($A27="","",IFERROR(VALUE(TRIM(LEFT($R27,FIND("x",LOWER($R27))-1)))*VALUE(TRIM(MID($R27,FIND("x",LOWER($R27))+1,20))),0))</f>
      </c>
      <c r="T27" s="17">
        <f>IF(OR($A27="",$D27&lt;&gt;"Activo"),"",SUMPRODUCT(($D$2:$D$201="Activo")*(($C$2:$C$201&lt;$C27)+(($C$2:$C$201=$C27)*($S$2:$S$201&lt;$S27))+(($C$2:$C$201=$C27)*($S$2:$S$201=$S27)*($B$2:$B$201&lt;$B27))))+1)</f>
      </c>
      <c r="U27" s="19">
        <f>IF($T27="","","TODAS|"&amp;$T27)</f>
      </c>
      <c r="V27" s="14">
        <f>IF($A27="","",IFERROR(IF(COUNTIF('Compras'!$B:$B,$A27)=0,"",MINIFS('Compras'!$A:$A,'Compras'!$B:$B,$A27)),""))</f>
      </c>
      <c r="W27" s="17">
        <f>IF(OR($A27="",$V27=""),"",TODAY()-$V27)</f>
      </c>
      <c r="X27" s="17">
        <f>IF($A27="","",SUMIF('Ventas'!$D:$D,$A27,'Ventas'!$F:$F))</f>
      </c>
      <c r="Y27" s="19">
        <f>IF($A27="","",IF(AND($X27&gt;=3,$W27&lt;&gt;"",$W27&lt;=15),"🔥 Se vende rápido — REABASTECE",IF($K27="Agotado","🔴 Agotado — reabastece",IF($K27="Stock bajo","🟠 Stock bajo","✅ Ok"))))</f>
      </c>
    </row>
    <row r="28">
      <c r="A28" s="20"/>
      <c r="B28" s="20"/>
      <c r="C28" s="20"/>
      <c r="D28" s="20"/>
      <c r="E28" s="21"/>
      <c r="F28" s="16">
        <f>IF($A28="","",IFERROR(SUMIF('Compras'!$B:$B,$A28,'Compras'!$F:$F)/SUMIF('Compras'!$B:$B,$A28,'Compras'!$D:$D),0))</f>
      </c>
      <c r="G28" s="17">
        <f>IF($A28="","",SUMIF('Compras'!$B:$B,$A28,'Compras'!$D:$D)+SUMIF('Traslados'!$H:$H,$A28&amp;"|Casa",'Traslados'!$D:$D)-SUMIF('Traslados'!$G:$G,$A28&amp;"|Casa",'Traslados'!$D:$D)-SUMIF('Ventas'!$M:$M,$A28&amp;"|Casa",'Ventas'!$F:$F)+SUMIF('Ajustes'!$H:$H,$A28&amp;"|Casa",'Ajustes'!$D:$D))</f>
      </c>
      <c r="H28" s="17">
        <f>IF($A28="","",SUMIF('Traslados'!$H:$H,$A28&amp;"|Mercado Libre",'Traslados'!$D:$D)-SUMIF('Traslados'!$G:$G,$A28&amp;"|Mercado Libre",'Traslados'!$D:$D)-SUMIF('Ventas'!$M:$M,$A28&amp;"|Mercado Libre",'Ventas'!$F:$F)+SUMIF('Ajustes'!$H:$H,$A28&amp;"|Mercado Libre",'Ajustes'!$D:$D))</f>
      </c>
      <c r="I28" s="17">
        <f>IF($A28="","",$G28+$H28)</f>
      </c>
      <c r="J28" s="16">
        <f>IF($A28="","",$I28*$F28)</f>
      </c>
      <c r="K28" s="19">
        <f>IF($A28="","",IF($I28&lt;=0,"Agotado",IF($I28&lt;=$E28,"Stock bajo","Disponible")))</f>
      </c>
      <c r="L28" s="17">
        <f>IF($A28="","",IFERROR(VLOOKUP($C28,'Config'!$D$2:$E$30,2,FALSE),0))</f>
      </c>
      <c r="M28" s="20"/>
      <c r="N28" s="22"/>
      <c r="O28" s="22"/>
      <c r="P28" s="17">
        <f>IF(OR($A28="",$D28&lt;&gt;"Activo"),"",SUMPRODUCT(($C$2:$C$201=$C28)*($D$2:$D$201="Activo")*(($S$2:$S$201&lt;$S28)+(($S$2:$S$201=$S28)*($B$2:$B$201&lt;$B28))))+1)</f>
      </c>
      <c r="Q28" s="19">
        <f>IF($P28="","",$C28&amp;"|"&amp;$P28)</f>
      </c>
      <c r="R28" s="20"/>
      <c r="S28" s="17">
        <f>IF($A28="","",IFERROR(VALUE(TRIM(LEFT($R28,FIND("x",LOWER($R28))-1)))*VALUE(TRIM(MID($R28,FIND("x",LOWER($R28))+1,20))),0))</f>
      </c>
      <c r="T28" s="17">
        <f>IF(OR($A28="",$D28&lt;&gt;"Activo"),"",SUMPRODUCT(($D$2:$D$201="Activo")*(($C$2:$C$201&lt;$C28)+(($C$2:$C$201=$C28)*($S$2:$S$201&lt;$S28))+(($C$2:$C$201=$C28)*($S$2:$S$201=$S28)*($B$2:$B$201&lt;$B28))))+1)</f>
      </c>
      <c r="U28" s="19">
        <f>IF($T28="","","TODAS|"&amp;$T28)</f>
      </c>
      <c r="V28" s="14">
        <f>IF($A28="","",IFERROR(IF(COUNTIF('Compras'!$B:$B,$A28)=0,"",MINIFS('Compras'!$A:$A,'Compras'!$B:$B,$A28)),""))</f>
      </c>
      <c r="W28" s="17">
        <f>IF(OR($A28="",$V28=""),"",TODAY()-$V28)</f>
      </c>
      <c r="X28" s="17">
        <f>IF($A28="","",SUMIF('Ventas'!$D:$D,$A28,'Ventas'!$F:$F))</f>
      </c>
      <c r="Y28" s="19">
        <f>IF($A28="","",IF(AND($X28&gt;=3,$W28&lt;&gt;"",$W28&lt;=15),"🔥 Se vende rápido — REABASTECE",IF($K28="Agotado","🔴 Agotado — reabastece",IF($K28="Stock bajo","🟠 Stock bajo","✅ Ok"))))</f>
      </c>
    </row>
    <row r="29">
      <c r="A29" s="20"/>
      <c r="B29" s="20"/>
      <c r="C29" s="20"/>
      <c r="D29" s="20"/>
      <c r="E29" s="21"/>
      <c r="F29" s="16">
        <f>IF($A29="","",IFERROR(SUMIF('Compras'!$B:$B,$A29,'Compras'!$F:$F)/SUMIF('Compras'!$B:$B,$A29,'Compras'!$D:$D),0))</f>
      </c>
      <c r="G29" s="17">
        <f>IF($A29="","",SUMIF('Compras'!$B:$B,$A29,'Compras'!$D:$D)+SUMIF('Traslados'!$H:$H,$A29&amp;"|Casa",'Traslados'!$D:$D)-SUMIF('Traslados'!$G:$G,$A29&amp;"|Casa",'Traslados'!$D:$D)-SUMIF('Ventas'!$M:$M,$A29&amp;"|Casa",'Ventas'!$F:$F)+SUMIF('Ajustes'!$H:$H,$A29&amp;"|Casa",'Ajustes'!$D:$D))</f>
      </c>
      <c r="H29" s="17">
        <f>IF($A29="","",SUMIF('Traslados'!$H:$H,$A29&amp;"|Mercado Libre",'Traslados'!$D:$D)-SUMIF('Traslados'!$G:$G,$A29&amp;"|Mercado Libre",'Traslados'!$D:$D)-SUMIF('Ventas'!$M:$M,$A29&amp;"|Mercado Libre",'Ventas'!$F:$F)+SUMIF('Ajustes'!$H:$H,$A29&amp;"|Mercado Libre",'Ajustes'!$D:$D))</f>
      </c>
      <c r="I29" s="17">
        <f>IF($A29="","",$G29+$H29)</f>
      </c>
      <c r="J29" s="16">
        <f>IF($A29="","",$I29*$F29)</f>
      </c>
      <c r="K29" s="19">
        <f>IF($A29="","",IF($I29&lt;=0,"Agotado",IF($I29&lt;=$E29,"Stock bajo","Disponible")))</f>
      </c>
      <c r="L29" s="17">
        <f>IF($A29="","",IFERROR(VLOOKUP($C29,'Config'!$D$2:$E$30,2,FALSE),0))</f>
      </c>
      <c r="M29" s="20"/>
      <c r="N29" s="22"/>
      <c r="O29" s="22"/>
      <c r="P29" s="17">
        <f>IF(OR($A29="",$D29&lt;&gt;"Activo"),"",SUMPRODUCT(($C$2:$C$201=$C29)*($D$2:$D$201="Activo")*(($S$2:$S$201&lt;$S29)+(($S$2:$S$201=$S29)*($B$2:$B$201&lt;$B29))))+1)</f>
      </c>
      <c r="Q29" s="19">
        <f>IF($P29="","",$C29&amp;"|"&amp;$P29)</f>
      </c>
      <c r="R29" s="20"/>
      <c r="S29" s="17">
        <f>IF($A29="","",IFERROR(VALUE(TRIM(LEFT($R29,FIND("x",LOWER($R29))-1)))*VALUE(TRIM(MID($R29,FIND("x",LOWER($R29))+1,20))),0))</f>
      </c>
      <c r="T29" s="17">
        <f>IF(OR($A29="",$D29&lt;&gt;"Activo"),"",SUMPRODUCT(($D$2:$D$201="Activo")*(($C$2:$C$201&lt;$C29)+(($C$2:$C$201=$C29)*($S$2:$S$201&lt;$S29))+(($C$2:$C$201=$C29)*($S$2:$S$201=$S29)*($B$2:$B$201&lt;$B29))))+1)</f>
      </c>
      <c r="U29" s="19">
        <f>IF($T29="","","TODAS|"&amp;$T29)</f>
      </c>
      <c r="V29" s="14">
        <f>IF($A29="","",IFERROR(IF(COUNTIF('Compras'!$B:$B,$A29)=0,"",MINIFS('Compras'!$A:$A,'Compras'!$B:$B,$A29)),""))</f>
      </c>
      <c r="W29" s="17">
        <f>IF(OR($A29="",$V29=""),"",TODAY()-$V29)</f>
      </c>
      <c r="X29" s="17">
        <f>IF($A29="","",SUMIF('Ventas'!$D:$D,$A29,'Ventas'!$F:$F))</f>
      </c>
      <c r="Y29" s="19">
        <f>IF($A29="","",IF(AND($X29&gt;=3,$W29&lt;&gt;"",$W29&lt;=15),"🔥 Se vende rápido — REABASTECE",IF($K29="Agotado","🔴 Agotado — reabastece",IF($K29="Stock bajo","🟠 Stock bajo","✅ Ok"))))</f>
      </c>
    </row>
    <row r="30">
      <c r="A30" s="20"/>
      <c r="B30" s="20"/>
      <c r="C30" s="20"/>
      <c r="D30" s="20"/>
      <c r="E30" s="21"/>
      <c r="F30" s="16">
        <f>IF($A30="","",IFERROR(SUMIF('Compras'!$B:$B,$A30,'Compras'!$F:$F)/SUMIF('Compras'!$B:$B,$A30,'Compras'!$D:$D),0))</f>
      </c>
      <c r="G30" s="17">
        <f>IF($A30="","",SUMIF('Compras'!$B:$B,$A30,'Compras'!$D:$D)+SUMIF('Traslados'!$H:$H,$A30&amp;"|Casa",'Traslados'!$D:$D)-SUMIF('Traslados'!$G:$G,$A30&amp;"|Casa",'Traslados'!$D:$D)-SUMIF('Ventas'!$M:$M,$A30&amp;"|Casa",'Ventas'!$F:$F)+SUMIF('Ajustes'!$H:$H,$A30&amp;"|Casa",'Ajustes'!$D:$D))</f>
      </c>
      <c r="H30" s="17">
        <f>IF($A30="","",SUMIF('Traslados'!$H:$H,$A30&amp;"|Mercado Libre",'Traslados'!$D:$D)-SUMIF('Traslados'!$G:$G,$A30&amp;"|Mercado Libre",'Traslados'!$D:$D)-SUMIF('Ventas'!$M:$M,$A30&amp;"|Mercado Libre",'Ventas'!$F:$F)+SUMIF('Ajustes'!$H:$H,$A30&amp;"|Mercado Libre",'Ajustes'!$D:$D))</f>
      </c>
      <c r="I30" s="17">
        <f>IF($A30="","",$G30+$H30)</f>
      </c>
      <c r="J30" s="16">
        <f>IF($A30="","",$I30*$F30)</f>
      </c>
      <c r="K30" s="19">
        <f>IF($A30="","",IF($I30&lt;=0,"Agotado",IF($I30&lt;=$E30,"Stock bajo","Disponible")))</f>
      </c>
      <c r="L30" s="17">
        <f>IF($A30="","",IFERROR(VLOOKUP($C30,'Config'!$D$2:$E$30,2,FALSE),0))</f>
      </c>
      <c r="M30" s="20"/>
      <c r="N30" s="22"/>
      <c r="O30" s="22"/>
      <c r="P30" s="17">
        <f>IF(OR($A30="",$D30&lt;&gt;"Activo"),"",SUMPRODUCT(($C$2:$C$201=$C30)*($D$2:$D$201="Activo")*(($S$2:$S$201&lt;$S30)+(($S$2:$S$201=$S30)*($B$2:$B$201&lt;$B30))))+1)</f>
      </c>
      <c r="Q30" s="19">
        <f>IF($P30="","",$C30&amp;"|"&amp;$P30)</f>
      </c>
      <c r="R30" s="20"/>
      <c r="S30" s="17">
        <f>IF($A30="","",IFERROR(VALUE(TRIM(LEFT($R30,FIND("x",LOWER($R30))-1)))*VALUE(TRIM(MID($R30,FIND("x",LOWER($R30))+1,20))),0))</f>
      </c>
      <c r="T30" s="17">
        <f>IF(OR($A30="",$D30&lt;&gt;"Activo"),"",SUMPRODUCT(($D$2:$D$201="Activo")*(($C$2:$C$201&lt;$C30)+(($C$2:$C$201=$C30)*($S$2:$S$201&lt;$S30))+(($C$2:$C$201=$C30)*($S$2:$S$201=$S30)*($B$2:$B$201&lt;$B30))))+1)</f>
      </c>
      <c r="U30" s="19">
        <f>IF($T30="","","TODAS|"&amp;$T30)</f>
      </c>
      <c r="V30" s="14">
        <f>IF($A30="","",IFERROR(IF(COUNTIF('Compras'!$B:$B,$A30)=0,"",MINIFS('Compras'!$A:$A,'Compras'!$B:$B,$A30)),""))</f>
      </c>
      <c r="W30" s="17">
        <f>IF(OR($A30="",$V30=""),"",TODAY()-$V30)</f>
      </c>
      <c r="X30" s="17">
        <f>IF($A30="","",SUMIF('Ventas'!$D:$D,$A30,'Ventas'!$F:$F))</f>
      </c>
      <c r="Y30" s="19">
        <f>IF($A30="","",IF(AND($X30&gt;=3,$W30&lt;&gt;"",$W30&lt;=15),"🔥 Se vende rápido — REABASTECE",IF($K30="Agotado","🔴 Agotado — reabastece",IF($K30="Stock bajo","🟠 Stock bajo","✅ Ok"))))</f>
      </c>
    </row>
    <row r="31">
      <c r="A31" s="20"/>
      <c r="B31" s="20"/>
      <c r="C31" s="20"/>
      <c r="D31" s="20"/>
      <c r="E31" s="21"/>
      <c r="F31" s="16">
        <f>IF($A31="","",IFERROR(SUMIF('Compras'!$B:$B,$A31,'Compras'!$F:$F)/SUMIF('Compras'!$B:$B,$A31,'Compras'!$D:$D),0))</f>
      </c>
      <c r="G31" s="17">
        <f>IF($A31="","",SUMIF('Compras'!$B:$B,$A31,'Compras'!$D:$D)+SUMIF('Traslados'!$H:$H,$A31&amp;"|Casa",'Traslados'!$D:$D)-SUMIF('Traslados'!$G:$G,$A31&amp;"|Casa",'Traslados'!$D:$D)-SUMIF('Ventas'!$M:$M,$A31&amp;"|Casa",'Ventas'!$F:$F)+SUMIF('Ajustes'!$H:$H,$A31&amp;"|Casa",'Ajustes'!$D:$D))</f>
      </c>
      <c r="H31" s="17">
        <f>IF($A31="","",SUMIF('Traslados'!$H:$H,$A31&amp;"|Mercado Libre",'Traslados'!$D:$D)-SUMIF('Traslados'!$G:$G,$A31&amp;"|Mercado Libre",'Traslados'!$D:$D)-SUMIF('Ventas'!$M:$M,$A31&amp;"|Mercado Libre",'Ventas'!$F:$F)+SUMIF('Ajustes'!$H:$H,$A31&amp;"|Mercado Libre",'Ajustes'!$D:$D))</f>
      </c>
      <c r="I31" s="17">
        <f>IF($A31="","",$G31+$H31)</f>
      </c>
      <c r="J31" s="16">
        <f>IF($A31="","",$I31*$F31)</f>
      </c>
      <c r="K31" s="19">
        <f>IF($A31="","",IF($I31&lt;=0,"Agotado",IF($I31&lt;=$E31,"Stock bajo","Disponible")))</f>
      </c>
      <c r="L31" s="17">
        <f>IF($A31="","",IFERROR(VLOOKUP($C31,'Config'!$D$2:$E$30,2,FALSE),0))</f>
      </c>
      <c r="M31" s="20"/>
      <c r="N31" s="22"/>
      <c r="O31" s="22"/>
      <c r="P31" s="17">
        <f>IF(OR($A31="",$D31&lt;&gt;"Activo"),"",SUMPRODUCT(($C$2:$C$201=$C31)*($D$2:$D$201="Activo")*(($S$2:$S$201&lt;$S31)+(($S$2:$S$201=$S31)*($B$2:$B$201&lt;$B31))))+1)</f>
      </c>
      <c r="Q31" s="19">
        <f>IF($P31="","",$C31&amp;"|"&amp;$P31)</f>
      </c>
      <c r="R31" s="20"/>
      <c r="S31" s="17">
        <f>IF($A31="","",IFERROR(VALUE(TRIM(LEFT($R31,FIND("x",LOWER($R31))-1)))*VALUE(TRIM(MID($R31,FIND("x",LOWER($R31))+1,20))),0))</f>
      </c>
      <c r="T31" s="17">
        <f>IF(OR($A31="",$D31&lt;&gt;"Activo"),"",SUMPRODUCT(($D$2:$D$201="Activo")*(($C$2:$C$201&lt;$C31)+(($C$2:$C$201=$C31)*($S$2:$S$201&lt;$S31))+(($C$2:$C$201=$C31)*($S$2:$S$201=$S31)*($B$2:$B$201&lt;$B31))))+1)</f>
      </c>
      <c r="U31" s="19">
        <f>IF($T31="","","TODAS|"&amp;$T31)</f>
      </c>
      <c r="V31" s="14">
        <f>IF($A31="","",IFERROR(IF(COUNTIF('Compras'!$B:$B,$A31)=0,"",MINIFS('Compras'!$A:$A,'Compras'!$B:$B,$A31)),""))</f>
      </c>
      <c r="W31" s="17">
        <f>IF(OR($A31="",$V31=""),"",TODAY()-$V31)</f>
      </c>
      <c r="X31" s="17">
        <f>IF($A31="","",SUMIF('Ventas'!$D:$D,$A31,'Ventas'!$F:$F))</f>
      </c>
      <c r="Y31" s="19">
        <f>IF($A31="","",IF(AND($X31&gt;=3,$W31&lt;&gt;"",$W31&lt;=15),"🔥 Se vende rápido — REABASTECE",IF($K31="Agotado","🔴 Agotado — reabastece",IF($K31="Stock bajo","🟠 Stock bajo","✅ Ok"))))</f>
      </c>
    </row>
    <row r="32">
      <c r="A32" s="20"/>
      <c r="B32" s="20"/>
      <c r="C32" s="20"/>
      <c r="D32" s="20"/>
      <c r="E32" s="21"/>
      <c r="F32" s="16">
        <f>IF($A32="","",IFERROR(SUMIF('Compras'!$B:$B,$A32,'Compras'!$F:$F)/SUMIF('Compras'!$B:$B,$A32,'Compras'!$D:$D),0))</f>
      </c>
      <c r="G32" s="17">
        <f>IF($A32="","",SUMIF('Compras'!$B:$B,$A32,'Compras'!$D:$D)+SUMIF('Traslados'!$H:$H,$A32&amp;"|Casa",'Traslados'!$D:$D)-SUMIF('Traslados'!$G:$G,$A32&amp;"|Casa",'Traslados'!$D:$D)-SUMIF('Ventas'!$M:$M,$A32&amp;"|Casa",'Ventas'!$F:$F)+SUMIF('Ajustes'!$H:$H,$A32&amp;"|Casa",'Ajustes'!$D:$D))</f>
      </c>
      <c r="H32" s="17">
        <f>IF($A32="","",SUMIF('Traslados'!$H:$H,$A32&amp;"|Mercado Libre",'Traslados'!$D:$D)-SUMIF('Traslados'!$G:$G,$A32&amp;"|Mercado Libre",'Traslados'!$D:$D)-SUMIF('Ventas'!$M:$M,$A32&amp;"|Mercado Libre",'Ventas'!$F:$F)+SUMIF('Ajustes'!$H:$H,$A32&amp;"|Mercado Libre",'Ajustes'!$D:$D))</f>
      </c>
      <c r="I32" s="17">
        <f>IF($A32="","",$G32+$H32)</f>
      </c>
      <c r="J32" s="16">
        <f>IF($A32="","",$I32*$F32)</f>
      </c>
      <c r="K32" s="19">
        <f>IF($A32="","",IF($I32&lt;=0,"Agotado",IF($I32&lt;=$E32,"Stock bajo","Disponible")))</f>
      </c>
      <c r="L32" s="17">
        <f>IF($A32="","",IFERROR(VLOOKUP($C32,'Config'!$D$2:$E$30,2,FALSE),0))</f>
      </c>
      <c r="M32" s="20"/>
      <c r="N32" s="22"/>
      <c r="O32" s="22"/>
      <c r="P32" s="17">
        <f>IF(OR($A32="",$D32&lt;&gt;"Activo"),"",SUMPRODUCT(($C$2:$C$201=$C32)*($D$2:$D$201="Activo")*(($S$2:$S$201&lt;$S32)+(($S$2:$S$201=$S32)*($B$2:$B$201&lt;$B32))))+1)</f>
      </c>
      <c r="Q32" s="19">
        <f>IF($P32="","",$C32&amp;"|"&amp;$P32)</f>
      </c>
      <c r="R32" s="20"/>
      <c r="S32" s="17">
        <f>IF($A32="","",IFERROR(VALUE(TRIM(LEFT($R32,FIND("x",LOWER($R32))-1)))*VALUE(TRIM(MID($R32,FIND("x",LOWER($R32))+1,20))),0))</f>
      </c>
      <c r="T32" s="17">
        <f>IF(OR($A32="",$D32&lt;&gt;"Activo"),"",SUMPRODUCT(($D$2:$D$201="Activo")*(($C$2:$C$201&lt;$C32)+(($C$2:$C$201=$C32)*($S$2:$S$201&lt;$S32))+(($C$2:$C$201=$C32)*($S$2:$S$201=$S32)*($B$2:$B$201&lt;$B32))))+1)</f>
      </c>
      <c r="U32" s="19">
        <f>IF($T32="","","TODAS|"&amp;$T32)</f>
      </c>
      <c r="V32" s="14">
        <f>IF($A32="","",IFERROR(IF(COUNTIF('Compras'!$B:$B,$A32)=0,"",MINIFS('Compras'!$A:$A,'Compras'!$B:$B,$A32)),""))</f>
      </c>
      <c r="W32" s="17">
        <f>IF(OR($A32="",$V32=""),"",TODAY()-$V32)</f>
      </c>
      <c r="X32" s="17">
        <f>IF($A32="","",SUMIF('Ventas'!$D:$D,$A32,'Ventas'!$F:$F))</f>
      </c>
      <c r="Y32" s="19">
        <f>IF($A32="","",IF(AND($X32&gt;=3,$W32&lt;&gt;"",$W32&lt;=15),"🔥 Se vende rápido — REABASTECE",IF($K32="Agotado","🔴 Agotado — reabastece",IF($K32="Stock bajo","🟠 Stock bajo","✅ Ok"))))</f>
      </c>
    </row>
    <row r="33">
      <c r="A33" s="20"/>
      <c r="B33" s="20"/>
      <c r="C33" s="20"/>
      <c r="D33" s="20"/>
      <c r="E33" s="21"/>
      <c r="F33" s="16">
        <f>IF($A33="","",IFERROR(SUMIF('Compras'!$B:$B,$A33,'Compras'!$F:$F)/SUMIF('Compras'!$B:$B,$A33,'Compras'!$D:$D),0))</f>
      </c>
      <c r="G33" s="17">
        <f>IF($A33="","",SUMIF('Compras'!$B:$B,$A33,'Compras'!$D:$D)+SUMIF('Traslados'!$H:$H,$A33&amp;"|Casa",'Traslados'!$D:$D)-SUMIF('Traslados'!$G:$G,$A33&amp;"|Casa",'Traslados'!$D:$D)-SUMIF('Ventas'!$M:$M,$A33&amp;"|Casa",'Ventas'!$F:$F)+SUMIF('Ajustes'!$H:$H,$A33&amp;"|Casa",'Ajustes'!$D:$D))</f>
      </c>
      <c r="H33" s="17">
        <f>IF($A33="","",SUMIF('Traslados'!$H:$H,$A33&amp;"|Mercado Libre",'Traslados'!$D:$D)-SUMIF('Traslados'!$G:$G,$A33&amp;"|Mercado Libre",'Traslados'!$D:$D)-SUMIF('Ventas'!$M:$M,$A33&amp;"|Mercado Libre",'Ventas'!$F:$F)+SUMIF('Ajustes'!$H:$H,$A33&amp;"|Mercado Libre",'Ajustes'!$D:$D))</f>
      </c>
      <c r="I33" s="17">
        <f>IF($A33="","",$G33+$H33)</f>
      </c>
      <c r="J33" s="16">
        <f>IF($A33="","",$I33*$F33)</f>
      </c>
      <c r="K33" s="19">
        <f>IF($A33="","",IF($I33&lt;=0,"Agotado",IF($I33&lt;=$E33,"Stock bajo","Disponible")))</f>
      </c>
      <c r="L33" s="17">
        <f>IF($A33="","",IFERROR(VLOOKUP($C33,'Config'!$D$2:$E$30,2,FALSE),0))</f>
      </c>
      <c r="M33" s="20"/>
      <c r="N33" s="22"/>
      <c r="O33" s="22"/>
      <c r="P33" s="17">
        <f>IF(OR($A33="",$D33&lt;&gt;"Activo"),"",SUMPRODUCT(($C$2:$C$201=$C33)*($D$2:$D$201="Activo")*(($S$2:$S$201&lt;$S33)+(($S$2:$S$201=$S33)*($B$2:$B$201&lt;$B33))))+1)</f>
      </c>
      <c r="Q33" s="19">
        <f>IF($P33="","",$C33&amp;"|"&amp;$P33)</f>
      </c>
      <c r="R33" s="20"/>
      <c r="S33" s="17">
        <f>IF($A33="","",IFERROR(VALUE(TRIM(LEFT($R33,FIND("x",LOWER($R33))-1)))*VALUE(TRIM(MID($R33,FIND("x",LOWER($R33))+1,20))),0))</f>
      </c>
      <c r="T33" s="17">
        <f>IF(OR($A33="",$D33&lt;&gt;"Activo"),"",SUMPRODUCT(($D$2:$D$201="Activo")*(($C$2:$C$201&lt;$C33)+(($C$2:$C$201=$C33)*($S$2:$S$201&lt;$S33))+(($C$2:$C$201=$C33)*($S$2:$S$201=$S33)*($B$2:$B$201&lt;$B33))))+1)</f>
      </c>
      <c r="U33" s="19">
        <f>IF($T33="","","TODAS|"&amp;$T33)</f>
      </c>
      <c r="V33" s="14">
        <f>IF($A33="","",IFERROR(IF(COUNTIF('Compras'!$B:$B,$A33)=0,"",MINIFS('Compras'!$A:$A,'Compras'!$B:$B,$A33)),""))</f>
      </c>
      <c r="W33" s="17">
        <f>IF(OR($A33="",$V33=""),"",TODAY()-$V33)</f>
      </c>
      <c r="X33" s="17">
        <f>IF($A33="","",SUMIF('Ventas'!$D:$D,$A33,'Ventas'!$F:$F))</f>
      </c>
      <c r="Y33" s="19">
        <f>IF($A33="","",IF(AND($X33&gt;=3,$W33&lt;&gt;"",$W33&lt;=15),"🔥 Se vende rápido — REABASTECE",IF($K33="Agotado","🔴 Agotado — reabastece",IF($K33="Stock bajo","🟠 Stock bajo","✅ Ok"))))</f>
      </c>
    </row>
    <row r="34">
      <c r="A34" s="20"/>
      <c r="B34" s="20"/>
      <c r="C34" s="20"/>
      <c r="D34" s="20"/>
      <c r="E34" s="21"/>
      <c r="F34" s="16">
        <f>IF($A34="","",IFERROR(SUMIF('Compras'!$B:$B,$A34,'Compras'!$F:$F)/SUMIF('Compras'!$B:$B,$A34,'Compras'!$D:$D),0))</f>
      </c>
      <c r="G34" s="17">
        <f>IF($A34="","",SUMIF('Compras'!$B:$B,$A34,'Compras'!$D:$D)+SUMIF('Traslados'!$H:$H,$A34&amp;"|Casa",'Traslados'!$D:$D)-SUMIF('Traslados'!$G:$G,$A34&amp;"|Casa",'Traslados'!$D:$D)-SUMIF('Ventas'!$M:$M,$A34&amp;"|Casa",'Ventas'!$F:$F)+SUMIF('Ajustes'!$H:$H,$A34&amp;"|Casa",'Ajustes'!$D:$D))</f>
      </c>
      <c r="H34" s="17">
        <f>IF($A34="","",SUMIF('Traslados'!$H:$H,$A34&amp;"|Mercado Libre",'Traslados'!$D:$D)-SUMIF('Traslados'!$G:$G,$A34&amp;"|Mercado Libre",'Traslados'!$D:$D)-SUMIF('Ventas'!$M:$M,$A34&amp;"|Mercado Libre",'Ventas'!$F:$F)+SUMIF('Ajustes'!$H:$H,$A34&amp;"|Mercado Libre",'Ajustes'!$D:$D))</f>
      </c>
      <c r="I34" s="17">
        <f>IF($A34="","",$G34+$H34)</f>
      </c>
      <c r="J34" s="16">
        <f>IF($A34="","",$I34*$F34)</f>
      </c>
      <c r="K34" s="19">
        <f>IF($A34="","",IF($I34&lt;=0,"Agotado",IF($I34&lt;=$E34,"Stock bajo","Disponible")))</f>
      </c>
      <c r="L34" s="17">
        <f>IF($A34="","",IFERROR(VLOOKUP($C34,'Config'!$D$2:$E$30,2,FALSE),0))</f>
      </c>
      <c r="M34" s="20"/>
      <c r="N34" s="22"/>
      <c r="O34" s="22"/>
      <c r="P34" s="17">
        <f>IF(OR($A34="",$D34&lt;&gt;"Activo"),"",SUMPRODUCT(($C$2:$C$201=$C34)*($D$2:$D$201="Activo")*(($S$2:$S$201&lt;$S34)+(($S$2:$S$201=$S34)*($B$2:$B$201&lt;$B34))))+1)</f>
      </c>
      <c r="Q34" s="19">
        <f>IF($P34="","",$C34&amp;"|"&amp;$P34)</f>
      </c>
      <c r="R34" s="20"/>
      <c r="S34" s="17">
        <f>IF($A34="","",IFERROR(VALUE(TRIM(LEFT($R34,FIND("x",LOWER($R34))-1)))*VALUE(TRIM(MID($R34,FIND("x",LOWER($R34))+1,20))),0))</f>
      </c>
      <c r="T34" s="17">
        <f>IF(OR($A34="",$D34&lt;&gt;"Activo"),"",SUMPRODUCT(($D$2:$D$201="Activo")*(($C$2:$C$201&lt;$C34)+(($C$2:$C$201=$C34)*($S$2:$S$201&lt;$S34))+(($C$2:$C$201=$C34)*($S$2:$S$201=$S34)*($B$2:$B$201&lt;$B34))))+1)</f>
      </c>
      <c r="U34" s="19">
        <f>IF($T34="","","TODAS|"&amp;$T34)</f>
      </c>
      <c r="V34" s="14">
        <f>IF($A34="","",IFERROR(IF(COUNTIF('Compras'!$B:$B,$A34)=0,"",MINIFS('Compras'!$A:$A,'Compras'!$B:$B,$A34)),""))</f>
      </c>
      <c r="W34" s="17">
        <f>IF(OR($A34="",$V34=""),"",TODAY()-$V34)</f>
      </c>
      <c r="X34" s="17">
        <f>IF($A34="","",SUMIF('Ventas'!$D:$D,$A34,'Ventas'!$F:$F))</f>
      </c>
      <c r="Y34" s="19">
        <f>IF($A34="","",IF(AND($X34&gt;=3,$W34&lt;&gt;"",$W34&lt;=15),"🔥 Se vende rápido — REABASTECE",IF($K34="Agotado","🔴 Agotado — reabastece",IF($K34="Stock bajo","🟠 Stock bajo","✅ Ok"))))</f>
      </c>
    </row>
    <row r="35">
      <c r="A35" s="20"/>
      <c r="B35" s="20"/>
      <c r="C35" s="20"/>
      <c r="D35" s="20"/>
      <c r="E35" s="21"/>
      <c r="F35" s="16">
        <f>IF($A35="","",IFERROR(SUMIF('Compras'!$B:$B,$A35,'Compras'!$F:$F)/SUMIF('Compras'!$B:$B,$A35,'Compras'!$D:$D),0))</f>
      </c>
      <c r="G35" s="17">
        <f>IF($A35="","",SUMIF('Compras'!$B:$B,$A35,'Compras'!$D:$D)+SUMIF('Traslados'!$H:$H,$A35&amp;"|Casa",'Traslados'!$D:$D)-SUMIF('Traslados'!$G:$G,$A35&amp;"|Casa",'Traslados'!$D:$D)-SUMIF('Ventas'!$M:$M,$A35&amp;"|Casa",'Ventas'!$F:$F)+SUMIF('Ajustes'!$H:$H,$A35&amp;"|Casa",'Ajustes'!$D:$D))</f>
      </c>
      <c r="H35" s="17">
        <f>IF($A35="","",SUMIF('Traslados'!$H:$H,$A35&amp;"|Mercado Libre",'Traslados'!$D:$D)-SUMIF('Traslados'!$G:$G,$A35&amp;"|Mercado Libre",'Traslados'!$D:$D)-SUMIF('Ventas'!$M:$M,$A35&amp;"|Mercado Libre",'Ventas'!$F:$F)+SUMIF('Ajustes'!$H:$H,$A35&amp;"|Mercado Libre",'Ajustes'!$D:$D))</f>
      </c>
      <c r="I35" s="17">
        <f>IF($A35="","",$G35+$H35)</f>
      </c>
      <c r="J35" s="16">
        <f>IF($A35="","",$I35*$F35)</f>
      </c>
      <c r="K35" s="19">
        <f>IF($A35="","",IF($I35&lt;=0,"Agotado",IF($I35&lt;=$E35,"Stock bajo","Disponible")))</f>
      </c>
      <c r="L35" s="17">
        <f>IF($A35="","",IFERROR(VLOOKUP($C35,'Config'!$D$2:$E$30,2,FALSE),0))</f>
      </c>
      <c r="M35" s="20"/>
      <c r="N35" s="22"/>
      <c r="O35" s="22"/>
      <c r="P35" s="17">
        <f>IF(OR($A35="",$D35&lt;&gt;"Activo"),"",SUMPRODUCT(($C$2:$C$201=$C35)*($D$2:$D$201="Activo")*(($S$2:$S$201&lt;$S35)+(($S$2:$S$201=$S35)*($B$2:$B$201&lt;$B35))))+1)</f>
      </c>
      <c r="Q35" s="19">
        <f>IF($P35="","",$C35&amp;"|"&amp;$P35)</f>
      </c>
      <c r="R35" s="20"/>
      <c r="S35" s="17">
        <f>IF($A35="","",IFERROR(VALUE(TRIM(LEFT($R35,FIND("x",LOWER($R35))-1)))*VALUE(TRIM(MID($R35,FIND("x",LOWER($R35))+1,20))),0))</f>
      </c>
      <c r="T35" s="17">
        <f>IF(OR($A35="",$D35&lt;&gt;"Activo"),"",SUMPRODUCT(($D$2:$D$201="Activo")*(($C$2:$C$201&lt;$C35)+(($C$2:$C$201=$C35)*($S$2:$S$201&lt;$S35))+(($C$2:$C$201=$C35)*($S$2:$S$201=$S35)*($B$2:$B$201&lt;$B35))))+1)</f>
      </c>
      <c r="U35" s="19">
        <f>IF($T35="","","TODAS|"&amp;$T35)</f>
      </c>
      <c r="V35" s="14">
        <f>IF($A35="","",IFERROR(IF(COUNTIF('Compras'!$B:$B,$A35)=0,"",MINIFS('Compras'!$A:$A,'Compras'!$B:$B,$A35)),""))</f>
      </c>
      <c r="W35" s="17">
        <f>IF(OR($A35="",$V35=""),"",TODAY()-$V35)</f>
      </c>
      <c r="X35" s="17">
        <f>IF($A35="","",SUMIF('Ventas'!$D:$D,$A35,'Ventas'!$F:$F))</f>
      </c>
      <c r="Y35" s="19">
        <f>IF($A35="","",IF(AND($X35&gt;=3,$W35&lt;&gt;"",$W35&lt;=15),"🔥 Se vende rápido — REABASTECE",IF($K35="Agotado","🔴 Agotado — reabastece",IF($K35="Stock bajo","🟠 Stock bajo","✅ Ok"))))</f>
      </c>
    </row>
    <row r="36">
      <c r="A36" s="20"/>
      <c r="B36" s="20"/>
      <c r="C36" s="20"/>
      <c r="D36" s="20"/>
      <c r="E36" s="21"/>
      <c r="F36" s="16">
        <f>IF($A36="","",IFERROR(SUMIF('Compras'!$B:$B,$A36,'Compras'!$F:$F)/SUMIF('Compras'!$B:$B,$A36,'Compras'!$D:$D),0))</f>
      </c>
      <c r="G36" s="17">
        <f>IF($A36="","",SUMIF('Compras'!$B:$B,$A36,'Compras'!$D:$D)+SUMIF('Traslados'!$H:$H,$A36&amp;"|Casa",'Traslados'!$D:$D)-SUMIF('Traslados'!$G:$G,$A36&amp;"|Casa",'Traslados'!$D:$D)-SUMIF('Ventas'!$M:$M,$A36&amp;"|Casa",'Ventas'!$F:$F)+SUMIF('Ajustes'!$H:$H,$A36&amp;"|Casa",'Ajustes'!$D:$D))</f>
      </c>
      <c r="H36" s="17">
        <f>IF($A36="","",SUMIF('Traslados'!$H:$H,$A36&amp;"|Mercado Libre",'Traslados'!$D:$D)-SUMIF('Traslados'!$G:$G,$A36&amp;"|Mercado Libre",'Traslados'!$D:$D)-SUMIF('Ventas'!$M:$M,$A36&amp;"|Mercado Libre",'Ventas'!$F:$F)+SUMIF('Ajustes'!$H:$H,$A36&amp;"|Mercado Libre",'Ajustes'!$D:$D))</f>
      </c>
      <c r="I36" s="17">
        <f>IF($A36="","",$G36+$H36)</f>
      </c>
      <c r="J36" s="16">
        <f>IF($A36="","",$I36*$F36)</f>
      </c>
      <c r="K36" s="19">
        <f>IF($A36="","",IF($I36&lt;=0,"Agotado",IF($I36&lt;=$E36,"Stock bajo","Disponible")))</f>
      </c>
      <c r="L36" s="17">
        <f>IF($A36="","",IFERROR(VLOOKUP($C36,'Config'!$D$2:$E$30,2,FALSE),0))</f>
      </c>
      <c r="M36" s="20"/>
      <c r="N36" s="22"/>
      <c r="O36" s="22"/>
      <c r="P36" s="17">
        <f>IF(OR($A36="",$D36&lt;&gt;"Activo"),"",SUMPRODUCT(($C$2:$C$201=$C36)*($D$2:$D$201="Activo")*(($S$2:$S$201&lt;$S36)+(($S$2:$S$201=$S36)*($B$2:$B$201&lt;$B36))))+1)</f>
      </c>
      <c r="Q36" s="19">
        <f>IF($P36="","",$C36&amp;"|"&amp;$P36)</f>
      </c>
      <c r="R36" s="20"/>
      <c r="S36" s="17">
        <f>IF($A36="","",IFERROR(VALUE(TRIM(LEFT($R36,FIND("x",LOWER($R36))-1)))*VALUE(TRIM(MID($R36,FIND("x",LOWER($R36))+1,20))),0))</f>
      </c>
      <c r="T36" s="17">
        <f>IF(OR($A36="",$D36&lt;&gt;"Activo"),"",SUMPRODUCT(($D$2:$D$201="Activo")*(($C$2:$C$201&lt;$C36)+(($C$2:$C$201=$C36)*($S$2:$S$201&lt;$S36))+(($C$2:$C$201=$C36)*($S$2:$S$201=$S36)*($B$2:$B$201&lt;$B36))))+1)</f>
      </c>
      <c r="U36" s="19">
        <f>IF($T36="","","TODAS|"&amp;$T36)</f>
      </c>
      <c r="V36" s="14">
        <f>IF($A36="","",IFERROR(IF(COUNTIF('Compras'!$B:$B,$A36)=0,"",MINIFS('Compras'!$A:$A,'Compras'!$B:$B,$A36)),""))</f>
      </c>
      <c r="W36" s="17">
        <f>IF(OR($A36="",$V36=""),"",TODAY()-$V36)</f>
      </c>
      <c r="X36" s="17">
        <f>IF($A36="","",SUMIF('Ventas'!$D:$D,$A36,'Ventas'!$F:$F))</f>
      </c>
      <c r="Y36" s="19">
        <f>IF($A36="","",IF(AND($X36&gt;=3,$W36&lt;&gt;"",$W36&lt;=15),"🔥 Se vende rápido — REABASTECE",IF($K36="Agotado","🔴 Agotado — reabastece",IF($K36="Stock bajo","🟠 Stock bajo","✅ Ok"))))</f>
      </c>
    </row>
    <row r="37">
      <c r="A37" s="20"/>
      <c r="B37" s="20"/>
      <c r="C37" s="20"/>
      <c r="D37" s="20"/>
      <c r="E37" s="21"/>
      <c r="F37" s="16">
        <f>IF($A37="","",IFERROR(SUMIF('Compras'!$B:$B,$A37,'Compras'!$F:$F)/SUMIF('Compras'!$B:$B,$A37,'Compras'!$D:$D),0))</f>
      </c>
      <c r="G37" s="17">
        <f>IF($A37="","",SUMIF('Compras'!$B:$B,$A37,'Compras'!$D:$D)+SUMIF('Traslados'!$H:$H,$A37&amp;"|Casa",'Traslados'!$D:$D)-SUMIF('Traslados'!$G:$G,$A37&amp;"|Casa",'Traslados'!$D:$D)-SUMIF('Ventas'!$M:$M,$A37&amp;"|Casa",'Ventas'!$F:$F)+SUMIF('Ajustes'!$H:$H,$A37&amp;"|Casa",'Ajustes'!$D:$D))</f>
      </c>
      <c r="H37" s="17">
        <f>IF($A37="","",SUMIF('Traslados'!$H:$H,$A37&amp;"|Mercado Libre",'Traslados'!$D:$D)-SUMIF('Traslados'!$G:$G,$A37&amp;"|Mercado Libre",'Traslados'!$D:$D)-SUMIF('Ventas'!$M:$M,$A37&amp;"|Mercado Libre",'Ventas'!$F:$F)+SUMIF('Ajustes'!$H:$H,$A37&amp;"|Mercado Libre",'Ajustes'!$D:$D))</f>
      </c>
      <c r="I37" s="17">
        <f>IF($A37="","",$G37+$H37)</f>
      </c>
      <c r="J37" s="16">
        <f>IF($A37="","",$I37*$F37)</f>
      </c>
      <c r="K37" s="19">
        <f>IF($A37="","",IF($I37&lt;=0,"Agotado",IF($I37&lt;=$E37,"Stock bajo","Disponible")))</f>
      </c>
      <c r="L37" s="17">
        <f>IF($A37="","",IFERROR(VLOOKUP($C37,'Config'!$D$2:$E$30,2,FALSE),0))</f>
      </c>
      <c r="M37" s="20"/>
      <c r="N37" s="22"/>
      <c r="O37" s="22"/>
      <c r="P37" s="17">
        <f>IF(OR($A37="",$D37&lt;&gt;"Activo"),"",SUMPRODUCT(($C$2:$C$201=$C37)*($D$2:$D$201="Activo")*(($S$2:$S$201&lt;$S37)+(($S$2:$S$201=$S37)*($B$2:$B$201&lt;$B37))))+1)</f>
      </c>
      <c r="Q37" s="19">
        <f>IF($P37="","",$C37&amp;"|"&amp;$P37)</f>
      </c>
      <c r="R37" s="20"/>
      <c r="S37" s="17">
        <f>IF($A37="","",IFERROR(VALUE(TRIM(LEFT($R37,FIND("x",LOWER($R37))-1)))*VALUE(TRIM(MID($R37,FIND("x",LOWER($R37))+1,20))),0))</f>
      </c>
      <c r="T37" s="17">
        <f>IF(OR($A37="",$D37&lt;&gt;"Activo"),"",SUMPRODUCT(($D$2:$D$201="Activo")*(($C$2:$C$201&lt;$C37)+(($C$2:$C$201=$C37)*($S$2:$S$201&lt;$S37))+(($C$2:$C$201=$C37)*($S$2:$S$201=$S37)*($B$2:$B$201&lt;$B37))))+1)</f>
      </c>
      <c r="U37" s="19">
        <f>IF($T37="","","TODAS|"&amp;$T37)</f>
      </c>
      <c r="V37" s="14">
        <f>IF($A37="","",IFERROR(IF(COUNTIF('Compras'!$B:$B,$A37)=0,"",MINIFS('Compras'!$A:$A,'Compras'!$B:$B,$A37)),""))</f>
      </c>
      <c r="W37" s="17">
        <f>IF(OR($A37="",$V37=""),"",TODAY()-$V37)</f>
      </c>
      <c r="X37" s="17">
        <f>IF($A37="","",SUMIF('Ventas'!$D:$D,$A37,'Ventas'!$F:$F))</f>
      </c>
      <c r="Y37" s="19">
        <f>IF($A37="","",IF(AND($X37&gt;=3,$W37&lt;&gt;"",$W37&lt;=15),"🔥 Se vende rápido — REABASTECE",IF($K37="Agotado","🔴 Agotado — reabastece",IF($K37="Stock bajo","🟠 Stock bajo","✅ Ok"))))</f>
      </c>
    </row>
    <row r="38">
      <c r="A38" s="20"/>
      <c r="B38" s="20"/>
      <c r="C38" s="20"/>
      <c r="D38" s="20"/>
      <c r="E38" s="21"/>
      <c r="F38" s="16">
        <f>IF($A38="","",IFERROR(SUMIF('Compras'!$B:$B,$A38,'Compras'!$F:$F)/SUMIF('Compras'!$B:$B,$A38,'Compras'!$D:$D),0))</f>
      </c>
      <c r="G38" s="17">
        <f>IF($A38="","",SUMIF('Compras'!$B:$B,$A38,'Compras'!$D:$D)+SUMIF('Traslados'!$H:$H,$A38&amp;"|Casa",'Traslados'!$D:$D)-SUMIF('Traslados'!$G:$G,$A38&amp;"|Casa",'Traslados'!$D:$D)-SUMIF('Ventas'!$M:$M,$A38&amp;"|Casa",'Ventas'!$F:$F)+SUMIF('Ajustes'!$H:$H,$A38&amp;"|Casa",'Ajustes'!$D:$D))</f>
      </c>
      <c r="H38" s="17">
        <f>IF($A38="","",SUMIF('Traslados'!$H:$H,$A38&amp;"|Mercado Libre",'Traslados'!$D:$D)-SUMIF('Traslados'!$G:$G,$A38&amp;"|Mercado Libre",'Traslados'!$D:$D)-SUMIF('Ventas'!$M:$M,$A38&amp;"|Mercado Libre",'Ventas'!$F:$F)+SUMIF('Ajustes'!$H:$H,$A38&amp;"|Mercado Libre",'Ajustes'!$D:$D))</f>
      </c>
      <c r="I38" s="17">
        <f>IF($A38="","",$G38+$H38)</f>
      </c>
      <c r="J38" s="16">
        <f>IF($A38="","",$I38*$F38)</f>
      </c>
      <c r="K38" s="19">
        <f>IF($A38="","",IF($I38&lt;=0,"Agotado",IF($I38&lt;=$E38,"Stock bajo","Disponible")))</f>
      </c>
      <c r="L38" s="17">
        <f>IF($A38="","",IFERROR(VLOOKUP($C38,'Config'!$D$2:$E$30,2,FALSE),0))</f>
      </c>
      <c r="M38" s="20"/>
      <c r="N38" s="22"/>
      <c r="O38" s="22"/>
      <c r="P38" s="17">
        <f>IF(OR($A38="",$D38&lt;&gt;"Activo"),"",SUMPRODUCT(($C$2:$C$201=$C38)*($D$2:$D$201="Activo")*(($S$2:$S$201&lt;$S38)+(($S$2:$S$201=$S38)*($B$2:$B$201&lt;$B38))))+1)</f>
      </c>
      <c r="Q38" s="19">
        <f>IF($P38="","",$C38&amp;"|"&amp;$P38)</f>
      </c>
      <c r="R38" s="20"/>
      <c r="S38" s="17">
        <f>IF($A38="","",IFERROR(VALUE(TRIM(LEFT($R38,FIND("x",LOWER($R38))-1)))*VALUE(TRIM(MID($R38,FIND("x",LOWER($R38))+1,20))),0))</f>
      </c>
      <c r="T38" s="17">
        <f>IF(OR($A38="",$D38&lt;&gt;"Activo"),"",SUMPRODUCT(($D$2:$D$201="Activo")*(($C$2:$C$201&lt;$C38)+(($C$2:$C$201=$C38)*($S$2:$S$201&lt;$S38))+(($C$2:$C$201=$C38)*($S$2:$S$201=$S38)*($B$2:$B$201&lt;$B38))))+1)</f>
      </c>
      <c r="U38" s="19">
        <f>IF($T38="","","TODAS|"&amp;$T38)</f>
      </c>
      <c r="V38" s="14">
        <f>IF($A38="","",IFERROR(IF(COUNTIF('Compras'!$B:$B,$A38)=0,"",MINIFS('Compras'!$A:$A,'Compras'!$B:$B,$A38)),""))</f>
      </c>
      <c r="W38" s="17">
        <f>IF(OR($A38="",$V38=""),"",TODAY()-$V38)</f>
      </c>
      <c r="X38" s="17">
        <f>IF($A38="","",SUMIF('Ventas'!$D:$D,$A38,'Ventas'!$F:$F))</f>
      </c>
      <c r="Y38" s="19">
        <f>IF($A38="","",IF(AND($X38&gt;=3,$W38&lt;&gt;"",$W38&lt;=15),"🔥 Se vende rápido — REABASTECE",IF($K38="Agotado","🔴 Agotado — reabastece",IF($K38="Stock bajo","🟠 Stock bajo","✅ Ok"))))</f>
      </c>
    </row>
    <row r="39">
      <c r="A39" s="20"/>
      <c r="B39" s="20"/>
      <c r="C39" s="20"/>
      <c r="D39" s="20"/>
      <c r="E39" s="21"/>
      <c r="F39" s="16">
        <f>IF($A39="","",IFERROR(SUMIF('Compras'!$B:$B,$A39,'Compras'!$F:$F)/SUMIF('Compras'!$B:$B,$A39,'Compras'!$D:$D),0))</f>
      </c>
      <c r="G39" s="17">
        <f>IF($A39="","",SUMIF('Compras'!$B:$B,$A39,'Compras'!$D:$D)+SUMIF('Traslados'!$H:$H,$A39&amp;"|Casa",'Traslados'!$D:$D)-SUMIF('Traslados'!$G:$G,$A39&amp;"|Casa",'Traslados'!$D:$D)-SUMIF('Ventas'!$M:$M,$A39&amp;"|Casa",'Ventas'!$F:$F)+SUMIF('Ajustes'!$H:$H,$A39&amp;"|Casa",'Ajustes'!$D:$D))</f>
      </c>
      <c r="H39" s="17">
        <f>IF($A39="","",SUMIF('Traslados'!$H:$H,$A39&amp;"|Mercado Libre",'Traslados'!$D:$D)-SUMIF('Traslados'!$G:$G,$A39&amp;"|Mercado Libre",'Traslados'!$D:$D)-SUMIF('Ventas'!$M:$M,$A39&amp;"|Mercado Libre",'Ventas'!$F:$F)+SUMIF('Ajustes'!$H:$H,$A39&amp;"|Mercado Libre",'Ajustes'!$D:$D))</f>
      </c>
      <c r="I39" s="17">
        <f>IF($A39="","",$G39+$H39)</f>
      </c>
      <c r="J39" s="16">
        <f>IF($A39="","",$I39*$F39)</f>
      </c>
      <c r="K39" s="19">
        <f>IF($A39="","",IF($I39&lt;=0,"Agotado",IF($I39&lt;=$E39,"Stock bajo","Disponible")))</f>
      </c>
      <c r="L39" s="17">
        <f>IF($A39="","",IFERROR(VLOOKUP($C39,'Config'!$D$2:$E$30,2,FALSE),0))</f>
      </c>
      <c r="M39" s="20"/>
      <c r="N39" s="22"/>
      <c r="O39" s="22"/>
      <c r="P39" s="17">
        <f>IF(OR($A39="",$D39&lt;&gt;"Activo"),"",SUMPRODUCT(($C$2:$C$201=$C39)*($D$2:$D$201="Activo")*(($S$2:$S$201&lt;$S39)+(($S$2:$S$201=$S39)*($B$2:$B$201&lt;$B39))))+1)</f>
      </c>
      <c r="Q39" s="19">
        <f>IF($P39="","",$C39&amp;"|"&amp;$P39)</f>
      </c>
      <c r="R39" s="20"/>
      <c r="S39" s="17">
        <f>IF($A39="","",IFERROR(VALUE(TRIM(LEFT($R39,FIND("x",LOWER($R39))-1)))*VALUE(TRIM(MID($R39,FIND("x",LOWER($R39))+1,20))),0))</f>
      </c>
      <c r="T39" s="17">
        <f>IF(OR($A39="",$D39&lt;&gt;"Activo"),"",SUMPRODUCT(($D$2:$D$201="Activo")*(($C$2:$C$201&lt;$C39)+(($C$2:$C$201=$C39)*($S$2:$S$201&lt;$S39))+(($C$2:$C$201=$C39)*($S$2:$S$201=$S39)*($B$2:$B$201&lt;$B39))))+1)</f>
      </c>
      <c r="U39" s="19">
        <f>IF($T39="","","TODAS|"&amp;$T39)</f>
      </c>
      <c r="V39" s="14">
        <f>IF($A39="","",IFERROR(IF(COUNTIF('Compras'!$B:$B,$A39)=0,"",MINIFS('Compras'!$A:$A,'Compras'!$B:$B,$A39)),""))</f>
      </c>
      <c r="W39" s="17">
        <f>IF(OR($A39="",$V39=""),"",TODAY()-$V39)</f>
      </c>
      <c r="X39" s="17">
        <f>IF($A39="","",SUMIF('Ventas'!$D:$D,$A39,'Ventas'!$F:$F))</f>
      </c>
      <c r="Y39" s="19">
        <f>IF($A39="","",IF(AND($X39&gt;=3,$W39&lt;&gt;"",$W39&lt;=15),"🔥 Se vende rápido — REABASTECE",IF($K39="Agotado","🔴 Agotado — reabastece",IF($K39="Stock bajo","🟠 Stock bajo","✅ Ok"))))</f>
      </c>
    </row>
    <row r="40">
      <c r="A40" s="20"/>
      <c r="B40" s="20"/>
      <c r="C40" s="20"/>
      <c r="D40" s="20"/>
      <c r="E40" s="21"/>
      <c r="F40" s="16">
        <f>IF($A40="","",IFERROR(SUMIF('Compras'!$B:$B,$A40,'Compras'!$F:$F)/SUMIF('Compras'!$B:$B,$A40,'Compras'!$D:$D),0))</f>
      </c>
      <c r="G40" s="17">
        <f>IF($A40="","",SUMIF('Compras'!$B:$B,$A40,'Compras'!$D:$D)+SUMIF('Traslados'!$H:$H,$A40&amp;"|Casa",'Traslados'!$D:$D)-SUMIF('Traslados'!$G:$G,$A40&amp;"|Casa",'Traslados'!$D:$D)-SUMIF('Ventas'!$M:$M,$A40&amp;"|Casa",'Ventas'!$F:$F)+SUMIF('Ajustes'!$H:$H,$A40&amp;"|Casa",'Ajustes'!$D:$D))</f>
      </c>
      <c r="H40" s="17">
        <f>IF($A40="","",SUMIF('Traslados'!$H:$H,$A40&amp;"|Mercado Libre",'Traslados'!$D:$D)-SUMIF('Traslados'!$G:$G,$A40&amp;"|Mercado Libre",'Traslados'!$D:$D)-SUMIF('Ventas'!$M:$M,$A40&amp;"|Mercado Libre",'Ventas'!$F:$F)+SUMIF('Ajustes'!$H:$H,$A40&amp;"|Mercado Libre",'Ajustes'!$D:$D))</f>
      </c>
      <c r="I40" s="17">
        <f>IF($A40="","",$G40+$H40)</f>
      </c>
      <c r="J40" s="16">
        <f>IF($A40="","",$I40*$F40)</f>
      </c>
      <c r="K40" s="19">
        <f>IF($A40="","",IF($I40&lt;=0,"Agotado",IF($I40&lt;=$E40,"Stock bajo","Disponible")))</f>
      </c>
      <c r="L40" s="17">
        <f>IF($A40="","",IFERROR(VLOOKUP($C40,'Config'!$D$2:$E$30,2,FALSE),0))</f>
      </c>
      <c r="M40" s="20"/>
      <c r="N40" s="22"/>
      <c r="O40" s="22"/>
      <c r="P40" s="17">
        <f>IF(OR($A40="",$D40&lt;&gt;"Activo"),"",SUMPRODUCT(($C$2:$C$201=$C40)*($D$2:$D$201="Activo")*(($S$2:$S$201&lt;$S40)+(($S$2:$S$201=$S40)*($B$2:$B$201&lt;$B40))))+1)</f>
      </c>
      <c r="Q40" s="19">
        <f>IF($P40="","",$C40&amp;"|"&amp;$P40)</f>
      </c>
      <c r="R40" s="20"/>
      <c r="S40" s="17">
        <f>IF($A40="","",IFERROR(VALUE(TRIM(LEFT($R40,FIND("x",LOWER($R40))-1)))*VALUE(TRIM(MID($R40,FIND("x",LOWER($R40))+1,20))),0))</f>
      </c>
      <c r="T40" s="17">
        <f>IF(OR($A40="",$D40&lt;&gt;"Activo"),"",SUMPRODUCT(($D$2:$D$201="Activo")*(($C$2:$C$201&lt;$C40)+(($C$2:$C$201=$C40)*($S$2:$S$201&lt;$S40))+(($C$2:$C$201=$C40)*($S$2:$S$201=$S40)*($B$2:$B$201&lt;$B40))))+1)</f>
      </c>
      <c r="U40" s="19">
        <f>IF($T40="","","TODAS|"&amp;$T40)</f>
      </c>
      <c r="V40" s="14">
        <f>IF($A40="","",IFERROR(IF(COUNTIF('Compras'!$B:$B,$A40)=0,"",MINIFS('Compras'!$A:$A,'Compras'!$B:$B,$A40)),""))</f>
      </c>
      <c r="W40" s="17">
        <f>IF(OR($A40="",$V40=""),"",TODAY()-$V40)</f>
      </c>
      <c r="X40" s="17">
        <f>IF($A40="","",SUMIF('Ventas'!$D:$D,$A40,'Ventas'!$F:$F))</f>
      </c>
      <c r="Y40" s="19">
        <f>IF($A40="","",IF(AND($X40&gt;=3,$W40&lt;&gt;"",$W40&lt;=15),"🔥 Se vende rápido — REABASTECE",IF($K40="Agotado","🔴 Agotado — reabastece",IF($K40="Stock bajo","🟠 Stock bajo","✅ Ok"))))</f>
      </c>
    </row>
    <row r="41">
      <c r="A41" s="20"/>
      <c r="B41" s="20"/>
      <c r="C41" s="20"/>
      <c r="D41" s="20"/>
      <c r="E41" s="21"/>
      <c r="F41" s="16">
        <f>IF($A41="","",IFERROR(SUMIF('Compras'!$B:$B,$A41,'Compras'!$F:$F)/SUMIF('Compras'!$B:$B,$A41,'Compras'!$D:$D),0))</f>
      </c>
      <c r="G41" s="17">
        <f>IF($A41="","",SUMIF('Compras'!$B:$B,$A41,'Compras'!$D:$D)+SUMIF('Traslados'!$H:$H,$A41&amp;"|Casa",'Traslados'!$D:$D)-SUMIF('Traslados'!$G:$G,$A41&amp;"|Casa",'Traslados'!$D:$D)-SUMIF('Ventas'!$M:$M,$A41&amp;"|Casa",'Ventas'!$F:$F)+SUMIF('Ajustes'!$H:$H,$A41&amp;"|Casa",'Ajustes'!$D:$D))</f>
      </c>
      <c r="H41" s="17">
        <f>IF($A41="","",SUMIF('Traslados'!$H:$H,$A41&amp;"|Mercado Libre",'Traslados'!$D:$D)-SUMIF('Traslados'!$G:$G,$A41&amp;"|Mercado Libre",'Traslados'!$D:$D)-SUMIF('Ventas'!$M:$M,$A41&amp;"|Mercado Libre",'Ventas'!$F:$F)+SUMIF('Ajustes'!$H:$H,$A41&amp;"|Mercado Libre",'Ajustes'!$D:$D))</f>
      </c>
      <c r="I41" s="17">
        <f>IF($A41="","",$G41+$H41)</f>
      </c>
      <c r="J41" s="16">
        <f>IF($A41="","",$I41*$F41)</f>
      </c>
      <c r="K41" s="19">
        <f>IF($A41="","",IF($I41&lt;=0,"Agotado",IF($I41&lt;=$E41,"Stock bajo","Disponible")))</f>
      </c>
      <c r="L41" s="17">
        <f>IF($A41="","",IFERROR(VLOOKUP($C41,'Config'!$D$2:$E$30,2,FALSE),0))</f>
      </c>
      <c r="M41" s="20"/>
      <c r="N41" s="22"/>
      <c r="O41" s="22"/>
      <c r="P41" s="17">
        <f>IF(OR($A41="",$D41&lt;&gt;"Activo"),"",SUMPRODUCT(($C$2:$C$201=$C41)*($D$2:$D$201="Activo")*(($S$2:$S$201&lt;$S41)+(($S$2:$S$201=$S41)*($B$2:$B$201&lt;$B41))))+1)</f>
      </c>
      <c r="Q41" s="19">
        <f>IF($P41="","",$C41&amp;"|"&amp;$P41)</f>
      </c>
      <c r="R41" s="20"/>
      <c r="S41" s="17">
        <f>IF($A41="","",IFERROR(VALUE(TRIM(LEFT($R41,FIND("x",LOWER($R41))-1)))*VALUE(TRIM(MID($R41,FIND("x",LOWER($R41))+1,20))),0))</f>
      </c>
      <c r="T41" s="17">
        <f>IF(OR($A41="",$D41&lt;&gt;"Activo"),"",SUMPRODUCT(($D$2:$D$201="Activo")*(($C$2:$C$201&lt;$C41)+(($C$2:$C$201=$C41)*($S$2:$S$201&lt;$S41))+(($C$2:$C$201=$C41)*($S$2:$S$201=$S41)*($B$2:$B$201&lt;$B41))))+1)</f>
      </c>
      <c r="U41" s="19">
        <f>IF($T41="","","TODAS|"&amp;$T41)</f>
      </c>
      <c r="V41" s="14">
        <f>IF($A41="","",IFERROR(IF(COUNTIF('Compras'!$B:$B,$A41)=0,"",MINIFS('Compras'!$A:$A,'Compras'!$B:$B,$A41)),""))</f>
      </c>
      <c r="W41" s="17">
        <f>IF(OR($A41="",$V41=""),"",TODAY()-$V41)</f>
      </c>
      <c r="X41" s="17">
        <f>IF($A41="","",SUMIF('Ventas'!$D:$D,$A41,'Ventas'!$F:$F))</f>
      </c>
      <c r="Y41" s="19">
        <f>IF($A41="","",IF(AND($X41&gt;=3,$W41&lt;&gt;"",$W41&lt;=15),"🔥 Se vende rápido — REABASTECE",IF($K41="Agotado","🔴 Agotado — reabastece",IF($K41="Stock bajo","🟠 Stock bajo","✅ Ok"))))</f>
      </c>
    </row>
    <row r="42">
      <c r="A42" s="20"/>
      <c r="B42" s="20"/>
      <c r="C42" s="20"/>
      <c r="D42" s="20"/>
      <c r="E42" s="21"/>
      <c r="F42" s="16">
        <f>IF($A42="","",IFERROR(SUMIF('Compras'!$B:$B,$A42,'Compras'!$F:$F)/SUMIF('Compras'!$B:$B,$A42,'Compras'!$D:$D),0))</f>
      </c>
      <c r="G42" s="17">
        <f>IF($A42="","",SUMIF('Compras'!$B:$B,$A42,'Compras'!$D:$D)+SUMIF('Traslados'!$H:$H,$A42&amp;"|Casa",'Traslados'!$D:$D)-SUMIF('Traslados'!$G:$G,$A42&amp;"|Casa",'Traslados'!$D:$D)-SUMIF('Ventas'!$M:$M,$A42&amp;"|Casa",'Ventas'!$F:$F)+SUMIF('Ajustes'!$H:$H,$A42&amp;"|Casa",'Ajustes'!$D:$D))</f>
      </c>
      <c r="H42" s="17">
        <f>IF($A42="","",SUMIF('Traslados'!$H:$H,$A42&amp;"|Mercado Libre",'Traslados'!$D:$D)-SUMIF('Traslados'!$G:$G,$A42&amp;"|Mercado Libre",'Traslados'!$D:$D)-SUMIF('Ventas'!$M:$M,$A42&amp;"|Mercado Libre",'Ventas'!$F:$F)+SUMIF('Ajustes'!$H:$H,$A42&amp;"|Mercado Libre",'Ajustes'!$D:$D))</f>
      </c>
      <c r="I42" s="17">
        <f>IF($A42="","",$G42+$H42)</f>
      </c>
      <c r="J42" s="16">
        <f>IF($A42="","",$I42*$F42)</f>
      </c>
      <c r="K42" s="19">
        <f>IF($A42="","",IF($I42&lt;=0,"Agotado",IF($I42&lt;=$E42,"Stock bajo","Disponible")))</f>
      </c>
      <c r="L42" s="17">
        <f>IF($A42="","",IFERROR(VLOOKUP($C42,'Config'!$D$2:$E$30,2,FALSE),0))</f>
      </c>
      <c r="M42" s="20"/>
      <c r="N42" s="22"/>
      <c r="O42" s="22"/>
      <c r="P42" s="17">
        <f>IF(OR($A42="",$D42&lt;&gt;"Activo"),"",SUMPRODUCT(($C$2:$C$201=$C42)*($D$2:$D$201="Activo")*(($S$2:$S$201&lt;$S42)+(($S$2:$S$201=$S42)*($B$2:$B$201&lt;$B42))))+1)</f>
      </c>
      <c r="Q42" s="19">
        <f>IF($P42="","",$C42&amp;"|"&amp;$P42)</f>
      </c>
      <c r="R42" s="20"/>
      <c r="S42" s="17">
        <f>IF($A42="","",IFERROR(VALUE(TRIM(LEFT($R42,FIND("x",LOWER($R42))-1)))*VALUE(TRIM(MID($R42,FIND("x",LOWER($R42))+1,20))),0))</f>
      </c>
      <c r="T42" s="17">
        <f>IF(OR($A42="",$D42&lt;&gt;"Activo"),"",SUMPRODUCT(($D$2:$D$201="Activo")*(($C$2:$C$201&lt;$C42)+(($C$2:$C$201=$C42)*($S$2:$S$201&lt;$S42))+(($C$2:$C$201=$C42)*($S$2:$S$201=$S42)*($B$2:$B$201&lt;$B42))))+1)</f>
      </c>
      <c r="U42" s="19">
        <f>IF($T42="","","TODAS|"&amp;$T42)</f>
      </c>
      <c r="V42" s="14">
        <f>IF($A42="","",IFERROR(IF(COUNTIF('Compras'!$B:$B,$A42)=0,"",MINIFS('Compras'!$A:$A,'Compras'!$B:$B,$A42)),""))</f>
      </c>
      <c r="W42" s="17">
        <f>IF(OR($A42="",$V42=""),"",TODAY()-$V42)</f>
      </c>
      <c r="X42" s="17">
        <f>IF($A42="","",SUMIF('Ventas'!$D:$D,$A42,'Ventas'!$F:$F))</f>
      </c>
      <c r="Y42" s="19">
        <f>IF($A42="","",IF(AND($X42&gt;=3,$W42&lt;&gt;"",$W42&lt;=15),"🔥 Se vende rápido — REABASTECE",IF($K42="Agotado","🔴 Agotado — reabastece",IF($K42="Stock bajo","🟠 Stock bajo","✅ Ok"))))</f>
      </c>
    </row>
    <row r="43">
      <c r="A43" s="20"/>
      <c r="B43" s="20"/>
      <c r="C43" s="20"/>
      <c r="D43" s="20"/>
      <c r="E43" s="21"/>
      <c r="F43" s="16">
        <f>IF($A43="","",IFERROR(SUMIF('Compras'!$B:$B,$A43,'Compras'!$F:$F)/SUMIF('Compras'!$B:$B,$A43,'Compras'!$D:$D),0))</f>
      </c>
      <c r="G43" s="17">
        <f>IF($A43="","",SUMIF('Compras'!$B:$B,$A43,'Compras'!$D:$D)+SUMIF('Traslados'!$H:$H,$A43&amp;"|Casa",'Traslados'!$D:$D)-SUMIF('Traslados'!$G:$G,$A43&amp;"|Casa",'Traslados'!$D:$D)-SUMIF('Ventas'!$M:$M,$A43&amp;"|Casa",'Ventas'!$F:$F)+SUMIF('Ajustes'!$H:$H,$A43&amp;"|Casa",'Ajustes'!$D:$D))</f>
      </c>
      <c r="H43" s="17">
        <f>IF($A43="","",SUMIF('Traslados'!$H:$H,$A43&amp;"|Mercado Libre",'Traslados'!$D:$D)-SUMIF('Traslados'!$G:$G,$A43&amp;"|Mercado Libre",'Traslados'!$D:$D)-SUMIF('Ventas'!$M:$M,$A43&amp;"|Mercado Libre",'Ventas'!$F:$F)+SUMIF('Ajustes'!$H:$H,$A43&amp;"|Mercado Libre",'Ajustes'!$D:$D))</f>
      </c>
      <c r="I43" s="17">
        <f>IF($A43="","",$G43+$H43)</f>
      </c>
      <c r="J43" s="16">
        <f>IF($A43="","",$I43*$F43)</f>
      </c>
      <c r="K43" s="19">
        <f>IF($A43="","",IF($I43&lt;=0,"Agotado",IF($I43&lt;=$E43,"Stock bajo","Disponible")))</f>
      </c>
      <c r="L43" s="17">
        <f>IF($A43="","",IFERROR(VLOOKUP($C43,'Config'!$D$2:$E$30,2,FALSE),0))</f>
      </c>
      <c r="M43" s="20"/>
      <c r="N43" s="22"/>
      <c r="O43" s="22"/>
      <c r="P43" s="17">
        <f>IF(OR($A43="",$D43&lt;&gt;"Activo"),"",SUMPRODUCT(($C$2:$C$201=$C43)*($D$2:$D$201="Activo")*(($S$2:$S$201&lt;$S43)+(($S$2:$S$201=$S43)*($B$2:$B$201&lt;$B43))))+1)</f>
      </c>
      <c r="Q43" s="19">
        <f>IF($P43="","",$C43&amp;"|"&amp;$P43)</f>
      </c>
      <c r="R43" s="20"/>
      <c r="S43" s="17">
        <f>IF($A43="","",IFERROR(VALUE(TRIM(LEFT($R43,FIND("x",LOWER($R43))-1)))*VALUE(TRIM(MID($R43,FIND("x",LOWER($R43))+1,20))),0))</f>
      </c>
      <c r="T43" s="17">
        <f>IF(OR($A43="",$D43&lt;&gt;"Activo"),"",SUMPRODUCT(($D$2:$D$201="Activo")*(($C$2:$C$201&lt;$C43)+(($C$2:$C$201=$C43)*($S$2:$S$201&lt;$S43))+(($C$2:$C$201=$C43)*($S$2:$S$201=$S43)*($B$2:$B$201&lt;$B43))))+1)</f>
      </c>
      <c r="U43" s="19">
        <f>IF($T43="","","TODAS|"&amp;$T43)</f>
      </c>
      <c r="V43" s="14">
        <f>IF($A43="","",IFERROR(IF(COUNTIF('Compras'!$B:$B,$A43)=0,"",MINIFS('Compras'!$A:$A,'Compras'!$B:$B,$A43)),""))</f>
      </c>
      <c r="W43" s="17">
        <f>IF(OR($A43="",$V43=""),"",TODAY()-$V43)</f>
      </c>
      <c r="X43" s="17">
        <f>IF($A43="","",SUMIF('Ventas'!$D:$D,$A43,'Ventas'!$F:$F))</f>
      </c>
      <c r="Y43" s="19">
        <f>IF($A43="","",IF(AND($X43&gt;=3,$W43&lt;&gt;"",$W43&lt;=15),"🔥 Se vende rápido — REABASTECE",IF($K43="Agotado","🔴 Agotado — reabastece",IF($K43="Stock bajo","🟠 Stock bajo","✅ Ok"))))</f>
      </c>
    </row>
    <row r="44">
      <c r="A44" s="20"/>
      <c r="B44" s="20"/>
      <c r="C44" s="20"/>
      <c r="D44" s="20"/>
      <c r="E44" s="21"/>
      <c r="F44" s="16">
        <f>IF($A44="","",IFERROR(SUMIF('Compras'!$B:$B,$A44,'Compras'!$F:$F)/SUMIF('Compras'!$B:$B,$A44,'Compras'!$D:$D),0))</f>
      </c>
      <c r="G44" s="17">
        <f>IF($A44="","",SUMIF('Compras'!$B:$B,$A44,'Compras'!$D:$D)+SUMIF('Traslados'!$H:$H,$A44&amp;"|Casa",'Traslados'!$D:$D)-SUMIF('Traslados'!$G:$G,$A44&amp;"|Casa",'Traslados'!$D:$D)-SUMIF('Ventas'!$M:$M,$A44&amp;"|Casa",'Ventas'!$F:$F)+SUMIF('Ajustes'!$H:$H,$A44&amp;"|Casa",'Ajustes'!$D:$D))</f>
      </c>
      <c r="H44" s="17">
        <f>IF($A44="","",SUMIF('Traslados'!$H:$H,$A44&amp;"|Mercado Libre",'Traslados'!$D:$D)-SUMIF('Traslados'!$G:$G,$A44&amp;"|Mercado Libre",'Traslados'!$D:$D)-SUMIF('Ventas'!$M:$M,$A44&amp;"|Mercado Libre",'Ventas'!$F:$F)+SUMIF('Ajustes'!$H:$H,$A44&amp;"|Mercado Libre",'Ajustes'!$D:$D))</f>
      </c>
      <c r="I44" s="17">
        <f>IF($A44="","",$G44+$H44)</f>
      </c>
      <c r="J44" s="16">
        <f>IF($A44="","",$I44*$F44)</f>
      </c>
      <c r="K44" s="19">
        <f>IF($A44="","",IF($I44&lt;=0,"Agotado",IF($I44&lt;=$E44,"Stock bajo","Disponible")))</f>
      </c>
      <c r="L44" s="17">
        <f>IF($A44="","",IFERROR(VLOOKUP($C44,'Config'!$D$2:$E$30,2,FALSE),0))</f>
      </c>
      <c r="M44" s="20"/>
      <c r="N44" s="22"/>
      <c r="O44" s="22"/>
      <c r="P44" s="17">
        <f>IF(OR($A44="",$D44&lt;&gt;"Activo"),"",SUMPRODUCT(($C$2:$C$201=$C44)*($D$2:$D$201="Activo")*(($S$2:$S$201&lt;$S44)+(($S$2:$S$201=$S44)*($B$2:$B$201&lt;$B44))))+1)</f>
      </c>
      <c r="Q44" s="19">
        <f>IF($P44="","",$C44&amp;"|"&amp;$P44)</f>
      </c>
      <c r="R44" s="20"/>
      <c r="S44" s="17">
        <f>IF($A44="","",IFERROR(VALUE(TRIM(LEFT($R44,FIND("x",LOWER($R44))-1)))*VALUE(TRIM(MID($R44,FIND("x",LOWER($R44))+1,20))),0))</f>
      </c>
      <c r="T44" s="17">
        <f>IF(OR($A44="",$D44&lt;&gt;"Activo"),"",SUMPRODUCT(($D$2:$D$201="Activo")*(($C$2:$C$201&lt;$C44)+(($C$2:$C$201=$C44)*($S$2:$S$201&lt;$S44))+(($C$2:$C$201=$C44)*($S$2:$S$201=$S44)*($B$2:$B$201&lt;$B44))))+1)</f>
      </c>
      <c r="U44" s="19">
        <f>IF($T44="","","TODAS|"&amp;$T44)</f>
      </c>
      <c r="V44" s="14">
        <f>IF($A44="","",IFERROR(IF(COUNTIF('Compras'!$B:$B,$A44)=0,"",MINIFS('Compras'!$A:$A,'Compras'!$B:$B,$A44)),""))</f>
      </c>
      <c r="W44" s="17">
        <f>IF(OR($A44="",$V44=""),"",TODAY()-$V44)</f>
      </c>
      <c r="X44" s="17">
        <f>IF($A44="","",SUMIF('Ventas'!$D:$D,$A44,'Ventas'!$F:$F))</f>
      </c>
      <c r="Y44" s="19">
        <f>IF($A44="","",IF(AND($X44&gt;=3,$W44&lt;&gt;"",$W44&lt;=15),"🔥 Se vende rápido — REABASTECE",IF($K44="Agotado","🔴 Agotado — reabastece",IF($K44="Stock bajo","🟠 Stock bajo","✅ Ok"))))</f>
      </c>
    </row>
    <row r="45">
      <c r="A45" s="20"/>
      <c r="B45" s="20"/>
      <c r="C45" s="20"/>
      <c r="D45" s="20"/>
      <c r="E45" s="21"/>
      <c r="F45" s="16">
        <f>IF($A45="","",IFERROR(SUMIF('Compras'!$B:$B,$A45,'Compras'!$F:$F)/SUMIF('Compras'!$B:$B,$A45,'Compras'!$D:$D),0))</f>
      </c>
      <c r="G45" s="17">
        <f>IF($A45="","",SUMIF('Compras'!$B:$B,$A45,'Compras'!$D:$D)+SUMIF('Traslados'!$H:$H,$A45&amp;"|Casa",'Traslados'!$D:$D)-SUMIF('Traslados'!$G:$G,$A45&amp;"|Casa",'Traslados'!$D:$D)-SUMIF('Ventas'!$M:$M,$A45&amp;"|Casa",'Ventas'!$F:$F)+SUMIF('Ajustes'!$H:$H,$A45&amp;"|Casa",'Ajustes'!$D:$D))</f>
      </c>
      <c r="H45" s="17">
        <f>IF($A45="","",SUMIF('Traslados'!$H:$H,$A45&amp;"|Mercado Libre",'Traslados'!$D:$D)-SUMIF('Traslados'!$G:$G,$A45&amp;"|Mercado Libre",'Traslados'!$D:$D)-SUMIF('Ventas'!$M:$M,$A45&amp;"|Mercado Libre",'Ventas'!$F:$F)+SUMIF('Ajustes'!$H:$H,$A45&amp;"|Mercado Libre",'Ajustes'!$D:$D))</f>
      </c>
      <c r="I45" s="17">
        <f>IF($A45="","",$G45+$H45)</f>
      </c>
      <c r="J45" s="16">
        <f>IF($A45="","",$I45*$F45)</f>
      </c>
      <c r="K45" s="19">
        <f>IF($A45="","",IF($I45&lt;=0,"Agotado",IF($I45&lt;=$E45,"Stock bajo","Disponible")))</f>
      </c>
      <c r="L45" s="17">
        <f>IF($A45="","",IFERROR(VLOOKUP($C45,'Config'!$D$2:$E$30,2,FALSE),0))</f>
      </c>
      <c r="M45" s="20"/>
      <c r="N45" s="22"/>
      <c r="O45" s="22"/>
      <c r="P45" s="17">
        <f>IF(OR($A45="",$D45&lt;&gt;"Activo"),"",SUMPRODUCT(($C$2:$C$201=$C45)*($D$2:$D$201="Activo")*(($S$2:$S$201&lt;$S45)+(($S$2:$S$201=$S45)*($B$2:$B$201&lt;$B45))))+1)</f>
      </c>
      <c r="Q45" s="19">
        <f>IF($P45="","",$C45&amp;"|"&amp;$P45)</f>
      </c>
      <c r="R45" s="20"/>
      <c r="S45" s="17">
        <f>IF($A45="","",IFERROR(VALUE(TRIM(LEFT($R45,FIND("x",LOWER($R45))-1)))*VALUE(TRIM(MID($R45,FIND("x",LOWER($R45))+1,20))),0))</f>
      </c>
      <c r="T45" s="17">
        <f>IF(OR($A45="",$D45&lt;&gt;"Activo"),"",SUMPRODUCT(($D$2:$D$201="Activo")*(($C$2:$C$201&lt;$C45)+(($C$2:$C$201=$C45)*($S$2:$S$201&lt;$S45))+(($C$2:$C$201=$C45)*($S$2:$S$201=$S45)*($B$2:$B$201&lt;$B45))))+1)</f>
      </c>
      <c r="U45" s="19">
        <f>IF($T45="","","TODAS|"&amp;$T45)</f>
      </c>
      <c r="V45" s="14">
        <f>IF($A45="","",IFERROR(IF(COUNTIF('Compras'!$B:$B,$A45)=0,"",MINIFS('Compras'!$A:$A,'Compras'!$B:$B,$A45)),""))</f>
      </c>
      <c r="W45" s="17">
        <f>IF(OR($A45="",$V45=""),"",TODAY()-$V45)</f>
      </c>
      <c r="X45" s="17">
        <f>IF($A45="","",SUMIF('Ventas'!$D:$D,$A45,'Ventas'!$F:$F))</f>
      </c>
      <c r="Y45" s="19">
        <f>IF($A45="","",IF(AND($X45&gt;=3,$W45&lt;&gt;"",$W45&lt;=15),"🔥 Se vende rápido — REABASTECE",IF($K45="Agotado","🔴 Agotado — reabastece",IF($K45="Stock bajo","🟠 Stock bajo","✅ Ok"))))</f>
      </c>
    </row>
    <row r="46">
      <c r="A46" s="20"/>
      <c r="B46" s="20"/>
      <c r="C46" s="20"/>
      <c r="D46" s="20"/>
      <c r="E46" s="21"/>
      <c r="F46" s="16">
        <f>IF($A46="","",IFERROR(SUMIF('Compras'!$B:$B,$A46,'Compras'!$F:$F)/SUMIF('Compras'!$B:$B,$A46,'Compras'!$D:$D),0))</f>
      </c>
      <c r="G46" s="17">
        <f>IF($A46="","",SUMIF('Compras'!$B:$B,$A46,'Compras'!$D:$D)+SUMIF('Traslados'!$H:$H,$A46&amp;"|Casa",'Traslados'!$D:$D)-SUMIF('Traslados'!$G:$G,$A46&amp;"|Casa",'Traslados'!$D:$D)-SUMIF('Ventas'!$M:$M,$A46&amp;"|Casa",'Ventas'!$F:$F)+SUMIF('Ajustes'!$H:$H,$A46&amp;"|Casa",'Ajustes'!$D:$D))</f>
      </c>
      <c r="H46" s="17">
        <f>IF($A46="","",SUMIF('Traslados'!$H:$H,$A46&amp;"|Mercado Libre",'Traslados'!$D:$D)-SUMIF('Traslados'!$G:$G,$A46&amp;"|Mercado Libre",'Traslados'!$D:$D)-SUMIF('Ventas'!$M:$M,$A46&amp;"|Mercado Libre",'Ventas'!$F:$F)+SUMIF('Ajustes'!$H:$H,$A46&amp;"|Mercado Libre",'Ajustes'!$D:$D))</f>
      </c>
      <c r="I46" s="17">
        <f>IF($A46="","",$G46+$H46)</f>
      </c>
      <c r="J46" s="16">
        <f>IF($A46="","",$I46*$F46)</f>
      </c>
      <c r="K46" s="19">
        <f>IF($A46="","",IF($I46&lt;=0,"Agotado",IF($I46&lt;=$E46,"Stock bajo","Disponible")))</f>
      </c>
      <c r="L46" s="17">
        <f>IF($A46="","",IFERROR(VLOOKUP($C46,'Config'!$D$2:$E$30,2,FALSE),0))</f>
      </c>
      <c r="M46" s="20"/>
      <c r="N46" s="22"/>
      <c r="O46" s="22"/>
      <c r="P46" s="17">
        <f>IF(OR($A46="",$D46&lt;&gt;"Activo"),"",SUMPRODUCT(($C$2:$C$201=$C46)*($D$2:$D$201="Activo")*(($S$2:$S$201&lt;$S46)+(($S$2:$S$201=$S46)*($B$2:$B$201&lt;$B46))))+1)</f>
      </c>
      <c r="Q46" s="19">
        <f>IF($P46="","",$C46&amp;"|"&amp;$P46)</f>
      </c>
      <c r="R46" s="20"/>
      <c r="S46" s="17">
        <f>IF($A46="","",IFERROR(VALUE(TRIM(LEFT($R46,FIND("x",LOWER($R46))-1)))*VALUE(TRIM(MID($R46,FIND("x",LOWER($R46))+1,20))),0))</f>
      </c>
      <c r="T46" s="17">
        <f>IF(OR($A46="",$D46&lt;&gt;"Activo"),"",SUMPRODUCT(($D$2:$D$201="Activo")*(($C$2:$C$201&lt;$C46)+(($C$2:$C$201=$C46)*($S$2:$S$201&lt;$S46))+(($C$2:$C$201=$C46)*($S$2:$S$201=$S46)*($B$2:$B$201&lt;$B46))))+1)</f>
      </c>
      <c r="U46" s="19">
        <f>IF($T46="","","TODAS|"&amp;$T46)</f>
      </c>
      <c r="V46" s="14">
        <f>IF($A46="","",IFERROR(IF(COUNTIF('Compras'!$B:$B,$A46)=0,"",MINIFS('Compras'!$A:$A,'Compras'!$B:$B,$A46)),""))</f>
      </c>
      <c r="W46" s="17">
        <f>IF(OR($A46="",$V46=""),"",TODAY()-$V46)</f>
      </c>
      <c r="X46" s="17">
        <f>IF($A46="","",SUMIF('Ventas'!$D:$D,$A46,'Ventas'!$F:$F))</f>
      </c>
      <c r="Y46" s="19">
        <f>IF($A46="","",IF(AND($X46&gt;=3,$W46&lt;&gt;"",$W46&lt;=15),"🔥 Se vende rápido — REABASTECE",IF($K46="Agotado","🔴 Agotado — reabastece",IF($K46="Stock bajo","🟠 Stock bajo","✅ Ok"))))</f>
      </c>
    </row>
    <row r="47">
      <c r="A47" s="20"/>
      <c r="B47" s="20"/>
      <c r="C47" s="20"/>
      <c r="D47" s="20"/>
      <c r="E47" s="21"/>
      <c r="F47" s="16">
        <f>IF($A47="","",IFERROR(SUMIF('Compras'!$B:$B,$A47,'Compras'!$F:$F)/SUMIF('Compras'!$B:$B,$A47,'Compras'!$D:$D),0))</f>
      </c>
      <c r="G47" s="17">
        <f>IF($A47="","",SUMIF('Compras'!$B:$B,$A47,'Compras'!$D:$D)+SUMIF('Traslados'!$H:$H,$A47&amp;"|Casa",'Traslados'!$D:$D)-SUMIF('Traslados'!$G:$G,$A47&amp;"|Casa",'Traslados'!$D:$D)-SUMIF('Ventas'!$M:$M,$A47&amp;"|Casa",'Ventas'!$F:$F)+SUMIF('Ajustes'!$H:$H,$A47&amp;"|Casa",'Ajustes'!$D:$D))</f>
      </c>
      <c r="H47" s="17">
        <f>IF($A47="","",SUMIF('Traslados'!$H:$H,$A47&amp;"|Mercado Libre",'Traslados'!$D:$D)-SUMIF('Traslados'!$G:$G,$A47&amp;"|Mercado Libre",'Traslados'!$D:$D)-SUMIF('Ventas'!$M:$M,$A47&amp;"|Mercado Libre",'Ventas'!$F:$F)+SUMIF('Ajustes'!$H:$H,$A47&amp;"|Mercado Libre",'Ajustes'!$D:$D))</f>
      </c>
      <c r="I47" s="17">
        <f>IF($A47="","",$G47+$H47)</f>
      </c>
      <c r="J47" s="16">
        <f>IF($A47="","",$I47*$F47)</f>
      </c>
      <c r="K47" s="19">
        <f>IF($A47="","",IF($I47&lt;=0,"Agotado",IF($I47&lt;=$E47,"Stock bajo","Disponible")))</f>
      </c>
      <c r="L47" s="17">
        <f>IF($A47="","",IFERROR(VLOOKUP($C47,'Config'!$D$2:$E$30,2,FALSE),0))</f>
      </c>
      <c r="M47" s="20"/>
      <c r="N47" s="22"/>
      <c r="O47" s="22"/>
      <c r="P47" s="17">
        <f>IF(OR($A47="",$D47&lt;&gt;"Activo"),"",SUMPRODUCT(($C$2:$C$201=$C47)*($D$2:$D$201="Activo")*(($S$2:$S$201&lt;$S47)+(($S$2:$S$201=$S47)*($B$2:$B$201&lt;$B47))))+1)</f>
      </c>
      <c r="Q47" s="19">
        <f>IF($P47="","",$C47&amp;"|"&amp;$P47)</f>
      </c>
      <c r="R47" s="20"/>
      <c r="S47" s="17">
        <f>IF($A47="","",IFERROR(VALUE(TRIM(LEFT($R47,FIND("x",LOWER($R47))-1)))*VALUE(TRIM(MID($R47,FIND("x",LOWER($R47))+1,20))),0))</f>
      </c>
      <c r="T47" s="17">
        <f>IF(OR($A47="",$D47&lt;&gt;"Activo"),"",SUMPRODUCT(($D$2:$D$201="Activo")*(($C$2:$C$201&lt;$C47)+(($C$2:$C$201=$C47)*($S$2:$S$201&lt;$S47))+(($C$2:$C$201=$C47)*($S$2:$S$201=$S47)*($B$2:$B$201&lt;$B47))))+1)</f>
      </c>
      <c r="U47" s="19">
        <f>IF($T47="","","TODAS|"&amp;$T47)</f>
      </c>
      <c r="V47" s="14">
        <f>IF($A47="","",IFERROR(IF(COUNTIF('Compras'!$B:$B,$A47)=0,"",MINIFS('Compras'!$A:$A,'Compras'!$B:$B,$A47)),""))</f>
      </c>
      <c r="W47" s="17">
        <f>IF(OR($A47="",$V47=""),"",TODAY()-$V47)</f>
      </c>
      <c r="X47" s="17">
        <f>IF($A47="","",SUMIF('Ventas'!$D:$D,$A47,'Ventas'!$F:$F))</f>
      </c>
      <c r="Y47" s="19">
        <f>IF($A47="","",IF(AND($X47&gt;=3,$W47&lt;&gt;"",$W47&lt;=15),"🔥 Se vende rápido — REABASTECE",IF($K47="Agotado","🔴 Agotado — reabastece",IF($K47="Stock bajo","🟠 Stock bajo","✅ Ok"))))</f>
      </c>
    </row>
    <row r="48">
      <c r="A48" s="20"/>
      <c r="B48" s="20"/>
      <c r="C48" s="20"/>
      <c r="D48" s="20"/>
      <c r="E48" s="21"/>
      <c r="F48" s="16">
        <f>IF($A48="","",IFERROR(SUMIF('Compras'!$B:$B,$A48,'Compras'!$F:$F)/SUMIF('Compras'!$B:$B,$A48,'Compras'!$D:$D),0))</f>
      </c>
      <c r="G48" s="17">
        <f>IF($A48="","",SUMIF('Compras'!$B:$B,$A48,'Compras'!$D:$D)+SUMIF('Traslados'!$H:$H,$A48&amp;"|Casa",'Traslados'!$D:$D)-SUMIF('Traslados'!$G:$G,$A48&amp;"|Casa",'Traslados'!$D:$D)-SUMIF('Ventas'!$M:$M,$A48&amp;"|Casa",'Ventas'!$F:$F)+SUMIF('Ajustes'!$H:$H,$A48&amp;"|Casa",'Ajustes'!$D:$D))</f>
      </c>
      <c r="H48" s="17">
        <f>IF($A48="","",SUMIF('Traslados'!$H:$H,$A48&amp;"|Mercado Libre",'Traslados'!$D:$D)-SUMIF('Traslados'!$G:$G,$A48&amp;"|Mercado Libre",'Traslados'!$D:$D)-SUMIF('Ventas'!$M:$M,$A48&amp;"|Mercado Libre",'Ventas'!$F:$F)+SUMIF('Ajustes'!$H:$H,$A48&amp;"|Mercado Libre",'Ajustes'!$D:$D))</f>
      </c>
      <c r="I48" s="17">
        <f>IF($A48="","",$G48+$H48)</f>
      </c>
      <c r="J48" s="16">
        <f>IF($A48="","",$I48*$F48)</f>
      </c>
      <c r="K48" s="19">
        <f>IF($A48="","",IF($I48&lt;=0,"Agotado",IF($I48&lt;=$E48,"Stock bajo","Disponible")))</f>
      </c>
      <c r="L48" s="17">
        <f>IF($A48="","",IFERROR(VLOOKUP($C48,'Config'!$D$2:$E$30,2,FALSE),0))</f>
      </c>
      <c r="M48" s="20"/>
      <c r="N48" s="22"/>
      <c r="O48" s="22"/>
      <c r="P48" s="17">
        <f>IF(OR($A48="",$D48&lt;&gt;"Activo"),"",SUMPRODUCT(($C$2:$C$201=$C48)*($D$2:$D$201="Activo")*(($S$2:$S$201&lt;$S48)+(($S$2:$S$201=$S48)*($B$2:$B$201&lt;$B48))))+1)</f>
      </c>
      <c r="Q48" s="19">
        <f>IF($P48="","",$C48&amp;"|"&amp;$P48)</f>
      </c>
      <c r="R48" s="20"/>
      <c r="S48" s="17">
        <f>IF($A48="","",IFERROR(VALUE(TRIM(LEFT($R48,FIND("x",LOWER($R48))-1)))*VALUE(TRIM(MID($R48,FIND("x",LOWER($R48))+1,20))),0))</f>
      </c>
      <c r="T48" s="17">
        <f>IF(OR($A48="",$D48&lt;&gt;"Activo"),"",SUMPRODUCT(($D$2:$D$201="Activo")*(($C$2:$C$201&lt;$C48)+(($C$2:$C$201=$C48)*($S$2:$S$201&lt;$S48))+(($C$2:$C$201=$C48)*($S$2:$S$201=$S48)*($B$2:$B$201&lt;$B48))))+1)</f>
      </c>
      <c r="U48" s="19">
        <f>IF($T48="","","TODAS|"&amp;$T48)</f>
      </c>
      <c r="V48" s="14">
        <f>IF($A48="","",IFERROR(IF(COUNTIF('Compras'!$B:$B,$A48)=0,"",MINIFS('Compras'!$A:$A,'Compras'!$B:$B,$A48)),""))</f>
      </c>
      <c r="W48" s="17">
        <f>IF(OR($A48="",$V48=""),"",TODAY()-$V48)</f>
      </c>
      <c r="X48" s="17">
        <f>IF($A48="","",SUMIF('Ventas'!$D:$D,$A48,'Ventas'!$F:$F))</f>
      </c>
      <c r="Y48" s="19">
        <f>IF($A48="","",IF(AND($X48&gt;=3,$W48&lt;&gt;"",$W48&lt;=15),"🔥 Se vende rápido — REABASTECE",IF($K48="Agotado","🔴 Agotado — reabastece",IF($K48="Stock bajo","🟠 Stock bajo","✅ Ok"))))</f>
      </c>
    </row>
    <row r="49">
      <c r="A49" s="20"/>
      <c r="B49" s="20"/>
      <c r="C49" s="20"/>
      <c r="D49" s="20"/>
      <c r="E49" s="21"/>
      <c r="F49" s="16">
        <f>IF($A49="","",IFERROR(SUMIF('Compras'!$B:$B,$A49,'Compras'!$F:$F)/SUMIF('Compras'!$B:$B,$A49,'Compras'!$D:$D),0))</f>
      </c>
      <c r="G49" s="17">
        <f>IF($A49="","",SUMIF('Compras'!$B:$B,$A49,'Compras'!$D:$D)+SUMIF('Traslados'!$H:$H,$A49&amp;"|Casa",'Traslados'!$D:$D)-SUMIF('Traslados'!$G:$G,$A49&amp;"|Casa",'Traslados'!$D:$D)-SUMIF('Ventas'!$M:$M,$A49&amp;"|Casa",'Ventas'!$F:$F)+SUMIF('Ajustes'!$H:$H,$A49&amp;"|Casa",'Ajustes'!$D:$D))</f>
      </c>
      <c r="H49" s="17">
        <f>IF($A49="","",SUMIF('Traslados'!$H:$H,$A49&amp;"|Mercado Libre",'Traslados'!$D:$D)-SUMIF('Traslados'!$G:$G,$A49&amp;"|Mercado Libre",'Traslados'!$D:$D)-SUMIF('Ventas'!$M:$M,$A49&amp;"|Mercado Libre",'Ventas'!$F:$F)+SUMIF('Ajustes'!$H:$H,$A49&amp;"|Mercado Libre",'Ajustes'!$D:$D))</f>
      </c>
      <c r="I49" s="17">
        <f>IF($A49="","",$G49+$H49)</f>
      </c>
      <c r="J49" s="16">
        <f>IF($A49="","",$I49*$F49)</f>
      </c>
      <c r="K49" s="19">
        <f>IF($A49="","",IF($I49&lt;=0,"Agotado",IF($I49&lt;=$E49,"Stock bajo","Disponible")))</f>
      </c>
      <c r="L49" s="17">
        <f>IF($A49="","",IFERROR(VLOOKUP($C49,'Config'!$D$2:$E$30,2,FALSE),0))</f>
      </c>
      <c r="M49" s="20"/>
      <c r="N49" s="22"/>
      <c r="O49" s="22"/>
      <c r="P49" s="17">
        <f>IF(OR($A49="",$D49&lt;&gt;"Activo"),"",SUMPRODUCT(($C$2:$C$201=$C49)*($D$2:$D$201="Activo")*(($S$2:$S$201&lt;$S49)+(($S$2:$S$201=$S49)*($B$2:$B$201&lt;$B49))))+1)</f>
      </c>
      <c r="Q49" s="19">
        <f>IF($P49="","",$C49&amp;"|"&amp;$P49)</f>
      </c>
      <c r="R49" s="20"/>
      <c r="S49" s="17">
        <f>IF($A49="","",IFERROR(VALUE(TRIM(LEFT($R49,FIND("x",LOWER($R49))-1)))*VALUE(TRIM(MID($R49,FIND("x",LOWER($R49))+1,20))),0))</f>
      </c>
      <c r="T49" s="17">
        <f>IF(OR($A49="",$D49&lt;&gt;"Activo"),"",SUMPRODUCT(($D$2:$D$201="Activo")*(($C$2:$C$201&lt;$C49)+(($C$2:$C$201=$C49)*($S$2:$S$201&lt;$S49))+(($C$2:$C$201=$C49)*($S$2:$S$201=$S49)*($B$2:$B$201&lt;$B49))))+1)</f>
      </c>
      <c r="U49" s="19">
        <f>IF($T49="","","TODAS|"&amp;$T49)</f>
      </c>
      <c r="V49" s="14">
        <f>IF($A49="","",IFERROR(IF(COUNTIF('Compras'!$B:$B,$A49)=0,"",MINIFS('Compras'!$A:$A,'Compras'!$B:$B,$A49)),""))</f>
      </c>
      <c r="W49" s="17">
        <f>IF(OR($A49="",$V49=""),"",TODAY()-$V49)</f>
      </c>
      <c r="X49" s="17">
        <f>IF($A49="","",SUMIF('Ventas'!$D:$D,$A49,'Ventas'!$F:$F))</f>
      </c>
      <c r="Y49" s="19">
        <f>IF($A49="","",IF(AND($X49&gt;=3,$W49&lt;&gt;"",$W49&lt;=15),"🔥 Se vende rápido — REABASTECE",IF($K49="Agotado","🔴 Agotado — reabastece",IF($K49="Stock bajo","🟠 Stock bajo","✅ Ok"))))</f>
      </c>
    </row>
    <row r="50">
      <c r="A50" s="20"/>
      <c r="B50" s="20"/>
      <c r="C50" s="20"/>
      <c r="D50" s="20"/>
      <c r="E50" s="21"/>
      <c r="F50" s="16">
        <f>IF($A50="","",IFERROR(SUMIF('Compras'!$B:$B,$A50,'Compras'!$F:$F)/SUMIF('Compras'!$B:$B,$A50,'Compras'!$D:$D),0))</f>
      </c>
      <c r="G50" s="17">
        <f>IF($A50="","",SUMIF('Compras'!$B:$B,$A50,'Compras'!$D:$D)+SUMIF('Traslados'!$H:$H,$A50&amp;"|Casa",'Traslados'!$D:$D)-SUMIF('Traslados'!$G:$G,$A50&amp;"|Casa",'Traslados'!$D:$D)-SUMIF('Ventas'!$M:$M,$A50&amp;"|Casa",'Ventas'!$F:$F)+SUMIF('Ajustes'!$H:$H,$A50&amp;"|Casa",'Ajustes'!$D:$D))</f>
      </c>
      <c r="H50" s="17">
        <f>IF($A50="","",SUMIF('Traslados'!$H:$H,$A50&amp;"|Mercado Libre",'Traslados'!$D:$D)-SUMIF('Traslados'!$G:$G,$A50&amp;"|Mercado Libre",'Traslados'!$D:$D)-SUMIF('Ventas'!$M:$M,$A50&amp;"|Mercado Libre",'Ventas'!$F:$F)+SUMIF('Ajustes'!$H:$H,$A50&amp;"|Mercado Libre",'Ajustes'!$D:$D))</f>
      </c>
      <c r="I50" s="17">
        <f>IF($A50="","",$G50+$H50)</f>
      </c>
      <c r="J50" s="16">
        <f>IF($A50="","",$I50*$F50)</f>
      </c>
      <c r="K50" s="19">
        <f>IF($A50="","",IF($I50&lt;=0,"Agotado",IF($I50&lt;=$E50,"Stock bajo","Disponible")))</f>
      </c>
      <c r="L50" s="17">
        <f>IF($A50="","",IFERROR(VLOOKUP($C50,'Config'!$D$2:$E$30,2,FALSE),0))</f>
      </c>
      <c r="M50" s="20"/>
      <c r="N50" s="22"/>
      <c r="O50" s="22"/>
      <c r="P50" s="17">
        <f>IF(OR($A50="",$D50&lt;&gt;"Activo"),"",SUMPRODUCT(($C$2:$C$201=$C50)*($D$2:$D$201="Activo")*(($S$2:$S$201&lt;$S50)+(($S$2:$S$201=$S50)*($B$2:$B$201&lt;$B50))))+1)</f>
      </c>
      <c r="Q50" s="19">
        <f>IF($P50="","",$C50&amp;"|"&amp;$P50)</f>
      </c>
      <c r="R50" s="20"/>
      <c r="S50" s="17">
        <f>IF($A50="","",IFERROR(VALUE(TRIM(LEFT($R50,FIND("x",LOWER($R50))-1)))*VALUE(TRIM(MID($R50,FIND("x",LOWER($R50))+1,20))),0))</f>
      </c>
      <c r="T50" s="17">
        <f>IF(OR($A50="",$D50&lt;&gt;"Activo"),"",SUMPRODUCT(($D$2:$D$201="Activo")*(($C$2:$C$201&lt;$C50)+(($C$2:$C$201=$C50)*($S$2:$S$201&lt;$S50))+(($C$2:$C$201=$C50)*($S$2:$S$201=$S50)*($B$2:$B$201&lt;$B50))))+1)</f>
      </c>
      <c r="U50" s="19">
        <f>IF($T50="","","TODAS|"&amp;$T50)</f>
      </c>
      <c r="V50" s="14">
        <f>IF($A50="","",IFERROR(IF(COUNTIF('Compras'!$B:$B,$A50)=0,"",MINIFS('Compras'!$A:$A,'Compras'!$B:$B,$A50)),""))</f>
      </c>
      <c r="W50" s="17">
        <f>IF(OR($A50="",$V50=""),"",TODAY()-$V50)</f>
      </c>
      <c r="X50" s="17">
        <f>IF($A50="","",SUMIF('Ventas'!$D:$D,$A50,'Ventas'!$F:$F))</f>
      </c>
      <c r="Y50" s="19">
        <f>IF($A50="","",IF(AND($X50&gt;=3,$W50&lt;&gt;"",$W50&lt;=15),"🔥 Se vende rápido — REABASTECE",IF($K50="Agotado","🔴 Agotado — reabastece",IF($K50="Stock bajo","🟠 Stock bajo","✅ Ok"))))</f>
      </c>
    </row>
    <row r="51">
      <c r="A51" s="20"/>
      <c r="B51" s="20"/>
      <c r="C51" s="20"/>
      <c r="D51" s="20"/>
      <c r="E51" s="21"/>
      <c r="F51" s="16">
        <f>IF($A51="","",IFERROR(SUMIF('Compras'!$B:$B,$A51,'Compras'!$F:$F)/SUMIF('Compras'!$B:$B,$A51,'Compras'!$D:$D),0))</f>
      </c>
      <c r="G51" s="17">
        <f>IF($A51="","",SUMIF('Compras'!$B:$B,$A51,'Compras'!$D:$D)+SUMIF('Traslados'!$H:$H,$A51&amp;"|Casa",'Traslados'!$D:$D)-SUMIF('Traslados'!$G:$G,$A51&amp;"|Casa",'Traslados'!$D:$D)-SUMIF('Ventas'!$M:$M,$A51&amp;"|Casa",'Ventas'!$F:$F)+SUMIF('Ajustes'!$H:$H,$A51&amp;"|Casa",'Ajustes'!$D:$D))</f>
      </c>
      <c r="H51" s="17">
        <f>IF($A51="","",SUMIF('Traslados'!$H:$H,$A51&amp;"|Mercado Libre",'Traslados'!$D:$D)-SUMIF('Traslados'!$G:$G,$A51&amp;"|Mercado Libre",'Traslados'!$D:$D)-SUMIF('Ventas'!$M:$M,$A51&amp;"|Mercado Libre",'Ventas'!$F:$F)+SUMIF('Ajustes'!$H:$H,$A51&amp;"|Mercado Libre",'Ajustes'!$D:$D))</f>
      </c>
      <c r="I51" s="17">
        <f>IF($A51="","",$G51+$H51)</f>
      </c>
      <c r="J51" s="16">
        <f>IF($A51="","",$I51*$F51)</f>
      </c>
      <c r="K51" s="19">
        <f>IF($A51="","",IF($I51&lt;=0,"Agotado",IF($I51&lt;=$E51,"Stock bajo","Disponible")))</f>
      </c>
      <c r="L51" s="17">
        <f>IF($A51="","",IFERROR(VLOOKUP($C51,'Config'!$D$2:$E$30,2,FALSE),0))</f>
      </c>
      <c r="M51" s="20"/>
      <c r="N51" s="22"/>
      <c r="O51" s="22"/>
      <c r="P51" s="17">
        <f>IF(OR($A51="",$D51&lt;&gt;"Activo"),"",SUMPRODUCT(($C$2:$C$201=$C51)*($D$2:$D$201="Activo")*(($S$2:$S$201&lt;$S51)+(($S$2:$S$201=$S51)*($B$2:$B$201&lt;$B51))))+1)</f>
      </c>
      <c r="Q51" s="19">
        <f>IF($P51="","",$C51&amp;"|"&amp;$P51)</f>
      </c>
      <c r="R51" s="20"/>
      <c r="S51" s="17">
        <f>IF($A51="","",IFERROR(VALUE(TRIM(LEFT($R51,FIND("x",LOWER($R51))-1)))*VALUE(TRIM(MID($R51,FIND("x",LOWER($R51))+1,20))),0))</f>
      </c>
      <c r="T51" s="17">
        <f>IF(OR($A51="",$D51&lt;&gt;"Activo"),"",SUMPRODUCT(($D$2:$D$201="Activo")*(($C$2:$C$201&lt;$C51)+(($C$2:$C$201=$C51)*($S$2:$S$201&lt;$S51))+(($C$2:$C$201=$C51)*($S$2:$S$201=$S51)*($B$2:$B$201&lt;$B51))))+1)</f>
      </c>
      <c r="U51" s="19">
        <f>IF($T51="","","TODAS|"&amp;$T51)</f>
      </c>
      <c r="V51" s="14">
        <f>IF($A51="","",IFERROR(IF(COUNTIF('Compras'!$B:$B,$A51)=0,"",MINIFS('Compras'!$A:$A,'Compras'!$B:$B,$A51)),""))</f>
      </c>
      <c r="W51" s="17">
        <f>IF(OR($A51="",$V51=""),"",TODAY()-$V51)</f>
      </c>
      <c r="X51" s="17">
        <f>IF($A51="","",SUMIF('Ventas'!$D:$D,$A51,'Ventas'!$F:$F))</f>
      </c>
      <c r="Y51" s="19">
        <f>IF($A51="","",IF(AND($X51&gt;=3,$W51&lt;&gt;"",$W51&lt;=15),"🔥 Se vende rápido — REABASTECE",IF($K51="Agotado","🔴 Agotado — reabastece",IF($K51="Stock bajo","🟠 Stock bajo","✅ Ok"))))</f>
      </c>
    </row>
    <row r="52">
      <c r="A52" s="20"/>
      <c r="B52" s="20"/>
      <c r="C52" s="20"/>
      <c r="D52" s="20"/>
      <c r="E52" s="21"/>
      <c r="F52" s="16">
        <f>IF($A52="","",IFERROR(SUMIF('Compras'!$B:$B,$A52,'Compras'!$F:$F)/SUMIF('Compras'!$B:$B,$A52,'Compras'!$D:$D),0))</f>
      </c>
      <c r="G52" s="17">
        <f>IF($A52="","",SUMIF('Compras'!$B:$B,$A52,'Compras'!$D:$D)+SUMIF('Traslados'!$H:$H,$A52&amp;"|Casa",'Traslados'!$D:$D)-SUMIF('Traslados'!$G:$G,$A52&amp;"|Casa",'Traslados'!$D:$D)-SUMIF('Ventas'!$M:$M,$A52&amp;"|Casa",'Ventas'!$F:$F)+SUMIF('Ajustes'!$H:$H,$A52&amp;"|Casa",'Ajustes'!$D:$D))</f>
      </c>
      <c r="H52" s="17">
        <f>IF($A52="","",SUMIF('Traslados'!$H:$H,$A52&amp;"|Mercado Libre",'Traslados'!$D:$D)-SUMIF('Traslados'!$G:$G,$A52&amp;"|Mercado Libre",'Traslados'!$D:$D)-SUMIF('Ventas'!$M:$M,$A52&amp;"|Mercado Libre",'Ventas'!$F:$F)+SUMIF('Ajustes'!$H:$H,$A52&amp;"|Mercado Libre",'Ajustes'!$D:$D))</f>
      </c>
      <c r="I52" s="17">
        <f>IF($A52="","",$G52+$H52)</f>
      </c>
      <c r="J52" s="16">
        <f>IF($A52="","",$I52*$F52)</f>
      </c>
      <c r="K52" s="19">
        <f>IF($A52="","",IF($I52&lt;=0,"Agotado",IF($I52&lt;=$E52,"Stock bajo","Disponible")))</f>
      </c>
      <c r="L52" s="17">
        <f>IF($A52="","",IFERROR(VLOOKUP($C52,'Config'!$D$2:$E$30,2,FALSE),0))</f>
      </c>
      <c r="M52" s="20"/>
      <c r="N52" s="22"/>
      <c r="O52" s="22"/>
      <c r="P52" s="17">
        <f>IF(OR($A52="",$D52&lt;&gt;"Activo"),"",SUMPRODUCT(($C$2:$C$201=$C52)*($D$2:$D$201="Activo")*(($S$2:$S$201&lt;$S52)+(($S$2:$S$201=$S52)*($B$2:$B$201&lt;$B52))))+1)</f>
      </c>
      <c r="Q52" s="19">
        <f>IF($P52="","",$C52&amp;"|"&amp;$P52)</f>
      </c>
      <c r="R52" s="20"/>
      <c r="S52" s="17">
        <f>IF($A52="","",IFERROR(VALUE(TRIM(LEFT($R52,FIND("x",LOWER($R52))-1)))*VALUE(TRIM(MID($R52,FIND("x",LOWER($R52))+1,20))),0))</f>
      </c>
      <c r="T52" s="17">
        <f>IF(OR($A52="",$D52&lt;&gt;"Activo"),"",SUMPRODUCT(($D$2:$D$201="Activo")*(($C$2:$C$201&lt;$C52)+(($C$2:$C$201=$C52)*($S$2:$S$201&lt;$S52))+(($C$2:$C$201=$C52)*($S$2:$S$201=$S52)*($B$2:$B$201&lt;$B52))))+1)</f>
      </c>
      <c r="U52" s="19">
        <f>IF($T52="","","TODAS|"&amp;$T52)</f>
      </c>
      <c r="V52" s="14">
        <f>IF($A52="","",IFERROR(IF(COUNTIF('Compras'!$B:$B,$A52)=0,"",MINIFS('Compras'!$A:$A,'Compras'!$B:$B,$A52)),""))</f>
      </c>
      <c r="W52" s="17">
        <f>IF(OR($A52="",$V52=""),"",TODAY()-$V52)</f>
      </c>
      <c r="X52" s="17">
        <f>IF($A52="","",SUMIF('Ventas'!$D:$D,$A52,'Ventas'!$F:$F))</f>
      </c>
      <c r="Y52" s="19">
        <f>IF($A52="","",IF(AND($X52&gt;=3,$W52&lt;&gt;"",$W52&lt;=15),"🔥 Se vende rápido — REABASTECE",IF($K52="Agotado","🔴 Agotado — reabastece",IF($K52="Stock bajo","🟠 Stock bajo","✅ Ok"))))</f>
      </c>
    </row>
    <row r="53">
      <c r="A53" s="20"/>
      <c r="B53" s="20"/>
      <c r="C53" s="20"/>
      <c r="D53" s="20"/>
      <c r="E53" s="21"/>
      <c r="F53" s="16">
        <f>IF($A53="","",IFERROR(SUMIF('Compras'!$B:$B,$A53,'Compras'!$F:$F)/SUMIF('Compras'!$B:$B,$A53,'Compras'!$D:$D),0))</f>
      </c>
      <c r="G53" s="17">
        <f>IF($A53="","",SUMIF('Compras'!$B:$B,$A53,'Compras'!$D:$D)+SUMIF('Traslados'!$H:$H,$A53&amp;"|Casa",'Traslados'!$D:$D)-SUMIF('Traslados'!$G:$G,$A53&amp;"|Casa",'Traslados'!$D:$D)-SUMIF('Ventas'!$M:$M,$A53&amp;"|Casa",'Ventas'!$F:$F)+SUMIF('Ajustes'!$H:$H,$A53&amp;"|Casa",'Ajustes'!$D:$D))</f>
      </c>
      <c r="H53" s="17">
        <f>IF($A53="","",SUMIF('Traslados'!$H:$H,$A53&amp;"|Mercado Libre",'Traslados'!$D:$D)-SUMIF('Traslados'!$G:$G,$A53&amp;"|Mercado Libre",'Traslados'!$D:$D)-SUMIF('Ventas'!$M:$M,$A53&amp;"|Mercado Libre",'Ventas'!$F:$F)+SUMIF('Ajustes'!$H:$H,$A53&amp;"|Mercado Libre",'Ajustes'!$D:$D))</f>
      </c>
      <c r="I53" s="17">
        <f>IF($A53="","",$G53+$H53)</f>
      </c>
      <c r="J53" s="16">
        <f>IF($A53="","",$I53*$F53)</f>
      </c>
      <c r="K53" s="19">
        <f>IF($A53="","",IF($I53&lt;=0,"Agotado",IF($I53&lt;=$E53,"Stock bajo","Disponible")))</f>
      </c>
      <c r="L53" s="17">
        <f>IF($A53="","",IFERROR(VLOOKUP($C53,'Config'!$D$2:$E$30,2,FALSE),0))</f>
      </c>
      <c r="M53" s="20"/>
      <c r="N53" s="22"/>
      <c r="O53" s="22"/>
      <c r="P53" s="17">
        <f>IF(OR($A53="",$D53&lt;&gt;"Activo"),"",SUMPRODUCT(($C$2:$C$201=$C53)*($D$2:$D$201="Activo")*(($S$2:$S$201&lt;$S53)+(($S$2:$S$201=$S53)*($B$2:$B$201&lt;$B53))))+1)</f>
      </c>
      <c r="Q53" s="19">
        <f>IF($P53="","",$C53&amp;"|"&amp;$P53)</f>
      </c>
      <c r="R53" s="20"/>
      <c r="S53" s="17">
        <f>IF($A53="","",IFERROR(VALUE(TRIM(LEFT($R53,FIND("x",LOWER($R53))-1)))*VALUE(TRIM(MID($R53,FIND("x",LOWER($R53))+1,20))),0))</f>
      </c>
      <c r="T53" s="17">
        <f>IF(OR($A53="",$D53&lt;&gt;"Activo"),"",SUMPRODUCT(($D$2:$D$201="Activo")*(($C$2:$C$201&lt;$C53)+(($C$2:$C$201=$C53)*($S$2:$S$201&lt;$S53))+(($C$2:$C$201=$C53)*($S$2:$S$201=$S53)*($B$2:$B$201&lt;$B53))))+1)</f>
      </c>
      <c r="U53" s="19">
        <f>IF($T53="","","TODAS|"&amp;$T53)</f>
      </c>
      <c r="V53" s="14">
        <f>IF($A53="","",IFERROR(IF(COUNTIF('Compras'!$B:$B,$A53)=0,"",MINIFS('Compras'!$A:$A,'Compras'!$B:$B,$A53)),""))</f>
      </c>
      <c r="W53" s="17">
        <f>IF(OR($A53="",$V53=""),"",TODAY()-$V53)</f>
      </c>
      <c r="X53" s="17">
        <f>IF($A53="","",SUMIF('Ventas'!$D:$D,$A53,'Ventas'!$F:$F))</f>
      </c>
      <c r="Y53" s="19">
        <f>IF($A53="","",IF(AND($X53&gt;=3,$W53&lt;&gt;"",$W53&lt;=15),"🔥 Se vende rápido — REABASTECE",IF($K53="Agotado","🔴 Agotado — reabastece",IF($K53="Stock bajo","🟠 Stock bajo","✅ Ok"))))</f>
      </c>
    </row>
    <row r="54">
      <c r="A54" s="20"/>
      <c r="B54" s="20"/>
      <c r="C54" s="20"/>
      <c r="D54" s="20"/>
      <c r="E54" s="21"/>
      <c r="F54" s="16">
        <f>IF($A54="","",IFERROR(SUMIF('Compras'!$B:$B,$A54,'Compras'!$F:$F)/SUMIF('Compras'!$B:$B,$A54,'Compras'!$D:$D),0))</f>
      </c>
      <c r="G54" s="17">
        <f>IF($A54="","",SUMIF('Compras'!$B:$B,$A54,'Compras'!$D:$D)+SUMIF('Traslados'!$H:$H,$A54&amp;"|Casa",'Traslados'!$D:$D)-SUMIF('Traslados'!$G:$G,$A54&amp;"|Casa",'Traslados'!$D:$D)-SUMIF('Ventas'!$M:$M,$A54&amp;"|Casa",'Ventas'!$F:$F)+SUMIF('Ajustes'!$H:$H,$A54&amp;"|Casa",'Ajustes'!$D:$D))</f>
      </c>
      <c r="H54" s="17">
        <f>IF($A54="","",SUMIF('Traslados'!$H:$H,$A54&amp;"|Mercado Libre",'Traslados'!$D:$D)-SUMIF('Traslados'!$G:$G,$A54&amp;"|Mercado Libre",'Traslados'!$D:$D)-SUMIF('Ventas'!$M:$M,$A54&amp;"|Mercado Libre",'Ventas'!$F:$F)+SUMIF('Ajustes'!$H:$H,$A54&amp;"|Mercado Libre",'Ajustes'!$D:$D))</f>
      </c>
      <c r="I54" s="17">
        <f>IF($A54="","",$G54+$H54)</f>
      </c>
      <c r="J54" s="16">
        <f>IF($A54="","",$I54*$F54)</f>
      </c>
      <c r="K54" s="19">
        <f>IF($A54="","",IF($I54&lt;=0,"Agotado",IF($I54&lt;=$E54,"Stock bajo","Disponible")))</f>
      </c>
      <c r="L54" s="17">
        <f>IF($A54="","",IFERROR(VLOOKUP($C54,'Config'!$D$2:$E$30,2,FALSE),0))</f>
      </c>
      <c r="M54" s="20"/>
      <c r="N54" s="22"/>
      <c r="O54" s="22"/>
      <c r="P54" s="17">
        <f>IF(OR($A54="",$D54&lt;&gt;"Activo"),"",SUMPRODUCT(($C$2:$C$201=$C54)*($D$2:$D$201="Activo")*(($S$2:$S$201&lt;$S54)+(($S$2:$S$201=$S54)*($B$2:$B$201&lt;$B54))))+1)</f>
      </c>
      <c r="Q54" s="19">
        <f>IF($P54="","",$C54&amp;"|"&amp;$P54)</f>
      </c>
      <c r="R54" s="20"/>
      <c r="S54" s="17">
        <f>IF($A54="","",IFERROR(VALUE(TRIM(LEFT($R54,FIND("x",LOWER($R54))-1)))*VALUE(TRIM(MID($R54,FIND("x",LOWER($R54))+1,20))),0))</f>
      </c>
      <c r="T54" s="17">
        <f>IF(OR($A54="",$D54&lt;&gt;"Activo"),"",SUMPRODUCT(($D$2:$D$201="Activo")*(($C$2:$C$201&lt;$C54)+(($C$2:$C$201=$C54)*($S$2:$S$201&lt;$S54))+(($C$2:$C$201=$C54)*($S$2:$S$201=$S54)*($B$2:$B$201&lt;$B54))))+1)</f>
      </c>
      <c r="U54" s="19">
        <f>IF($T54="","","TODAS|"&amp;$T54)</f>
      </c>
      <c r="V54" s="14">
        <f>IF($A54="","",IFERROR(IF(COUNTIF('Compras'!$B:$B,$A54)=0,"",MINIFS('Compras'!$A:$A,'Compras'!$B:$B,$A54)),""))</f>
      </c>
      <c r="W54" s="17">
        <f>IF(OR($A54="",$V54=""),"",TODAY()-$V54)</f>
      </c>
      <c r="X54" s="17">
        <f>IF($A54="","",SUMIF('Ventas'!$D:$D,$A54,'Ventas'!$F:$F))</f>
      </c>
      <c r="Y54" s="19">
        <f>IF($A54="","",IF(AND($X54&gt;=3,$W54&lt;&gt;"",$W54&lt;=15),"🔥 Se vende rápido — REABASTECE",IF($K54="Agotado","🔴 Agotado — reabastece",IF($K54="Stock bajo","🟠 Stock bajo","✅ Ok"))))</f>
      </c>
    </row>
    <row r="55">
      <c r="A55" s="20"/>
      <c r="B55" s="20"/>
      <c r="C55" s="20"/>
      <c r="D55" s="20"/>
      <c r="E55" s="21"/>
      <c r="F55" s="16">
        <f>IF($A55="","",IFERROR(SUMIF('Compras'!$B:$B,$A55,'Compras'!$F:$F)/SUMIF('Compras'!$B:$B,$A55,'Compras'!$D:$D),0))</f>
      </c>
      <c r="G55" s="17">
        <f>IF($A55="","",SUMIF('Compras'!$B:$B,$A55,'Compras'!$D:$D)+SUMIF('Traslados'!$H:$H,$A55&amp;"|Casa",'Traslados'!$D:$D)-SUMIF('Traslados'!$G:$G,$A55&amp;"|Casa",'Traslados'!$D:$D)-SUMIF('Ventas'!$M:$M,$A55&amp;"|Casa",'Ventas'!$F:$F)+SUMIF('Ajustes'!$H:$H,$A55&amp;"|Casa",'Ajustes'!$D:$D))</f>
      </c>
      <c r="H55" s="17">
        <f>IF($A55="","",SUMIF('Traslados'!$H:$H,$A55&amp;"|Mercado Libre",'Traslados'!$D:$D)-SUMIF('Traslados'!$G:$G,$A55&amp;"|Mercado Libre",'Traslados'!$D:$D)-SUMIF('Ventas'!$M:$M,$A55&amp;"|Mercado Libre",'Ventas'!$F:$F)+SUMIF('Ajustes'!$H:$H,$A55&amp;"|Mercado Libre",'Ajustes'!$D:$D))</f>
      </c>
      <c r="I55" s="17">
        <f>IF($A55="","",$G55+$H55)</f>
      </c>
      <c r="J55" s="16">
        <f>IF($A55="","",$I55*$F55)</f>
      </c>
      <c r="K55" s="19">
        <f>IF($A55="","",IF($I55&lt;=0,"Agotado",IF($I55&lt;=$E55,"Stock bajo","Disponible")))</f>
      </c>
      <c r="L55" s="17">
        <f>IF($A55="","",IFERROR(VLOOKUP($C55,'Config'!$D$2:$E$30,2,FALSE),0))</f>
      </c>
      <c r="M55" s="20"/>
      <c r="N55" s="22"/>
      <c r="O55" s="22"/>
      <c r="P55" s="17">
        <f>IF(OR($A55="",$D55&lt;&gt;"Activo"),"",SUMPRODUCT(($C$2:$C$201=$C55)*($D$2:$D$201="Activo")*(($S$2:$S$201&lt;$S55)+(($S$2:$S$201=$S55)*($B$2:$B$201&lt;$B55))))+1)</f>
      </c>
      <c r="Q55" s="19">
        <f>IF($P55="","",$C55&amp;"|"&amp;$P55)</f>
      </c>
      <c r="R55" s="20"/>
      <c r="S55" s="17">
        <f>IF($A55="","",IFERROR(VALUE(TRIM(LEFT($R55,FIND("x",LOWER($R55))-1)))*VALUE(TRIM(MID($R55,FIND("x",LOWER($R55))+1,20))),0))</f>
      </c>
      <c r="T55" s="17">
        <f>IF(OR($A55="",$D55&lt;&gt;"Activo"),"",SUMPRODUCT(($D$2:$D$201="Activo")*(($C$2:$C$201&lt;$C55)+(($C$2:$C$201=$C55)*($S$2:$S$201&lt;$S55))+(($C$2:$C$201=$C55)*($S$2:$S$201=$S55)*($B$2:$B$201&lt;$B55))))+1)</f>
      </c>
      <c r="U55" s="19">
        <f>IF($T55="","","TODAS|"&amp;$T55)</f>
      </c>
      <c r="V55" s="14">
        <f>IF($A55="","",IFERROR(IF(COUNTIF('Compras'!$B:$B,$A55)=0,"",MINIFS('Compras'!$A:$A,'Compras'!$B:$B,$A55)),""))</f>
      </c>
      <c r="W55" s="17">
        <f>IF(OR($A55="",$V55=""),"",TODAY()-$V55)</f>
      </c>
      <c r="X55" s="17">
        <f>IF($A55="","",SUMIF('Ventas'!$D:$D,$A55,'Ventas'!$F:$F))</f>
      </c>
      <c r="Y55" s="19">
        <f>IF($A55="","",IF(AND($X55&gt;=3,$W55&lt;&gt;"",$W55&lt;=15),"🔥 Se vende rápido — REABASTECE",IF($K55="Agotado","🔴 Agotado — reabastece",IF($K55="Stock bajo","🟠 Stock bajo","✅ Ok"))))</f>
      </c>
    </row>
    <row r="56">
      <c r="A56" s="20"/>
      <c r="B56" s="20"/>
      <c r="C56" s="20"/>
      <c r="D56" s="20"/>
      <c r="E56" s="21"/>
      <c r="F56" s="16">
        <f>IF($A56="","",IFERROR(SUMIF('Compras'!$B:$B,$A56,'Compras'!$F:$F)/SUMIF('Compras'!$B:$B,$A56,'Compras'!$D:$D),0))</f>
      </c>
      <c r="G56" s="17">
        <f>IF($A56="","",SUMIF('Compras'!$B:$B,$A56,'Compras'!$D:$D)+SUMIF('Traslados'!$H:$H,$A56&amp;"|Casa",'Traslados'!$D:$D)-SUMIF('Traslados'!$G:$G,$A56&amp;"|Casa",'Traslados'!$D:$D)-SUMIF('Ventas'!$M:$M,$A56&amp;"|Casa",'Ventas'!$F:$F)+SUMIF('Ajustes'!$H:$H,$A56&amp;"|Casa",'Ajustes'!$D:$D))</f>
      </c>
      <c r="H56" s="17">
        <f>IF($A56="","",SUMIF('Traslados'!$H:$H,$A56&amp;"|Mercado Libre",'Traslados'!$D:$D)-SUMIF('Traslados'!$G:$G,$A56&amp;"|Mercado Libre",'Traslados'!$D:$D)-SUMIF('Ventas'!$M:$M,$A56&amp;"|Mercado Libre",'Ventas'!$F:$F)+SUMIF('Ajustes'!$H:$H,$A56&amp;"|Mercado Libre",'Ajustes'!$D:$D))</f>
      </c>
      <c r="I56" s="17">
        <f>IF($A56="","",$G56+$H56)</f>
      </c>
      <c r="J56" s="16">
        <f>IF($A56="","",$I56*$F56)</f>
      </c>
      <c r="K56" s="19">
        <f>IF($A56="","",IF($I56&lt;=0,"Agotado",IF($I56&lt;=$E56,"Stock bajo","Disponible")))</f>
      </c>
      <c r="L56" s="17">
        <f>IF($A56="","",IFERROR(VLOOKUP($C56,'Config'!$D$2:$E$30,2,FALSE),0))</f>
      </c>
      <c r="M56" s="20"/>
      <c r="N56" s="22"/>
      <c r="O56" s="22"/>
      <c r="P56" s="17">
        <f>IF(OR($A56="",$D56&lt;&gt;"Activo"),"",SUMPRODUCT(($C$2:$C$201=$C56)*($D$2:$D$201="Activo")*(($S$2:$S$201&lt;$S56)+(($S$2:$S$201=$S56)*($B$2:$B$201&lt;$B56))))+1)</f>
      </c>
      <c r="Q56" s="19">
        <f>IF($P56="","",$C56&amp;"|"&amp;$P56)</f>
      </c>
      <c r="R56" s="20"/>
      <c r="S56" s="17">
        <f>IF($A56="","",IFERROR(VALUE(TRIM(LEFT($R56,FIND("x",LOWER($R56))-1)))*VALUE(TRIM(MID($R56,FIND("x",LOWER($R56))+1,20))),0))</f>
      </c>
      <c r="T56" s="17">
        <f>IF(OR($A56="",$D56&lt;&gt;"Activo"),"",SUMPRODUCT(($D$2:$D$201="Activo")*(($C$2:$C$201&lt;$C56)+(($C$2:$C$201=$C56)*($S$2:$S$201&lt;$S56))+(($C$2:$C$201=$C56)*($S$2:$S$201=$S56)*($B$2:$B$201&lt;$B56))))+1)</f>
      </c>
      <c r="U56" s="19">
        <f>IF($T56="","","TODAS|"&amp;$T56)</f>
      </c>
      <c r="V56" s="14">
        <f>IF($A56="","",IFERROR(IF(COUNTIF('Compras'!$B:$B,$A56)=0,"",MINIFS('Compras'!$A:$A,'Compras'!$B:$B,$A56)),""))</f>
      </c>
      <c r="W56" s="17">
        <f>IF(OR($A56="",$V56=""),"",TODAY()-$V56)</f>
      </c>
      <c r="X56" s="17">
        <f>IF($A56="","",SUMIF('Ventas'!$D:$D,$A56,'Ventas'!$F:$F))</f>
      </c>
      <c r="Y56" s="19">
        <f>IF($A56="","",IF(AND($X56&gt;=3,$W56&lt;&gt;"",$W56&lt;=15),"🔥 Se vende rápido — REABASTECE",IF($K56="Agotado","🔴 Agotado — reabastece",IF($K56="Stock bajo","🟠 Stock bajo","✅ Ok"))))</f>
      </c>
    </row>
    <row r="57">
      <c r="A57" s="20"/>
      <c r="B57" s="20"/>
      <c r="C57" s="20"/>
      <c r="D57" s="20"/>
      <c r="E57" s="21"/>
      <c r="F57" s="16">
        <f>IF($A57="","",IFERROR(SUMIF('Compras'!$B:$B,$A57,'Compras'!$F:$F)/SUMIF('Compras'!$B:$B,$A57,'Compras'!$D:$D),0))</f>
      </c>
      <c r="G57" s="17">
        <f>IF($A57="","",SUMIF('Compras'!$B:$B,$A57,'Compras'!$D:$D)+SUMIF('Traslados'!$H:$H,$A57&amp;"|Casa",'Traslados'!$D:$D)-SUMIF('Traslados'!$G:$G,$A57&amp;"|Casa",'Traslados'!$D:$D)-SUMIF('Ventas'!$M:$M,$A57&amp;"|Casa",'Ventas'!$F:$F)+SUMIF('Ajustes'!$H:$H,$A57&amp;"|Casa",'Ajustes'!$D:$D))</f>
      </c>
      <c r="H57" s="17">
        <f>IF($A57="","",SUMIF('Traslados'!$H:$H,$A57&amp;"|Mercado Libre",'Traslados'!$D:$D)-SUMIF('Traslados'!$G:$G,$A57&amp;"|Mercado Libre",'Traslados'!$D:$D)-SUMIF('Ventas'!$M:$M,$A57&amp;"|Mercado Libre",'Ventas'!$F:$F)+SUMIF('Ajustes'!$H:$H,$A57&amp;"|Mercado Libre",'Ajustes'!$D:$D))</f>
      </c>
      <c r="I57" s="17">
        <f>IF($A57="","",$G57+$H57)</f>
      </c>
      <c r="J57" s="16">
        <f>IF($A57="","",$I57*$F57)</f>
      </c>
      <c r="K57" s="19">
        <f>IF($A57="","",IF($I57&lt;=0,"Agotado",IF($I57&lt;=$E57,"Stock bajo","Disponible")))</f>
      </c>
      <c r="L57" s="17">
        <f>IF($A57="","",IFERROR(VLOOKUP($C57,'Config'!$D$2:$E$30,2,FALSE),0))</f>
      </c>
      <c r="M57" s="20"/>
      <c r="N57" s="22"/>
      <c r="O57" s="22"/>
      <c r="P57" s="17">
        <f>IF(OR($A57="",$D57&lt;&gt;"Activo"),"",SUMPRODUCT(($C$2:$C$201=$C57)*($D$2:$D$201="Activo")*(($S$2:$S$201&lt;$S57)+(($S$2:$S$201=$S57)*($B$2:$B$201&lt;$B57))))+1)</f>
      </c>
      <c r="Q57" s="19">
        <f>IF($P57="","",$C57&amp;"|"&amp;$P57)</f>
      </c>
      <c r="R57" s="20"/>
      <c r="S57" s="17">
        <f>IF($A57="","",IFERROR(VALUE(TRIM(LEFT($R57,FIND("x",LOWER($R57))-1)))*VALUE(TRIM(MID($R57,FIND("x",LOWER($R57))+1,20))),0))</f>
      </c>
      <c r="T57" s="17">
        <f>IF(OR($A57="",$D57&lt;&gt;"Activo"),"",SUMPRODUCT(($D$2:$D$201="Activo")*(($C$2:$C$201&lt;$C57)+(($C$2:$C$201=$C57)*($S$2:$S$201&lt;$S57))+(($C$2:$C$201=$C57)*($S$2:$S$201=$S57)*($B$2:$B$201&lt;$B57))))+1)</f>
      </c>
      <c r="U57" s="19">
        <f>IF($T57="","","TODAS|"&amp;$T57)</f>
      </c>
      <c r="V57" s="14">
        <f>IF($A57="","",IFERROR(IF(COUNTIF('Compras'!$B:$B,$A57)=0,"",MINIFS('Compras'!$A:$A,'Compras'!$B:$B,$A57)),""))</f>
      </c>
      <c r="W57" s="17">
        <f>IF(OR($A57="",$V57=""),"",TODAY()-$V57)</f>
      </c>
      <c r="X57" s="17">
        <f>IF($A57="","",SUMIF('Ventas'!$D:$D,$A57,'Ventas'!$F:$F))</f>
      </c>
      <c r="Y57" s="19">
        <f>IF($A57="","",IF(AND($X57&gt;=3,$W57&lt;&gt;"",$W57&lt;=15),"🔥 Se vende rápido — REABASTECE",IF($K57="Agotado","🔴 Agotado — reabastece",IF($K57="Stock bajo","🟠 Stock bajo","✅ Ok"))))</f>
      </c>
    </row>
    <row r="58">
      <c r="A58" s="20"/>
      <c r="B58" s="20"/>
      <c r="C58" s="20"/>
      <c r="D58" s="20"/>
      <c r="E58" s="21"/>
      <c r="F58" s="16">
        <f>IF($A58="","",IFERROR(SUMIF('Compras'!$B:$B,$A58,'Compras'!$F:$F)/SUMIF('Compras'!$B:$B,$A58,'Compras'!$D:$D),0))</f>
      </c>
      <c r="G58" s="17">
        <f>IF($A58="","",SUMIF('Compras'!$B:$B,$A58,'Compras'!$D:$D)+SUMIF('Traslados'!$H:$H,$A58&amp;"|Casa",'Traslados'!$D:$D)-SUMIF('Traslados'!$G:$G,$A58&amp;"|Casa",'Traslados'!$D:$D)-SUMIF('Ventas'!$M:$M,$A58&amp;"|Casa",'Ventas'!$F:$F)+SUMIF('Ajustes'!$H:$H,$A58&amp;"|Casa",'Ajustes'!$D:$D))</f>
      </c>
      <c r="H58" s="17">
        <f>IF($A58="","",SUMIF('Traslados'!$H:$H,$A58&amp;"|Mercado Libre",'Traslados'!$D:$D)-SUMIF('Traslados'!$G:$G,$A58&amp;"|Mercado Libre",'Traslados'!$D:$D)-SUMIF('Ventas'!$M:$M,$A58&amp;"|Mercado Libre",'Ventas'!$F:$F)+SUMIF('Ajustes'!$H:$H,$A58&amp;"|Mercado Libre",'Ajustes'!$D:$D))</f>
      </c>
      <c r="I58" s="17">
        <f>IF($A58="","",$G58+$H58)</f>
      </c>
      <c r="J58" s="16">
        <f>IF($A58="","",$I58*$F58)</f>
      </c>
      <c r="K58" s="19">
        <f>IF($A58="","",IF($I58&lt;=0,"Agotado",IF($I58&lt;=$E58,"Stock bajo","Disponible")))</f>
      </c>
      <c r="L58" s="17">
        <f>IF($A58="","",IFERROR(VLOOKUP($C58,'Config'!$D$2:$E$30,2,FALSE),0))</f>
      </c>
      <c r="M58" s="20"/>
      <c r="N58" s="22"/>
      <c r="O58" s="22"/>
      <c r="P58" s="17">
        <f>IF(OR($A58="",$D58&lt;&gt;"Activo"),"",SUMPRODUCT(($C$2:$C$201=$C58)*($D$2:$D$201="Activo")*(($S$2:$S$201&lt;$S58)+(($S$2:$S$201=$S58)*($B$2:$B$201&lt;$B58))))+1)</f>
      </c>
      <c r="Q58" s="19">
        <f>IF($P58="","",$C58&amp;"|"&amp;$P58)</f>
      </c>
      <c r="R58" s="20"/>
      <c r="S58" s="17">
        <f>IF($A58="","",IFERROR(VALUE(TRIM(LEFT($R58,FIND("x",LOWER($R58))-1)))*VALUE(TRIM(MID($R58,FIND("x",LOWER($R58))+1,20))),0))</f>
      </c>
      <c r="T58" s="17">
        <f>IF(OR($A58="",$D58&lt;&gt;"Activo"),"",SUMPRODUCT(($D$2:$D$201="Activo")*(($C$2:$C$201&lt;$C58)+(($C$2:$C$201=$C58)*($S$2:$S$201&lt;$S58))+(($C$2:$C$201=$C58)*($S$2:$S$201=$S58)*($B$2:$B$201&lt;$B58))))+1)</f>
      </c>
      <c r="U58" s="19">
        <f>IF($T58="","","TODAS|"&amp;$T58)</f>
      </c>
      <c r="V58" s="14">
        <f>IF($A58="","",IFERROR(IF(COUNTIF('Compras'!$B:$B,$A58)=0,"",MINIFS('Compras'!$A:$A,'Compras'!$B:$B,$A58)),""))</f>
      </c>
      <c r="W58" s="17">
        <f>IF(OR($A58="",$V58=""),"",TODAY()-$V58)</f>
      </c>
      <c r="X58" s="17">
        <f>IF($A58="","",SUMIF('Ventas'!$D:$D,$A58,'Ventas'!$F:$F))</f>
      </c>
      <c r="Y58" s="19">
        <f>IF($A58="","",IF(AND($X58&gt;=3,$W58&lt;&gt;"",$W58&lt;=15),"🔥 Se vende rápido — REABASTECE",IF($K58="Agotado","🔴 Agotado — reabastece",IF($K58="Stock bajo","🟠 Stock bajo","✅ Ok"))))</f>
      </c>
    </row>
    <row r="59">
      <c r="A59" s="20"/>
      <c r="B59" s="20"/>
      <c r="C59" s="20"/>
      <c r="D59" s="20"/>
      <c r="E59" s="21"/>
      <c r="F59" s="16">
        <f>IF($A59="","",IFERROR(SUMIF('Compras'!$B:$B,$A59,'Compras'!$F:$F)/SUMIF('Compras'!$B:$B,$A59,'Compras'!$D:$D),0))</f>
      </c>
      <c r="G59" s="17">
        <f>IF($A59="","",SUMIF('Compras'!$B:$B,$A59,'Compras'!$D:$D)+SUMIF('Traslados'!$H:$H,$A59&amp;"|Casa",'Traslados'!$D:$D)-SUMIF('Traslados'!$G:$G,$A59&amp;"|Casa",'Traslados'!$D:$D)-SUMIF('Ventas'!$M:$M,$A59&amp;"|Casa",'Ventas'!$F:$F)+SUMIF('Ajustes'!$H:$H,$A59&amp;"|Casa",'Ajustes'!$D:$D))</f>
      </c>
      <c r="H59" s="17">
        <f>IF($A59="","",SUMIF('Traslados'!$H:$H,$A59&amp;"|Mercado Libre",'Traslados'!$D:$D)-SUMIF('Traslados'!$G:$G,$A59&amp;"|Mercado Libre",'Traslados'!$D:$D)-SUMIF('Ventas'!$M:$M,$A59&amp;"|Mercado Libre",'Ventas'!$F:$F)+SUMIF('Ajustes'!$H:$H,$A59&amp;"|Mercado Libre",'Ajustes'!$D:$D))</f>
      </c>
      <c r="I59" s="17">
        <f>IF($A59="","",$G59+$H59)</f>
      </c>
      <c r="J59" s="16">
        <f>IF($A59="","",$I59*$F59)</f>
      </c>
      <c r="K59" s="19">
        <f>IF($A59="","",IF($I59&lt;=0,"Agotado",IF($I59&lt;=$E59,"Stock bajo","Disponible")))</f>
      </c>
      <c r="L59" s="17">
        <f>IF($A59="","",IFERROR(VLOOKUP($C59,'Config'!$D$2:$E$30,2,FALSE),0))</f>
      </c>
      <c r="M59" s="20"/>
      <c r="N59" s="22"/>
      <c r="O59" s="22"/>
      <c r="P59" s="17">
        <f>IF(OR($A59="",$D59&lt;&gt;"Activo"),"",SUMPRODUCT(($C$2:$C$201=$C59)*($D$2:$D$201="Activo")*(($S$2:$S$201&lt;$S59)+(($S$2:$S$201=$S59)*($B$2:$B$201&lt;$B59))))+1)</f>
      </c>
      <c r="Q59" s="19">
        <f>IF($P59="","",$C59&amp;"|"&amp;$P59)</f>
      </c>
      <c r="R59" s="20"/>
      <c r="S59" s="17">
        <f>IF($A59="","",IFERROR(VALUE(TRIM(LEFT($R59,FIND("x",LOWER($R59))-1)))*VALUE(TRIM(MID($R59,FIND("x",LOWER($R59))+1,20))),0))</f>
      </c>
      <c r="T59" s="17">
        <f>IF(OR($A59="",$D59&lt;&gt;"Activo"),"",SUMPRODUCT(($D$2:$D$201="Activo")*(($C$2:$C$201&lt;$C59)+(($C$2:$C$201=$C59)*($S$2:$S$201&lt;$S59))+(($C$2:$C$201=$C59)*($S$2:$S$201=$S59)*($B$2:$B$201&lt;$B59))))+1)</f>
      </c>
      <c r="U59" s="19">
        <f>IF($T59="","","TODAS|"&amp;$T59)</f>
      </c>
      <c r="V59" s="14">
        <f>IF($A59="","",IFERROR(IF(COUNTIF('Compras'!$B:$B,$A59)=0,"",MINIFS('Compras'!$A:$A,'Compras'!$B:$B,$A59)),""))</f>
      </c>
      <c r="W59" s="17">
        <f>IF(OR($A59="",$V59=""),"",TODAY()-$V59)</f>
      </c>
      <c r="X59" s="17">
        <f>IF($A59="","",SUMIF('Ventas'!$D:$D,$A59,'Ventas'!$F:$F))</f>
      </c>
      <c r="Y59" s="19">
        <f>IF($A59="","",IF(AND($X59&gt;=3,$W59&lt;&gt;"",$W59&lt;=15),"🔥 Se vende rápido — REABASTECE",IF($K59="Agotado","🔴 Agotado — reabastece",IF($K59="Stock bajo","🟠 Stock bajo","✅ Ok"))))</f>
      </c>
    </row>
    <row r="60">
      <c r="A60" s="20"/>
      <c r="B60" s="20"/>
      <c r="C60" s="20"/>
      <c r="D60" s="20"/>
      <c r="E60" s="21"/>
      <c r="F60" s="16">
        <f>IF($A60="","",IFERROR(SUMIF('Compras'!$B:$B,$A60,'Compras'!$F:$F)/SUMIF('Compras'!$B:$B,$A60,'Compras'!$D:$D),0))</f>
      </c>
      <c r="G60" s="17">
        <f>IF($A60="","",SUMIF('Compras'!$B:$B,$A60,'Compras'!$D:$D)+SUMIF('Traslados'!$H:$H,$A60&amp;"|Casa",'Traslados'!$D:$D)-SUMIF('Traslados'!$G:$G,$A60&amp;"|Casa",'Traslados'!$D:$D)-SUMIF('Ventas'!$M:$M,$A60&amp;"|Casa",'Ventas'!$F:$F)+SUMIF('Ajustes'!$H:$H,$A60&amp;"|Casa",'Ajustes'!$D:$D))</f>
      </c>
      <c r="H60" s="17">
        <f>IF($A60="","",SUMIF('Traslados'!$H:$H,$A60&amp;"|Mercado Libre",'Traslados'!$D:$D)-SUMIF('Traslados'!$G:$G,$A60&amp;"|Mercado Libre",'Traslados'!$D:$D)-SUMIF('Ventas'!$M:$M,$A60&amp;"|Mercado Libre",'Ventas'!$F:$F)+SUMIF('Ajustes'!$H:$H,$A60&amp;"|Mercado Libre",'Ajustes'!$D:$D))</f>
      </c>
      <c r="I60" s="17">
        <f>IF($A60="","",$G60+$H60)</f>
      </c>
      <c r="J60" s="16">
        <f>IF($A60="","",$I60*$F60)</f>
      </c>
      <c r="K60" s="19">
        <f>IF($A60="","",IF($I60&lt;=0,"Agotado",IF($I60&lt;=$E60,"Stock bajo","Disponible")))</f>
      </c>
      <c r="L60" s="17">
        <f>IF($A60="","",IFERROR(VLOOKUP($C60,'Config'!$D$2:$E$30,2,FALSE),0))</f>
      </c>
      <c r="M60" s="20"/>
      <c r="N60" s="22"/>
      <c r="O60" s="22"/>
      <c r="P60" s="17">
        <f>IF(OR($A60="",$D60&lt;&gt;"Activo"),"",SUMPRODUCT(($C$2:$C$201=$C60)*($D$2:$D$201="Activo")*(($S$2:$S$201&lt;$S60)+(($S$2:$S$201=$S60)*($B$2:$B$201&lt;$B60))))+1)</f>
      </c>
      <c r="Q60" s="19">
        <f>IF($P60="","",$C60&amp;"|"&amp;$P60)</f>
      </c>
      <c r="R60" s="20"/>
      <c r="S60" s="17">
        <f>IF($A60="","",IFERROR(VALUE(TRIM(LEFT($R60,FIND("x",LOWER($R60))-1)))*VALUE(TRIM(MID($R60,FIND("x",LOWER($R60))+1,20))),0))</f>
      </c>
      <c r="T60" s="17">
        <f>IF(OR($A60="",$D60&lt;&gt;"Activo"),"",SUMPRODUCT(($D$2:$D$201="Activo")*(($C$2:$C$201&lt;$C60)+(($C$2:$C$201=$C60)*($S$2:$S$201&lt;$S60))+(($C$2:$C$201=$C60)*($S$2:$S$201=$S60)*($B$2:$B$201&lt;$B60))))+1)</f>
      </c>
      <c r="U60" s="19">
        <f>IF($T60="","","TODAS|"&amp;$T60)</f>
      </c>
      <c r="V60" s="14">
        <f>IF($A60="","",IFERROR(IF(COUNTIF('Compras'!$B:$B,$A60)=0,"",MINIFS('Compras'!$A:$A,'Compras'!$B:$B,$A60)),""))</f>
      </c>
      <c r="W60" s="17">
        <f>IF(OR($A60="",$V60=""),"",TODAY()-$V60)</f>
      </c>
      <c r="X60" s="17">
        <f>IF($A60="","",SUMIF('Ventas'!$D:$D,$A60,'Ventas'!$F:$F))</f>
      </c>
      <c r="Y60" s="19">
        <f>IF($A60="","",IF(AND($X60&gt;=3,$W60&lt;&gt;"",$W60&lt;=15),"🔥 Se vende rápido — REABASTECE",IF($K60="Agotado","🔴 Agotado — reabastece",IF($K60="Stock bajo","🟠 Stock bajo","✅ Ok"))))</f>
      </c>
    </row>
    <row r="61">
      <c r="A61" s="20"/>
      <c r="B61" s="20"/>
      <c r="C61" s="20"/>
      <c r="D61" s="20"/>
      <c r="E61" s="21"/>
      <c r="F61" s="16">
        <f>IF($A61="","",IFERROR(SUMIF('Compras'!$B:$B,$A61,'Compras'!$F:$F)/SUMIF('Compras'!$B:$B,$A61,'Compras'!$D:$D),0))</f>
      </c>
      <c r="G61" s="17">
        <f>IF($A61="","",SUMIF('Compras'!$B:$B,$A61,'Compras'!$D:$D)+SUMIF('Traslados'!$H:$H,$A61&amp;"|Casa",'Traslados'!$D:$D)-SUMIF('Traslados'!$G:$G,$A61&amp;"|Casa",'Traslados'!$D:$D)-SUMIF('Ventas'!$M:$M,$A61&amp;"|Casa",'Ventas'!$F:$F)+SUMIF('Ajustes'!$H:$H,$A61&amp;"|Casa",'Ajustes'!$D:$D))</f>
      </c>
      <c r="H61" s="17">
        <f>IF($A61="","",SUMIF('Traslados'!$H:$H,$A61&amp;"|Mercado Libre",'Traslados'!$D:$D)-SUMIF('Traslados'!$G:$G,$A61&amp;"|Mercado Libre",'Traslados'!$D:$D)-SUMIF('Ventas'!$M:$M,$A61&amp;"|Mercado Libre",'Ventas'!$F:$F)+SUMIF('Ajustes'!$H:$H,$A61&amp;"|Mercado Libre",'Ajustes'!$D:$D))</f>
      </c>
      <c r="I61" s="17">
        <f>IF($A61="","",$G61+$H61)</f>
      </c>
      <c r="J61" s="16">
        <f>IF($A61="","",$I61*$F61)</f>
      </c>
      <c r="K61" s="19">
        <f>IF($A61="","",IF($I61&lt;=0,"Agotado",IF($I61&lt;=$E61,"Stock bajo","Disponible")))</f>
      </c>
      <c r="L61" s="17">
        <f>IF($A61="","",IFERROR(VLOOKUP($C61,'Config'!$D$2:$E$30,2,FALSE),0))</f>
      </c>
      <c r="M61" s="20"/>
      <c r="N61" s="22"/>
      <c r="O61" s="22"/>
      <c r="P61" s="17">
        <f>IF(OR($A61="",$D61&lt;&gt;"Activo"),"",SUMPRODUCT(($C$2:$C$201=$C61)*($D$2:$D$201="Activo")*(($S$2:$S$201&lt;$S61)+(($S$2:$S$201=$S61)*($B$2:$B$201&lt;$B61))))+1)</f>
      </c>
      <c r="Q61" s="19">
        <f>IF($P61="","",$C61&amp;"|"&amp;$P61)</f>
      </c>
      <c r="R61" s="20"/>
      <c r="S61" s="17">
        <f>IF($A61="","",IFERROR(VALUE(TRIM(LEFT($R61,FIND("x",LOWER($R61))-1)))*VALUE(TRIM(MID($R61,FIND("x",LOWER($R61))+1,20))),0))</f>
      </c>
      <c r="T61" s="17">
        <f>IF(OR($A61="",$D61&lt;&gt;"Activo"),"",SUMPRODUCT(($D$2:$D$201="Activo")*(($C$2:$C$201&lt;$C61)+(($C$2:$C$201=$C61)*($S$2:$S$201&lt;$S61))+(($C$2:$C$201=$C61)*($S$2:$S$201=$S61)*($B$2:$B$201&lt;$B61))))+1)</f>
      </c>
      <c r="U61" s="19">
        <f>IF($T61="","","TODAS|"&amp;$T61)</f>
      </c>
      <c r="V61" s="14">
        <f>IF($A61="","",IFERROR(IF(COUNTIF('Compras'!$B:$B,$A61)=0,"",MINIFS('Compras'!$A:$A,'Compras'!$B:$B,$A61)),""))</f>
      </c>
      <c r="W61" s="17">
        <f>IF(OR($A61="",$V61=""),"",TODAY()-$V61)</f>
      </c>
      <c r="X61" s="17">
        <f>IF($A61="","",SUMIF('Ventas'!$D:$D,$A61,'Ventas'!$F:$F))</f>
      </c>
      <c r="Y61" s="19">
        <f>IF($A61="","",IF(AND($X61&gt;=3,$W61&lt;&gt;"",$W61&lt;=15),"🔥 Se vende rápido — REABASTECE",IF($K61="Agotado","🔴 Agotado — reabastece",IF($K61="Stock bajo","🟠 Stock bajo","✅ Ok"))))</f>
      </c>
    </row>
    <row r="62">
      <c r="A62" s="20"/>
      <c r="B62" s="20"/>
      <c r="C62" s="20"/>
      <c r="D62" s="20"/>
      <c r="E62" s="21"/>
      <c r="F62" s="16">
        <f>IF($A62="","",IFERROR(SUMIF('Compras'!$B:$B,$A62,'Compras'!$F:$F)/SUMIF('Compras'!$B:$B,$A62,'Compras'!$D:$D),0))</f>
      </c>
      <c r="G62" s="17">
        <f>IF($A62="","",SUMIF('Compras'!$B:$B,$A62,'Compras'!$D:$D)+SUMIF('Traslados'!$H:$H,$A62&amp;"|Casa",'Traslados'!$D:$D)-SUMIF('Traslados'!$G:$G,$A62&amp;"|Casa",'Traslados'!$D:$D)-SUMIF('Ventas'!$M:$M,$A62&amp;"|Casa",'Ventas'!$F:$F)+SUMIF('Ajustes'!$H:$H,$A62&amp;"|Casa",'Ajustes'!$D:$D))</f>
      </c>
      <c r="H62" s="17">
        <f>IF($A62="","",SUMIF('Traslados'!$H:$H,$A62&amp;"|Mercado Libre",'Traslados'!$D:$D)-SUMIF('Traslados'!$G:$G,$A62&amp;"|Mercado Libre",'Traslados'!$D:$D)-SUMIF('Ventas'!$M:$M,$A62&amp;"|Mercado Libre",'Ventas'!$F:$F)+SUMIF('Ajustes'!$H:$H,$A62&amp;"|Mercado Libre",'Ajustes'!$D:$D))</f>
      </c>
      <c r="I62" s="17">
        <f>IF($A62="","",$G62+$H62)</f>
      </c>
      <c r="J62" s="16">
        <f>IF($A62="","",$I62*$F62)</f>
      </c>
      <c r="K62" s="19">
        <f>IF($A62="","",IF($I62&lt;=0,"Agotado",IF($I62&lt;=$E62,"Stock bajo","Disponible")))</f>
      </c>
      <c r="L62" s="17">
        <f>IF($A62="","",IFERROR(VLOOKUP($C62,'Config'!$D$2:$E$30,2,FALSE),0))</f>
      </c>
      <c r="M62" s="20"/>
      <c r="N62" s="22"/>
      <c r="O62" s="22"/>
      <c r="P62" s="17">
        <f>IF(OR($A62="",$D62&lt;&gt;"Activo"),"",SUMPRODUCT(($C$2:$C$201=$C62)*($D$2:$D$201="Activo")*(($S$2:$S$201&lt;$S62)+(($S$2:$S$201=$S62)*($B$2:$B$201&lt;$B62))))+1)</f>
      </c>
      <c r="Q62" s="19">
        <f>IF($P62="","",$C62&amp;"|"&amp;$P62)</f>
      </c>
      <c r="R62" s="20"/>
      <c r="S62" s="17">
        <f>IF($A62="","",IFERROR(VALUE(TRIM(LEFT($R62,FIND("x",LOWER($R62))-1)))*VALUE(TRIM(MID($R62,FIND("x",LOWER($R62))+1,20))),0))</f>
      </c>
      <c r="T62" s="17">
        <f>IF(OR($A62="",$D62&lt;&gt;"Activo"),"",SUMPRODUCT(($D$2:$D$201="Activo")*(($C$2:$C$201&lt;$C62)+(($C$2:$C$201=$C62)*($S$2:$S$201&lt;$S62))+(($C$2:$C$201=$C62)*($S$2:$S$201=$S62)*($B$2:$B$201&lt;$B62))))+1)</f>
      </c>
      <c r="U62" s="19">
        <f>IF($T62="","","TODAS|"&amp;$T62)</f>
      </c>
      <c r="V62" s="14">
        <f>IF($A62="","",IFERROR(IF(COUNTIF('Compras'!$B:$B,$A62)=0,"",MINIFS('Compras'!$A:$A,'Compras'!$B:$B,$A62)),""))</f>
      </c>
      <c r="W62" s="17">
        <f>IF(OR($A62="",$V62=""),"",TODAY()-$V62)</f>
      </c>
      <c r="X62" s="17">
        <f>IF($A62="","",SUMIF('Ventas'!$D:$D,$A62,'Ventas'!$F:$F))</f>
      </c>
      <c r="Y62" s="19">
        <f>IF($A62="","",IF(AND($X62&gt;=3,$W62&lt;&gt;"",$W62&lt;=15),"🔥 Se vende rápido — REABASTECE",IF($K62="Agotado","🔴 Agotado — reabastece",IF($K62="Stock bajo","🟠 Stock bajo","✅ Ok"))))</f>
      </c>
    </row>
    <row r="63">
      <c r="A63" s="20"/>
      <c r="B63" s="20"/>
      <c r="C63" s="20"/>
      <c r="D63" s="20"/>
      <c r="E63" s="21"/>
      <c r="F63" s="16">
        <f>IF($A63="","",IFERROR(SUMIF('Compras'!$B:$B,$A63,'Compras'!$F:$F)/SUMIF('Compras'!$B:$B,$A63,'Compras'!$D:$D),0))</f>
      </c>
      <c r="G63" s="17">
        <f>IF($A63="","",SUMIF('Compras'!$B:$B,$A63,'Compras'!$D:$D)+SUMIF('Traslados'!$H:$H,$A63&amp;"|Casa",'Traslados'!$D:$D)-SUMIF('Traslados'!$G:$G,$A63&amp;"|Casa",'Traslados'!$D:$D)-SUMIF('Ventas'!$M:$M,$A63&amp;"|Casa",'Ventas'!$F:$F)+SUMIF('Ajustes'!$H:$H,$A63&amp;"|Casa",'Ajustes'!$D:$D))</f>
      </c>
      <c r="H63" s="17">
        <f>IF($A63="","",SUMIF('Traslados'!$H:$H,$A63&amp;"|Mercado Libre",'Traslados'!$D:$D)-SUMIF('Traslados'!$G:$G,$A63&amp;"|Mercado Libre",'Traslados'!$D:$D)-SUMIF('Ventas'!$M:$M,$A63&amp;"|Mercado Libre",'Ventas'!$F:$F)+SUMIF('Ajustes'!$H:$H,$A63&amp;"|Mercado Libre",'Ajustes'!$D:$D))</f>
      </c>
      <c r="I63" s="17">
        <f>IF($A63="","",$G63+$H63)</f>
      </c>
      <c r="J63" s="16">
        <f>IF($A63="","",$I63*$F63)</f>
      </c>
      <c r="K63" s="19">
        <f>IF($A63="","",IF($I63&lt;=0,"Agotado",IF($I63&lt;=$E63,"Stock bajo","Disponible")))</f>
      </c>
      <c r="L63" s="17">
        <f>IF($A63="","",IFERROR(VLOOKUP($C63,'Config'!$D$2:$E$30,2,FALSE),0))</f>
      </c>
      <c r="M63" s="20"/>
      <c r="N63" s="22"/>
      <c r="O63" s="22"/>
      <c r="P63" s="17">
        <f>IF(OR($A63="",$D63&lt;&gt;"Activo"),"",SUMPRODUCT(($C$2:$C$201=$C63)*($D$2:$D$201="Activo")*(($S$2:$S$201&lt;$S63)+(($S$2:$S$201=$S63)*($B$2:$B$201&lt;$B63))))+1)</f>
      </c>
      <c r="Q63" s="19">
        <f>IF($P63="","",$C63&amp;"|"&amp;$P63)</f>
      </c>
      <c r="R63" s="20"/>
      <c r="S63" s="17">
        <f>IF($A63="","",IFERROR(VALUE(TRIM(LEFT($R63,FIND("x",LOWER($R63))-1)))*VALUE(TRIM(MID($R63,FIND("x",LOWER($R63))+1,20))),0))</f>
      </c>
      <c r="T63" s="17">
        <f>IF(OR($A63="",$D63&lt;&gt;"Activo"),"",SUMPRODUCT(($D$2:$D$201="Activo")*(($C$2:$C$201&lt;$C63)+(($C$2:$C$201=$C63)*($S$2:$S$201&lt;$S63))+(($C$2:$C$201=$C63)*($S$2:$S$201=$S63)*($B$2:$B$201&lt;$B63))))+1)</f>
      </c>
      <c r="U63" s="19">
        <f>IF($T63="","","TODAS|"&amp;$T63)</f>
      </c>
      <c r="V63" s="14">
        <f>IF($A63="","",IFERROR(IF(COUNTIF('Compras'!$B:$B,$A63)=0,"",MINIFS('Compras'!$A:$A,'Compras'!$B:$B,$A63)),""))</f>
      </c>
      <c r="W63" s="17">
        <f>IF(OR($A63="",$V63=""),"",TODAY()-$V63)</f>
      </c>
      <c r="X63" s="17">
        <f>IF($A63="","",SUMIF('Ventas'!$D:$D,$A63,'Ventas'!$F:$F))</f>
      </c>
      <c r="Y63" s="19">
        <f>IF($A63="","",IF(AND($X63&gt;=3,$W63&lt;&gt;"",$W63&lt;=15),"🔥 Se vende rápido — REABASTECE",IF($K63="Agotado","🔴 Agotado — reabastece",IF($K63="Stock bajo","🟠 Stock bajo","✅ Ok"))))</f>
      </c>
    </row>
    <row r="64">
      <c r="A64" s="20"/>
      <c r="B64" s="20"/>
      <c r="C64" s="20"/>
      <c r="D64" s="20"/>
      <c r="E64" s="21"/>
      <c r="F64" s="16">
        <f>IF($A64="","",IFERROR(SUMIF('Compras'!$B:$B,$A64,'Compras'!$F:$F)/SUMIF('Compras'!$B:$B,$A64,'Compras'!$D:$D),0))</f>
      </c>
      <c r="G64" s="17">
        <f>IF($A64="","",SUMIF('Compras'!$B:$B,$A64,'Compras'!$D:$D)+SUMIF('Traslados'!$H:$H,$A64&amp;"|Casa",'Traslados'!$D:$D)-SUMIF('Traslados'!$G:$G,$A64&amp;"|Casa",'Traslados'!$D:$D)-SUMIF('Ventas'!$M:$M,$A64&amp;"|Casa",'Ventas'!$F:$F)+SUMIF('Ajustes'!$H:$H,$A64&amp;"|Casa",'Ajustes'!$D:$D))</f>
      </c>
      <c r="H64" s="17">
        <f>IF($A64="","",SUMIF('Traslados'!$H:$H,$A64&amp;"|Mercado Libre",'Traslados'!$D:$D)-SUMIF('Traslados'!$G:$G,$A64&amp;"|Mercado Libre",'Traslados'!$D:$D)-SUMIF('Ventas'!$M:$M,$A64&amp;"|Mercado Libre",'Ventas'!$F:$F)+SUMIF('Ajustes'!$H:$H,$A64&amp;"|Mercado Libre",'Ajustes'!$D:$D))</f>
      </c>
      <c r="I64" s="17">
        <f>IF($A64="","",$G64+$H64)</f>
      </c>
      <c r="J64" s="16">
        <f>IF($A64="","",$I64*$F64)</f>
      </c>
      <c r="K64" s="19">
        <f>IF($A64="","",IF($I64&lt;=0,"Agotado",IF($I64&lt;=$E64,"Stock bajo","Disponible")))</f>
      </c>
      <c r="L64" s="17">
        <f>IF($A64="","",IFERROR(VLOOKUP($C64,'Config'!$D$2:$E$30,2,FALSE),0))</f>
      </c>
      <c r="M64" s="20"/>
      <c r="N64" s="22"/>
      <c r="O64" s="22"/>
      <c r="P64" s="17">
        <f>IF(OR($A64="",$D64&lt;&gt;"Activo"),"",SUMPRODUCT(($C$2:$C$201=$C64)*($D$2:$D$201="Activo")*(($S$2:$S$201&lt;$S64)+(($S$2:$S$201=$S64)*($B$2:$B$201&lt;$B64))))+1)</f>
      </c>
      <c r="Q64" s="19">
        <f>IF($P64="","",$C64&amp;"|"&amp;$P64)</f>
      </c>
      <c r="R64" s="20"/>
      <c r="S64" s="17">
        <f>IF($A64="","",IFERROR(VALUE(TRIM(LEFT($R64,FIND("x",LOWER($R64))-1)))*VALUE(TRIM(MID($R64,FIND("x",LOWER($R64))+1,20))),0))</f>
      </c>
      <c r="T64" s="17">
        <f>IF(OR($A64="",$D64&lt;&gt;"Activo"),"",SUMPRODUCT(($D$2:$D$201="Activo")*(($C$2:$C$201&lt;$C64)+(($C$2:$C$201=$C64)*($S$2:$S$201&lt;$S64))+(($C$2:$C$201=$C64)*($S$2:$S$201=$S64)*($B$2:$B$201&lt;$B64))))+1)</f>
      </c>
      <c r="U64" s="19">
        <f>IF($T64="","","TODAS|"&amp;$T64)</f>
      </c>
      <c r="V64" s="14">
        <f>IF($A64="","",IFERROR(IF(COUNTIF('Compras'!$B:$B,$A64)=0,"",MINIFS('Compras'!$A:$A,'Compras'!$B:$B,$A64)),""))</f>
      </c>
      <c r="W64" s="17">
        <f>IF(OR($A64="",$V64=""),"",TODAY()-$V64)</f>
      </c>
      <c r="X64" s="17">
        <f>IF($A64="","",SUMIF('Ventas'!$D:$D,$A64,'Ventas'!$F:$F))</f>
      </c>
      <c r="Y64" s="19">
        <f>IF($A64="","",IF(AND($X64&gt;=3,$W64&lt;&gt;"",$W64&lt;=15),"🔥 Se vende rápido — REABASTECE",IF($K64="Agotado","🔴 Agotado — reabastece",IF($K64="Stock bajo","🟠 Stock bajo","✅ Ok"))))</f>
      </c>
    </row>
    <row r="65">
      <c r="A65" s="20"/>
      <c r="B65" s="20"/>
      <c r="C65" s="20"/>
      <c r="D65" s="20"/>
      <c r="E65" s="21"/>
      <c r="F65" s="16">
        <f>IF($A65="","",IFERROR(SUMIF('Compras'!$B:$B,$A65,'Compras'!$F:$F)/SUMIF('Compras'!$B:$B,$A65,'Compras'!$D:$D),0))</f>
      </c>
      <c r="G65" s="17">
        <f>IF($A65="","",SUMIF('Compras'!$B:$B,$A65,'Compras'!$D:$D)+SUMIF('Traslados'!$H:$H,$A65&amp;"|Casa",'Traslados'!$D:$D)-SUMIF('Traslados'!$G:$G,$A65&amp;"|Casa",'Traslados'!$D:$D)-SUMIF('Ventas'!$M:$M,$A65&amp;"|Casa",'Ventas'!$F:$F)+SUMIF('Ajustes'!$H:$H,$A65&amp;"|Casa",'Ajustes'!$D:$D))</f>
      </c>
      <c r="H65" s="17">
        <f>IF($A65="","",SUMIF('Traslados'!$H:$H,$A65&amp;"|Mercado Libre",'Traslados'!$D:$D)-SUMIF('Traslados'!$G:$G,$A65&amp;"|Mercado Libre",'Traslados'!$D:$D)-SUMIF('Ventas'!$M:$M,$A65&amp;"|Mercado Libre",'Ventas'!$F:$F)+SUMIF('Ajustes'!$H:$H,$A65&amp;"|Mercado Libre",'Ajustes'!$D:$D))</f>
      </c>
      <c r="I65" s="17">
        <f>IF($A65="","",$G65+$H65)</f>
      </c>
      <c r="J65" s="16">
        <f>IF($A65="","",$I65*$F65)</f>
      </c>
      <c r="K65" s="19">
        <f>IF($A65="","",IF($I65&lt;=0,"Agotado",IF($I65&lt;=$E65,"Stock bajo","Disponible")))</f>
      </c>
      <c r="L65" s="17">
        <f>IF($A65="","",IFERROR(VLOOKUP($C65,'Config'!$D$2:$E$30,2,FALSE),0))</f>
      </c>
      <c r="M65" s="20"/>
      <c r="N65" s="22"/>
      <c r="O65" s="22"/>
      <c r="P65" s="17">
        <f>IF(OR($A65="",$D65&lt;&gt;"Activo"),"",SUMPRODUCT(($C$2:$C$201=$C65)*($D$2:$D$201="Activo")*(($S$2:$S$201&lt;$S65)+(($S$2:$S$201=$S65)*($B$2:$B$201&lt;$B65))))+1)</f>
      </c>
      <c r="Q65" s="19">
        <f>IF($P65="","",$C65&amp;"|"&amp;$P65)</f>
      </c>
      <c r="R65" s="20"/>
      <c r="S65" s="17">
        <f>IF($A65="","",IFERROR(VALUE(TRIM(LEFT($R65,FIND("x",LOWER($R65))-1)))*VALUE(TRIM(MID($R65,FIND("x",LOWER($R65))+1,20))),0))</f>
      </c>
      <c r="T65" s="17">
        <f>IF(OR($A65="",$D65&lt;&gt;"Activo"),"",SUMPRODUCT(($D$2:$D$201="Activo")*(($C$2:$C$201&lt;$C65)+(($C$2:$C$201=$C65)*($S$2:$S$201&lt;$S65))+(($C$2:$C$201=$C65)*($S$2:$S$201=$S65)*($B$2:$B$201&lt;$B65))))+1)</f>
      </c>
      <c r="U65" s="19">
        <f>IF($T65="","","TODAS|"&amp;$T65)</f>
      </c>
      <c r="V65" s="14">
        <f>IF($A65="","",IFERROR(IF(COUNTIF('Compras'!$B:$B,$A65)=0,"",MINIFS('Compras'!$A:$A,'Compras'!$B:$B,$A65)),""))</f>
      </c>
      <c r="W65" s="17">
        <f>IF(OR($A65="",$V65=""),"",TODAY()-$V65)</f>
      </c>
      <c r="X65" s="17">
        <f>IF($A65="","",SUMIF('Ventas'!$D:$D,$A65,'Ventas'!$F:$F))</f>
      </c>
      <c r="Y65" s="19">
        <f>IF($A65="","",IF(AND($X65&gt;=3,$W65&lt;&gt;"",$W65&lt;=15),"🔥 Se vende rápido — REABASTECE",IF($K65="Agotado","🔴 Agotado — reabastece",IF($K65="Stock bajo","🟠 Stock bajo","✅ Ok"))))</f>
      </c>
    </row>
    <row r="66">
      <c r="A66" s="20"/>
      <c r="B66" s="20"/>
      <c r="C66" s="20"/>
      <c r="D66" s="20"/>
      <c r="E66" s="21"/>
      <c r="F66" s="16">
        <f>IF($A66="","",IFERROR(SUMIF('Compras'!$B:$B,$A66,'Compras'!$F:$F)/SUMIF('Compras'!$B:$B,$A66,'Compras'!$D:$D),0))</f>
      </c>
      <c r="G66" s="17">
        <f>IF($A66="","",SUMIF('Compras'!$B:$B,$A66,'Compras'!$D:$D)+SUMIF('Traslados'!$H:$H,$A66&amp;"|Casa",'Traslados'!$D:$D)-SUMIF('Traslados'!$G:$G,$A66&amp;"|Casa",'Traslados'!$D:$D)-SUMIF('Ventas'!$M:$M,$A66&amp;"|Casa",'Ventas'!$F:$F)+SUMIF('Ajustes'!$H:$H,$A66&amp;"|Casa",'Ajustes'!$D:$D))</f>
      </c>
      <c r="H66" s="17">
        <f>IF($A66="","",SUMIF('Traslados'!$H:$H,$A66&amp;"|Mercado Libre",'Traslados'!$D:$D)-SUMIF('Traslados'!$G:$G,$A66&amp;"|Mercado Libre",'Traslados'!$D:$D)-SUMIF('Ventas'!$M:$M,$A66&amp;"|Mercado Libre",'Ventas'!$F:$F)+SUMIF('Ajustes'!$H:$H,$A66&amp;"|Mercado Libre",'Ajustes'!$D:$D))</f>
      </c>
      <c r="I66" s="17">
        <f>IF($A66="","",$G66+$H66)</f>
      </c>
      <c r="J66" s="16">
        <f>IF($A66="","",$I66*$F66)</f>
      </c>
      <c r="K66" s="19">
        <f>IF($A66="","",IF($I66&lt;=0,"Agotado",IF($I66&lt;=$E66,"Stock bajo","Disponible")))</f>
      </c>
      <c r="L66" s="17">
        <f>IF($A66="","",IFERROR(VLOOKUP($C66,'Config'!$D$2:$E$30,2,FALSE),0))</f>
      </c>
      <c r="M66" s="20"/>
      <c r="N66" s="22"/>
      <c r="O66" s="22"/>
      <c r="P66" s="17">
        <f>IF(OR($A66="",$D66&lt;&gt;"Activo"),"",SUMPRODUCT(($C$2:$C$201=$C66)*($D$2:$D$201="Activo")*(($S$2:$S$201&lt;$S66)+(($S$2:$S$201=$S66)*($B$2:$B$201&lt;$B66))))+1)</f>
      </c>
      <c r="Q66" s="19">
        <f>IF($P66="","",$C66&amp;"|"&amp;$P66)</f>
      </c>
      <c r="R66" s="20"/>
      <c r="S66" s="17">
        <f>IF($A66="","",IFERROR(VALUE(TRIM(LEFT($R66,FIND("x",LOWER($R66))-1)))*VALUE(TRIM(MID($R66,FIND("x",LOWER($R66))+1,20))),0))</f>
      </c>
      <c r="T66" s="17">
        <f>IF(OR($A66="",$D66&lt;&gt;"Activo"),"",SUMPRODUCT(($D$2:$D$201="Activo")*(($C$2:$C$201&lt;$C66)+(($C$2:$C$201=$C66)*($S$2:$S$201&lt;$S66))+(($C$2:$C$201=$C66)*($S$2:$S$201=$S66)*($B$2:$B$201&lt;$B66))))+1)</f>
      </c>
      <c r="U66" s="19">
        <f>IF($T66="","","TODAS|"&amp;$T66)</f>
      </c>
      <c r="V66" s="14">
        <f>IF($A66="","",IFERROR(IF(COUNTIF('Compras'!$B:$B,$A66)=0,"",MINIFS('Compras'!$A:$A,'Compras'!$B:$B,$A66)),""))</f>
      </c>
      <c r="W66" s="17">
        <f>IF(OR($A66="",$V66=""),"",TODAY()-$V66)</f>
      </c>
      <c r="X66" s="17">
        <f>IF($A66="","",SUMIF('Ventas'!$D:$D,$A66,'Ventas'!$F:$F))</f>
      </c>
      <c r="Y66" s="19">
        <f>IF($A66="","",IF(AND($X66&gt;=3,$W66&lt;&gt;"",$W66&lt;=15),"🔥 Se vende rápido — REABASTECE",IF($K66="Agotado","🔴 Agotado — reabastece",IF($K66="Stock bajo","🟠 Stock bajo","✅ Ok"))))</f>
      </c>
    </row>
    <row r="67">
      <c r="A67" s="20"/>
      <c r="B67" s="20"/>
      <c r="C67" s="20"/>
      <c r="D67" s="20"/>
      <c r="E67" s="21"/>
      <c r="F67" s="16">
        <f>IF($A67="","",IFERROR(SUMIF('Compras'!$B:$B,$A67,'Compras'!$F:$F)/SUMIF('Compras'!$B:$B,$A67,'Compras'!$D:$D),0))</f>
      </c>
      <c r="G67" s="17">
        <f>IF($A67="","",SUMIF('Compras'!$B:$B,$A67,'Compras'!$D:$D)+SUMIF('Traslados'!$H:$H,$A67&amp;"|Casa",'Traslados'!$D:$D)-SUMIF('Traslados'!$G:$G,$A67&amp;"|Casa",'Traslados'!$D:$D)-SUMIF('Ventas'!$M:$M,$A67&amp;"|Casa",'Ventas'!$F:$F)+SUMIF('Ajustes'!$H:$H,$A67&amp;"|Casa",'Ajustes'!$D:$D))</f>
      </c>
      <c r="H67" s="17">
        <f>IF($A67="","",SUMIF('Traslados'!$H:$H,$A67&amp;"|Mercado Libre",'Traslados'!$D:$D)-SUMIF('Traslados'!$G:$G,$A67&amp;"|Mercado Libre",'Traslados'!$D:$D)-SUMIF('Ventas'!$M:$M,$A67&amp;"|Mercado Libre",'Ventas'!$F:$F)+SUMIF('Ajustes'!$H:$H,$A67&amp;"|Mercado Libre",'Ajustes'!$D:$D))</f>
      </c>
      <c r="I67" s="17">
        <f>IF($A67="","",$G67+$H67)</f>
      </c>
      <c r="J67" s="16">
        <f>IF($A67="","",$I67*$F67)</f>
      </c>
      <c r="K67" s="19">
        <f>IF($A67="","",IF($I67&lt;=0,"Agotado",IF($I67&lt;=$E67,"Stock bajo","Disponible")))</f>
      </c>
      <c r="L67" s="17">
        <f>IF($A67="","",IFERROR(VLOOKUP($C67,'Config'!$D$2:$E$30,2,FALSE),0))</f>
      </c>
      <c r="M67" s="20"/>
      <c r="N67" s="22"/>
      <c r="O67" s="22"/>
      <c r="P67" s="17">
        <f>IF(OR($A67="",$D67&lt;&gt;"Activo"),"",SUMPRODUCT(($C$2:$C$201=$C67)*($D$2:$D$201="Activo")*(($S$2:$S$201&lt;$S67)+(($S$2:$S$201=$S67)*($B$2:$B$201&lt;$B67))))+1)</f>
      </c>
      <c r="Q67" s="19">
        <f>IF($P67="","",$C67&amp;"|"&amp;$P67)</f>
      </c>
      <c r="R67" s="20"/>
      <c r="S67" s="17">
        <f>IF($A67="","",IFERROR(VALUE(TRIM(LEFT($R67,FIND("x",LOWER($R67))-1)))*VALUE(TRIM(MID($R67,FIND("x",LOWER($R67))+1,20))),0))</f>
      </c>
      <c r="T67" s="17">
        <f>IF(OR($A67="",$D67&lt;&gt;"Activo"),"",SUMPRODUCT(($D$2:$D$201="Activo")*(($C$2:$C$201&lt;$C67)+(($C$2:$C$201=$C67)*($S$2:$S$201&lt;$S67))+(($C$2:$C$201=$C67)*($S$2:$S$201=$S67)*($B$2:$B$201&lt;$B67))))+1)</f>
      </c>
      <c r="U67" s="19">
        <f>IF($T67="","","TODAS|"&amp;$T67)</f>
      </c>
      <c r="V67" s="14">
        <f>IF($A67="","",IFERROR(IF(COUNTIF('Compras'!$B:$B,$A67)=0,"",MINIFS('Compras'!$A:$A,'Compras'!$B:$B,$A67)),""))</f>
      </c>
      <c r="W67" s="17">
        <f>IF(OR($A67="",$V67=""),"",TODAY()-$V67)</f>
      </c>
      <c r="X67" s="17">
        <f>IF($A67="","",SUMIF('Ventas'!$D:$D,$A67,'Ventas'!$F:$F))</f>
      </c>
      <c r="Y67" s="19">
        <f>IF($A67="","",IF(AND($X67&gt;=3,$W67&lt;&gt;"",$W67&lt;=15),"🔥 Se vende rápido — REABASTECE",IF($K67="Agotado","🔴 Agotado — reabastece",IF($K67="Stock bajo","🟠 Stock bajo","✅ Ok"))))</f>
      </c>
    </row>
    <row r="68">
      <c r="A68" s="20"/>
      <c r="B68" s="20"/>
      <c r="C68" s="20"/>
      <c r="D68" s="20"/>
      <c r="E68" s="21"/>
      <c r="F68" s="16">
        <f>IF($A68="","",IFERROR(SUMIF('Compras'!$B:$B,$A68,'Compras'!$F:$F)/SUMIF('Compras'!$B:$B,$A68,'Compras'!$D:$D),0))</f>
      </c>
      <c r="G68" s="17">
        <f>IF($A68="","",SUMIF('Compras'!$B:$B,$A68,'Compras'!$D:$D)+SUMIF('Traslados'!$H:$H,$A68&amp;"|Casa",'Traslados'!$D:$D)-SUMIF('Traslados'!$G:$G,$A68&amp;"|Casa",'Traslados'!$D:$D)-SUMIF('Ventas'!$M:$M,$A68&amp;"|Casa",'Ventas'!$F:$F)+SUMIF('Ajustes'!$H:$H,$A68&amp;"|Casa",'Ajustes'!$D:$D))</f>
      </c>
      <c r="H68" s="17">
        <f>IF($A68="","",SUMIF('Traslados'!$H:$H,$A68&amp;"|Mercado Libre",'Traslados'!$D:$D)-SUMIF('Traslados'!$G:$G,$A68&amp;"|Mercado Libre",'Traslados'!$D:$D)-SUMIF('Ventas'!$M:$M,$A68&amp;"|Mercado Libre",'Ventas'!$F:$F)+SUMIF('Ajustes'!$H:$H,$A68&amp;"|Mercado Libre",'Ajustes'!$D:$D))</f>
      </c>
      <c r="I68" s="17">
        <f>IF($A68="","",$G68+$H68)</f>
      </c>
      <c r="J68" s="16">
        <f>IF($A68="","",$I68*$F68)</f>
      </c>
      <c r="K68" s="19">
        <f>IF($A68="","",IF($I68&lt;=0,"Agotado",IF($I68&lt;=$E68,"Stock bajo","Disponible")))</f>
      </c>
      <c r="L68" s="17">
        <f>IF($A68="","",IFERROR(VLOOKUP($C68,'Config'!$D$2:$E$30,2,FALSE),0))</f>
      </c>
      <c r="M68" s="20"/>
      <c r="N68" s="22"/>
      <c r="O68" s="22"/>
      <c r="P68" s="17">
        <f>IF(OR($A68="",$D68&lt;&gt;"Activo"),"",SUMPRODUCT(($C$2:$C$201=$C68)*($D$2:$D$201="Activo")*(($S$2:$S$201&lt;$S68)+(($S$2:$S$201=$S68)*($B$2:$B$201&lt;$B68))))+1)</f>
      </c>
      <c r="Q68" s="19">
        <f>IF($P68="","",$C68&amp;"|"&amp;$P68)</f>
      </c>
      <c r="R68" s="20"/>
      <c r="S68" s="17">
        <f>IF($A68="","",IFERROR(VALUE(TRIM(LEFT($R68,FIND("x",LOWER($R68))-1)))*VALUE(TRIM(MID($R68,FIND("x",LOWER($R68))+1,20))),0))</f>
      </c>
      <c r="T68" s="17">
        <f>IF(OR($A68="",$D68&lt;&gt;"Activo"),"",SUMPRODUCT(($D$2:$D$201="Activo")*(($C$2:$C$201&lt;$C68)+(($C$2:$C$201=$C68)*($S$2:$S$201&lt;$S68))+(($C$2:$C$201=$C68)*($S$2:$S$201=$S68)*($B$2:$B$201&lt;$B68))))+1)</f>
      </c>
      <c r="U68" s="19">
        <f>IF($T68="","","TODAS|"&amp;$T68)</f>
      </c>
      <c r="V68" s="14">
        <f>IF($A68="","",IFERROR(IF(COUNTIF('Compras'!$B:$B,$A68)=0,"",MINIFS('Compras'!$A:$A,'Compras'!$B:$B,$A68)),""))</f>
      </c>
      <c r="W68" s="17">
        <f>IF(OR($A68="",$V68=""),"",TODAY()-$V68)</f>
      </c>
      <c r="X68" s="17">
        <f>IF($A68="","",SUMIF('Ventas'!$D:$D,$A68,'Ventas'!$F:$F))</f>
      </c>
      <c r="Y68" s="19">
        <f>IF($A68="","",IF(AND($X68&gt;=3,$W68&lt;&gt;"",$W68&lt;=15),"🔥 Se vende rápido — REABASTECE",IF($K68="Agotado","🔴 Agotado — reabastece",IF($K68="Stock bajo","🟠 Stock bajo","✅ Ok"))))</f>
      </c>
    </row>
    <row r="69">
      <c r="A69" s="20"/>
      <c r="B69" s="20"/>
      <c r="C69" s="20"/>
      <c r="D69" s="20"/>
      <c r="E69" s="21"/>
      <c r="F69" s="16">
        <f>IF($A69="","",IFERROR(SUMIF('Compras'!$B:$B,$A69,'Compras'!$F:$F)/SUMIF('Compras'!$B:$B,$A69,'Compras'!$D:$D),0))</f>
      </c>
      <c r="G69" s="17">
        <f>IF($A69="","",SUMIF('Compras'!$B:$B,$A69,'Compras'!$D:$D)+SUMIF('Traslados'!$H:$H,$A69&amp;"|Casa",'Traslados'!$D:$D)-SUMIF('Traslados'!$G:$G,$A69&amp;"|Casa",'Traslados'!$D:$D)-SUMIF('Ventas'!$M:$M,$A69&amp;"|Casa",'Ventas'!$F:$F)+SUMIF('Ajustes'!$H:$H,$A69&amp;"|Casa",'Ajustes'!$D:$D))</f>
      </c>
      <c r="H69" s="17">
        <f>IF($A69="","",SUMIF('Traslados'!$H:$H,$A69&amp;"|Mercado Libre",'Traslados'!$D:$D)-SUMIF('Traslados'!$G:$G,$A69&amp;"|Mercado Libre",'Traslados'!$D:$D)-SUMIF('Ventas'!$M:$M,$A69&amp;"|Mercado Libre",'Ventas'!$F:$F)+SUMIF('Ajustes'!$H:$H,$A69&amp;"|Mercado Libre",'Ajustes'!$D:$D))</f>
      </c>
      <c r="I69" s="17">
        <f>IF($A69="","",$G69+$H69)</f>
      </c>
      <c r="J69" s="16">
        <f>IF($A69="","",$I69*$F69)</f>
      </c>
      <c r="K69" s="19">
        <f>IF($A69="","",IF($I69&lt;=0,"Agotado",IF($I69&lt;=$E69,"Stock bajo","Disponible")))</f>
      </c>
      <c r="L69" s="17">
        <f>IF($A69="","",IFERROR(VLOOKUP($C69,'Config'!$D$2:$E$30,2,FALSE),0))</f>
      </c>
      <c r="M69" s="20"/>
      <c r="N69" s="22"/>
      <c r="O69" s="22"/>
      <c r="P69" s="17">
        <f>IF(OR($A69="",$D69&lt;&gt;"Activo"),"",SUMPRODUCT(($C$2:$C$201=$C69)*($D$2:$D$201="Activo")*(($S$2:$S$201&lt;$S69)+(($S$2:$S$201=$S69)*($B$2:$B$201&lt;$B69))))+1)</f>
      </c>
      <c r="Q69" s="19">
        <f>IF($P69="","",$C69&amp;"|"&amp;$P69)</f>
      </c>
      <c r="R69" s="20"/>
      <c r="S69" s="17">
        <f>IF($A69="","",IFERROR(VALUE(TRIM(LEFT($R69,FIND("x",LOWER($R69))-1)))*VALUE(TRIM(MID($R69,FIND("x",LOWER($R69))+1,20))),0))</f>
      </c>
      <c r="T69" s="17">
        <f>IF(OR($A69="",$D69&lt;&gt;"Activo"),"",SUMPRODUCT(($D$2:$D$201="Activo")*(($C$2:$C$201&lt;$C69)+(($C$2:$C$201=$C69)*($S$2:$S$201&lt;$S69))+(($C$2:$C$201=$C69)*($S$2:$S$201=$S69)*($B$2:$B$201&lt;$B69))))+1)</f>
      </c>
      <c r="U69" s="19">
        <f>IF($T69="","","TODAS|"&amp;$T69)</f>
      </c>
      <c r="V69" s="14">
        <f>IF($A69="","",IFERROR(IF(COUNTIF('Compras'!$B:$B,$A69)=0,"",MINIFS('Compras'!$A:$A,'Compras'!$B:$B,$A69)),""))</f>
      </c>
      <c r="W69" s="17">
        <f>IF(OR($A69="",$V69=""),"",TODAY()-$V69)</f>
      </c>
      <c r="X69" s="17">
        <f>IF($A69="","",SUMIF('Ventas'!$D:$D,$A69,'Ventas'!$F:$F))</f>
      </c>
      <c r="Y69" s="19">
        <f>IF($A69="","",IF(AND($X69&gt;=3,$W69&lt;&gt;"",$W69&lt;=15),"🔥 Se vende rápido — REABASTECE",IF($K69="Agotado","🔴 Agotado — reabastece",IF($K69="Stock bajo","🟠 Stock bajo","✅ Ok"))))</f>
      </c>
    </row>
    <row r="70">
      <c r="A70" s="20"/>
      <c r="B70" s="20"/>
      <c r="C70" s="20"/>
      <c r="D70" s="20"/>
      <c r="E70" s="21"/>
      <c r="F70" s="16">
        <f>IF($A70="","",IFERROR(SUMIF('Compras'!$B:$B,$A70,'Compras'!$F:$F)/SUMIF('Compras'!$B:$B,$A70,'Compras'!$D:$D),0))</f>
      </c>
      <c r="G70" s="17">
        <f>IF($A70="","",SUMIF('Compras'!$B:$B,$A70,'Compras'!$D:$D)+SUMIF('Traslados'!$H:$H,$A70&amp;"|Casa",'Traslados'!$D:$D)-SUMIF('Traslados'!$G:$G,$A70&amp;"|Casa",'Traslados'!$D:$D)-SUMIF('Ventas'!$M:$M,$A70&amp;"|Casa",'Ventas'!$F:$F)+SUMIF('Ajustes'!$H:$H,$A70&amp;"|Casa",'Ajustes'!$D:$D))</f>
      </c>
      <c r="H70" s="17">
        <f>IF($A70="","",SUMIF('Traslados'!$H:$H,$A70&amp;"|Mercado Libre",'Traslados'!$D:$D)-SUMIF('Traslados'!$G:$G,$A70&amp;"|Mercado Libre",'Traslados'!$D:$D)-SUMIF('Ventas'!$M:$M,$A70&amp;"|Mercado Libre",'Ventas'!$F:$F)+SUMIF('Ajustes'!$H:$H,$A70&amp;"|Mercado Libre",'Ajustes'!$D:$D))</f>
      </c>
      <c r="I70" s="17">
        <f>IF($A70="","",$G70+$H70)</f>
      </c>
      <c r="J70" s="16">
        <f>IF($A70="","",$I70*$F70)</f>
      </c>
      <c r="K70" s="19">
        <f>IF($A70="","",IF($I70&lt;=0,"Agotado",IF($I70&lt;=$E70,"Stock bajo","Disponible")))</f>
      </c>
      <c r="L70" s="17">
        <f>IF($A70="","",IFERROR(VLOOKUP($C70,'Config'!$D$2:$E$30,2,FALSE),0))</f>
      </c>
      <c r="M70" s="20"/>
      <c r="N70" s="22"/>
      <c r="O70" s="22"/>
      <c r="P70" s="17">
        <f>IF(OR($A70="",$D70&lt;&gt;"Activo"),"",SUMPRODUCT(($C$2:$C$201=$C70)*($D$2:$D$201="Activo")*(($S$2:$S$201&lt;$S70)+(($S$2:$S$201=$S70)*($B$2:$B$201&lt;$B70))))+1)</f>
      </c>
      <c r="Q70" s="19">
        <f>IF($P70="","",$C70&amp;"|"&amp;$P70)</f>
      </c>
      <c r="R70" s="20"/>
      <c r="S70" s="17">
        <f>IF($A70="","",IFERROR(VALUE(TRIM(LEFT($R70,FIND("x",LOWER($R70))-1)))*VALUE(TRIM(MID($R70,FIND("x",LOWER($R70))+1,20))),0))</f>
      </c>
      <c r="T70" s="17">
        <f>IF(OR($A70="",$D70&lt;&gt;"Activo"),"",SUMPRODUCT(($D$2:$D$201="Activo")*(($C$2:$C$201&lt;$C70)+(($C$2:$C$201=$C70)*($S$2:$S$201&lt;$S70))+(($C$2:$C$201=$C70)*($S$2:$S$201=$S70)*($B$2:$B$201&lt;$B70))))+1)</f>
      </c>
      <c r="U70" s="19">
        <f>IF($T70="","","TODAS|"&amp;$T70)</f>
      </c>
      <c r="V70" s="14">
        <f>IF($A70="","",IFERROR(IF(COUNTIF('Compras'!$B:$B,$A70)=0,"",MINIFS('Compras'!$A:$A,'Compras'!$B:$B,$A70)),""))</f>
      </c>
      <c r="W70" s="17">
        <f>IF(OR($A70="",$V70=""),"",TODAY()-$V70)</f>
      </c>
      <c r="X70" s="17">
        <f>IF($A70="","",SUMIF('Ventas'!$D:$D,$A70,'Ventas'!$F:$F))</f>
      </c>
      <c r="Y70" s="19">
        <f>IF($A70="","",IF(AND($X70&gt;=3,$W70&lt;&gt;"",$W70&lt;=15),"🔥 Se vende rápido — REABASTECE",IF($K70="Agotado","🔴 Agotado — reabastece",IF($K70="Stock bajo","🟠 Stock bajo","✅ Ok"))))</f>
      </c>
    </row>
    <row r="71">
      <c r="A71" s="20"/>
      <c r="B71" s="20"/>
      <c r="C71" s="20"/>
      <c r="D71" s="20"/>
      <c r="E71" s="21"/>
      <c r="F71" s="16">
        <f>IF($A71="","",IFERROR(SUMIF('Compras'!$B:$B,$A71,'Compras'!$F:$F)/SUMIF('Compras'!$B:$B,$A71,'Compras'!$D:$D),0))</f>
      </c>
      <c r="G71" s="17">
        <f>IF($A71="","",SUMIF('Compras'!$B:$B,$A71,'Compras'!$D:$D)+SUMIF('Traslados'!$H:$H,$A71&amp;"|Casa",'Traslados'!$D:$D)-SUMIF('Traslados'!$G:$G,$A71&amp;"|Casa",'Traslados'!$D:$D)-SUMIF('Ventas'!$M:$M,$A71&amp;"|Casa",'Ventas'!$F:$F)+SUMIF('Ajustes'!$H:$H,$A71&amp;"|Casa",'Ajustes'!$D:$D))</f>
      </c>
      <c r="H71" s="17">
        <f>IF($A71="","",SUMIF('Traslados'!$H:$H,$A71&amp;"|Mercado Libre",'Traslados'!$D:$D)-SUMIF('Traslados'!$G:$G,$A71&amp;"|Mercado Libre",'Traslados'!$D:$D)-SUMIF('Ventas'!$M:$M,$A71&amp;"|Mercado Libre",'Ventas'!$F:$F)+SUMIF('Ajustes'!$H:$H,$A71&amp;"|Mercado Libre",'Ajustes'!$D:$D))</f>
      </c>
      <c r="I71" s="17">
        <f>IF($A71="","",$G71+$H71)</f>
      </c>
      <c r="J71" s="16">
        <f>IF($A71="","",$I71*$F71)</f>
      </c>
      <c r="K71" s="19">
        <f>IF($A71="","",IF($I71&lt;=0,"Agotado",IF($I71&lt;=$E71,"Stock bajo","Disponible")))</f>
      </c>
      <c r="L71" s="17">
        <f>IF($A71="","",IFERROR(VLOOKUP($C71,'Config'!$D$2:$E$30,2,FALSE),0))</f>
      </c>
      <c r="M71" s="20"/>
      <c r="N71" s="22"/>
      <c r="O71" s="22"/>
      <c r="P71" s="17">
        <f>IF(OR($A71="",$D71&lt;&gt;"Activo"),"",SUMPRODUCT(($C$2:$C$201=$C71)*($D$2:$D$201="Activo")*(($S$2:$S$201&lt;$S71)+(($S$2:$S$201=$S71)*($B$2:$B$201&lt;$B71))))+1)</f>
      </c>
      <c r="Q71" s="19">
        <f>IF($P71="","",$C71&amp;"|"&amp;$P71)</f>
      </c>
      <c r="R71" s="20"/>
      <c r="S71" s="17">
        <f>IF($A71="","",IFERROR(VALUE(TRIM(LEFT($R71,FIND("x",LOWER($R71))-1)))*VALUE(TRIM(MID($R71,FIND("x",LOWER($R71))+1,20))),0))</f>
      </c>
      <c r="T71" s="17">
        <f>IF(OR($A71="",$D71&lt;&gt;"Activo"),"",SUMPRODUCT(($D$2:$D$201="Activo")*(($C$2:$C$201&lt;$C71)+(($C$2:$C$201=$C71)*($S$2:$S$201&lt;$S71))+(($C$2:$C$201=$C71)*($S$2:$S$201=$S71)*($B$2:$B$201&lt;$B71))))+1)</f>
      </c>
      <c r="U71" s="19">
        <f>IF($T71="","","TODAS|"&amp;$T71)</f>
      </c>
      <c r="V71" s="14">
        <f>IF($A71="","",IFERROR(IF(COUNTIF('Compras'!$B:$B,$A71)=0,"",MINIFS('Compras'!$A:$A,'Compras'!$B:$B,$A71)),""))</f>
      </c>
      <c r="W71" s="17">
        <f>IF(OR($A71="",$V71=""),"",TODAY()-$V71)</f>
      </c>
      <c r="X71" s="17">
        <f>IF($A71="","",SUMIF('Ventas'!$D:$D,$A71,'Ventas'!$F:$F))</f>
      </c>
      <c r="Y71" s="19">
        <f>IF($A71="","",IF(AND($X71&gt;=3,$W71&lt;&gt;"",$W71&lt;=15),"🔥 Se vende rápido — REABASTECE",IF($K71="Agotado","🔴 Agotado — reabastece",IF($K71="Stock bajo","🟠 Stock bajo","✅ Ok"))))</f>
      </c>
    </row>
    <row r="72">
      <c r="A72" s="20"/>
      <c r="B72" s="20"/>
      <c r="C72" s="20"/>
      <c r="D72" s="20"/>
      <c r="E72" s="21"/>
      <c r="F72" s="16">
        <f>IF($A72="","",IFERROR(SUMIF('Compras'!$B:$B,$A72,'Compras'!$F:$F)/SUMIF('Compras'!$B:$B,$A72,'Compras'!$D:$D),0))</f>
      </c>
      <c r="G72" s="17">
        <f>IF($A72="","",SUMIF('Compras'!$B:$B,$A72,'Compras'!$D:$D)+SUMIF('Traslados'!$H:$H,$A72&amp;"|Casa",'Traslados'!$D:$D)-SUMIF('Traslados'!$G:$G,$A72&amp;"|Casa",'Traslados'!$D:$D)-SUMIF('Ventas'!$M:$M,$A72&amp;"|Casa",'Ventas'!$F:$F)+SUMIF('Ajustes'!$H:$H,$A72&amp;"|Casa",'Ajustes'!$D:$D))</f>
      </c>
      <c r="H72" s="17">
        <f>IF($A72="","",SUMIF('Traslados'!$H:$H,$A72&amp;"|Mercado Libre",'Traslados'!$D:$D)-SUMIF('Traslados'!$G:$G,$A72&amp;"|Mercado Libre",'Traslados'!$D:$D)-SUMIF('Ventas'!$M:$M,$A72&amp;"|Mercado Libre",'Ventas'!$F:$F)+SUMIF('Ajustes'!$H:$H,$A72&amp;"|Mercado Libre",'Ajustes'!$D:$D))</f>
      </c>
      <c r="I72" s="17">
        <f>IF($A72="","",$G72+$H72)</f>
      </c>
      <c r="J72" s="16">
        <f>IF($A72="","",$I72*$F72)</f>
      </c>
      <c r="K72" s="19">
        <f>IF($A72="","",IF($I72&lt;=0,"Agotado",IF($I72&lt;=$E72,"Stock bajo","Disponible")))</f>
      </c>
      <c r="L72" s="17">
        <f>IF($A72="","",IFERROR(VLOOKUP($C72,'Config'!$D$2:$E$30,2,FALSE),0))</f>
      </c>
      <c r="M72" s="20"/>
      <c r="N72" s="22"/>
      <c r="O72" s="22"/>
      <c r="P72" s="17">
        <f>IF(OR($A72="",$D72&lt;&gt;"Activo"),"",SUMPRODUCT(($C$2:$C$201=$C72)*($D$2:$D$201="Activo")*(($S$2:$S$201&lt;$S72)+(($S$2:$S$201=$S72)*($B$2:$B$201&lt;$B72))))+1)</f>
      </c>
      <c r="Q72" s="19">
        <f>IF($P72="","",$C72&amp;"|"&amp;$P72)</f>
      </c>
      <c r="R72" s="20"/>
      <c r="S72" s="17">
        <f>IF($A72="","",IFERROR(VALUE(TRIM(LEFT($R72,FIND("x",LOWER($R72))-1)))*VALUE(TRIM(MID($R72,FIND("x",LOWER($R72))+1,20))),0))</f>
      </c>
      <c r="T72" s="17">
        <f>IF(OR($A72="",$D72&lt;&gt;"Activo"),"",SUMPRODUCT(($D$2:$D$201="Activo")*(($C$2:$C$201&lt;$C72)+(($C$2:$C$201=$C72)*($S$2:$S$201&lt;$S72))+(($C$2:$C$201=$C72)*($S$2:$S$201=$S72)*($B$2:$B$201&lt;$B72))))+1)</f>
      </c>
      <c r="U72" s="19">
        <f>IF($T72="","","TODAS|"&amp;$T72)</f>
      </c>
      <c r="V72" s="14">
        <f>IF($A72="","",IFERROR(IF(COUNTIF('Compras'!$B:$B,$A72)=0,"",MINIFS('Compras'!$A:$A,'Compras'!$B:$B,$A72)),""))</f>
      </c>
      <c r="W72" s="17">
        <f>IF(OR($A72="",$V72=""),"",TODAY()-$V72)</f>
      </c>
      <c r="X72" s="17">
        <f>IF($A72="","",SUMIF('Ventas'!$D:$D,$A72,'Ventas'!$F:$F))</f>
      </c>
      <c r="Y72" s="19">
        <f>IF($A72="","",IF(AND($X72&gt;=3,$W72&lt;&gt;"",$W72&lt;=15),"🔥 Se vende rápido — REABASTECE",IF($K72="Agotado","🔴 Agotado — reabastece",IF($K72="Stock bajo","🟠 Stock bajo","✅ Ok"))))</f>
      </c>
    </row>
    <row r="73">
      <c r="A73" s="20"/>
      <c r="B73" s="20"/>
      <c r="C73" s="20"/>
      <c r="D73" s="20"/>
      <c r="E73" s="21"/>
      <c r="F73" s="16">
        <f>IF($A73="","",IFERROR(SUMIF('Compras'!$B:$B,$A73,'Compras'!$F:$F)/SUMIF('Compras'!$B:$B,$A73,'Compras'!$D:$D),0))</f>
      </c>
      <c r="G73" s="17">
        <f>IF($A73="","",SUMIF('Compras'!$B:$B,$A73,'Compras'!$D:$D)+SUMIF('Traslados'!$H:$H,$A73&amp;"|Casa",'Traslados'!$D:$D)-SUMIF('Traslados'!$G:$G,$A73&amp;"|Casa",'Traslados'!$D:$D)-SUMIF('Ventas'!$M:$M,$A73&amp;"|Casa",'Ventas'!$F:$F)+SUMIF('Ajustes'!$H:$H,$A73&amp;"|Casa",'Ajustes'!$D:$D))</f>
      </c>
      <c r="H73" s="17">
        <f>IF($A73="","",SUMIF('Traslados'!$H:$H,$A73&amp;"|Mercado Libre",'Traslados'!$D:$D)-SUMIF('Traslados'!$G:$G,$A73&amp;"|Mercado Libre",'Traslados'!$D:$D)-SUMIF('Ventas'!$M:$M,$A73&amp;"|Mercado Libre",'Ventas'!$F:$F)+SUMIF('Ajustes'!$H:$H,$A73&amp;"|Mercado Libre",'Ajustes'!$D:$D))</f>
      </c>
      <c r="I73" s="17">
        <f>IF($A73="","",$G73+$H73)</f>
      </c>
      <c r="J73" s="16">
        <f>IF($A73="","",$I73*$F73)</f>
      </c>
      <c r="K73" s="19">
        <f>IF($A73="","",IF($I73&lt;=0,"Agotado",IF($I73&lt;=$E73,"Stock bajo","Disponible")))</f>
      </c>
      <c r="L73" s="17">
        <f>IF($A73="","",IFERROR(VLOOKUP($C73,'Config'!$D$2:$E$30,2,FALSE),0))</f>
      </c>
      <c r="M73" s="20"/>
      <c r="N73" s="22"/>
      <c r="O73" s="22"/>
      <c r="P73" s="17">
        <f>IF(OR($A73="",$D73&lt;&gt;"Activo"),"",SUMPRODUCT(($C$2:$C$201=$C73)*($D$2:$D$201="Activo")*(($S$2:$S$201&lt;$S73)+(($S$2:$S$201=$S73)*($B$2:$B$201&lt;$B73))))+1)</f>
      </c>
      <c r="Q73" s="19">
        <f>IF($P73="","",$C73&amp;"|"&amp;$P73)</f>
      </c>
      <c r="R73" s="20"/>
      <c r="S73" s="17">
        <f>IF($A73="","",IFERROR(VALUE(TRIM(LEFT($R73,FIND("x",LOWER($R73))-1)))*VALUE(TRIM(MID($R73,FIND("x",LOWER($R73))+1,20))),0))</f>
      </c>
      <c r="T73" s="17">
        <f>IF(OR($A73="",$D73&lt;&gt;"Activo"),"",SUMPRODUCT(($D$2:$D$201="Activo")*(($C$2:$C$201&lt;$C73)+(($C$2:$C$201=$C73)*($S$2:$S$201&lt;$S73))+(($C$2:$C$201=$C73)*($S$2:$S$201=$S73)*($B$2:$B$201&lt;$B73))))+1)</f>
      </c>
      <c r="U73" s="19">
        <f>IF($T73="","","TODAS|"&amp;$T73)</f>
      </c>
      <c r="V73" s="14">
        <f>IF($A73="","",IFERROR(IF(COUNTIF('Compras'!$B:$B,$A73)=0,"",MINIFS('Compras'!$A:$A,'Compras'!$B:$B,$A73)),""))</f>
      </c>
      <c r="W73" s="17">
        <f>IF(OR($A73="",$V73=""),"",TODAY()-$V73)</f>
      </c>
      <c r="X73" s="17">
        <f>IF($A73="","",SUMIF('Ventas'!$D:$D,$A73,'Ventas'!$F:$F))</f>
      </c>
      <c r="Y73" s="19">
        <f>IF($A73="","",IF(AND($X73&gt;=3,$W73&lt;&gt;"",$W73&lt;=15),"🔥 Se vende rápido — REABASTECE",IF($K73="Agotado","🔴 Agotado — reabastece",IF($K73="Stock bajo","🟠 Stock bajo","✅ Ok"))))</f>
      </c>
    </row>
    <row r="74">
      <c r="A74" s="20"/>
      <c r="B74" s="20"/>
      <c r="C74" s="20"/>
      <c r="D74" s="20"/>
      <c r="E74" s="21"/>
      <c r="F74" s="16">
        <f>IF($A74="","",IFERROR(SUMIF('Compras'!$B:$B,$A74,'Compras'!$F:$F)/SUMIF('Compras'!$B:$B,$A74,'Compras'!$D:$D),0))</f>
      </c>
      <c r="G74" s="17">
        <f>IF($A74="","",SUMIF('Compras'!$B:$B,$A74,'Compras'!$D:$D)+SUMIF('Traslados'!$H:$H,$A74&amp;"|Casa",'Traslados'!$D:$D)-SUMIF('Traslados'!$G:$G,$A74&amp;"|Casa",'Traslados'!$D:$D)-SUMIF('Ventas'!$M:$M,$A74&amp;"|Casa",'Ventas'!$F:$F)+SUMIF('Ajustes'!$H:$H,$A74&amp;"|Casa",'Ajustes'!$D:$D))</f>
      </c>
      <c r="H74" s="17">
        <f>IF($A74="","",SUMIF('Traslados'!$H:$H,$A74&amp;"|Mercado Libre",'Traslados'!$D:$D)-SUMIF('Traslados'!$G:$G,$A74&amp;"|Mercado Libre",'Traslados'!$D:$D)-SUMIF('Ventas'!$M:$M,$A74&amp;"|Mercado Libre",'Ventas'!$F:$F)+SUMIF('Ajustes'!$H:$H,$A74&amp;"|Mercado Libre",'Ajustes'!$D:$D))</f>
      </c>
      <c r="I74" s="17">
        <f>IF($A74="","",$G74+$H74)</f>
      </c>
      <c r="J74" s="16">
        <f>IF($A74="","",$I74*$F74)</f>
      </c>
      <c r="K74" s="19">
        <f>IF($A74="","",IF($I74&lt;=0,"Agotado",IF($I74&lt;=$E74,"Stock bajo","Disponible")))</f>
      </c>
      <c r="L74" s="17">
        <f>IF($A74="","",IFERROR(VLOOKUP($C74,'Config'!$D$2:$E$30,2,FALSE),0))</f>
      </c>
      <c r="M74" s="20"/>
      <c r="N74" s="22"/>
      <c r="O74" s="22"/>
      <c r="P74" s="17">
        <f>IF(OR($A74="",$D74&lt;&gt;"Activo"),"",SUMPRODUCT(($C$2:$C$201=$C74)*($D$2:$D$201="Activo")*(($S$2:$S$201&lt;$S74)+(($S$2:$S$201=$S74)*($B$2:$B$201&lt;$B74))))+1)</f>
      </c>
      <c r="Q74" s="19">
        <f>IF($P74="","",$C74&amp;"|"&amp;$P74)</f>
      </c>
      <c r="R74" s="20"/>
      <c r="S74" s="17">
        <f>IF($A74="","",IFERROR(VALUE(TRIM(LEFT($R74,FIND("x",LOWER($R74))-1)))*VALUE(TRIM(MID($R74,FIND("x",LOWER($R74))+1,20))),0))</f>
      </c>
      <c r="T74" s="17">
        <f>IF(OR($A74="",$D74&lt;&gt;"Activo"),"",SUMPRODUCT(($D$2:$D$201="Activo")*(($C$2:$C$201&lt;$C74)+(($C$2:$C$201=$C74)*($S$2:$S$201&lt;$S74))+(($C$2:$C$201=$C74)*($S$2:$S$201=$S74)*($B$2:$B$201&lt;$B74))))+1)</f>
      </c>
      <c r="U74" s="19">
        <f>IF($T74="","","TODAS|"&amp;$T74)</f>
      </c>
      <c r="V74" s="14">
        <f>IF($A74="","",IFERROR(IF(COUNTIF('Compras'!$B:$B,$A74)=0,"",MINIFS('Compras'!$A:$A,'Compras'!$B:$B,$A74)),""))</f>
      </c>
      <c r="W74" s="17">
        <f>IF(OR($A74="",$V74=""),"",TODAY()-$V74)</f>
      </c>
      <c r="X74" s="17">
        <f>IF($A74="","",SUMIF('Ventas'!$D:$D,$A74,'Ventas'!$F:$F))</f>
      </c>
      <c r="Y74" s="19">
        <f>IF($A74="","",IF(AND($X74&gt;=3,$W74&lt;&gt;"",$W74&lt;=15),"🔥 Se vende rápido — REABASTECE",IF($K74="Agotado","🔴 Agotado — reabastece",IF($K74="Stock bajo","🟠 Stock bajo","✅ Ok"))))</f>
      </c>
    </row>
    <row r="75">
      <c r="A75" s="20"/>
      <c r="B75" s="20"/>
      <c r="C75" s="20"/>
      <c r="D75" s="20"/>
      <c r="E75" s="21"/>
      <c r="F75" s="16">
        <f>IF($A75="","",IFERROR(SUMIF('Compras'!$B:$B,$A75,'Compras'!$F:$F)/SUMIF('Compras'!$B:$B,$A75,'Compras'!$D:$D),0))</f>
      </c>
      <c r="G75" s="17">
        <f>IF($A75="","",SUMIF('Compras'!$B:$B,$A75,'Compras'!$D:$D)+SUMIF('Traslados'!$H:$H,$A75&amp;"|Casa",'Traslados'!$D:$D)-SUMIF('Traslados'!$G:$G,$A75&amp;"|Casa",'Traslados'!$D:$D)-SUMIF('Ventas'!$M:$M,$A75&amp;"|Casa",'Ventas'!$F:$F)+SUMIF('Ajustes'!$H:$H,$A75&amp;"|Casa",'Ajustes'!$D:$D))</f>
      </c>
      <c r="H75" s="17">
        <f>IF($A75="","",SUMIF('Traslados'!$H:$H,$A75&amp;"|Mercado Libre",'Traslados'!$D:$D)-SUMIF('Traslados'!$G:$G,$A75&amp;"|Mercado Libre",'Traslados'!$D:$D)-SUMIF('Ventas'!$M:$M,$A75&amp;"|Mercado Libre",'Ventas'!$F:$F)+SUMIF('Ajustes'!$H:$H,$A75&amp;"|Mercado Libre",'Ajustes'!$D:$D))</f>
      </c>
      <c r="I75" s="17">
        <f>IF($A75="","",$G75+$H75)</f>
      </c>
      <c r="J75" s="16">
        <f>IF($A75="","",$I75*$F75)</f>
      </c>
      <c r="K75" s="19">
        <f>IF($A75="","",IF($I75&lt;=0,"Agotado",IF($I75&lt;=$E75,"Stock bajo","Disponible")))</f>
      </c>
      <c r="L75" s="17">
        <f>IF($A75="","",IFERROR(VLOOKUP($C75,'Config'!$D$2:$E$30,2,FALSE),0))</f>
      </c>
      <c r="M75" s="20"/>
      <c r="N75" s="22"/>
      <c r="O75" s="22"/>
      <c r="P75" s="17">
        <f>IF(OR($A75="",$D75&lt;&gt;"Activo"),"",SUMPRODUCT(($C$2:$C$201=$C75)*($D$2:$D$201="Activo")*(($S$2:$S$201&lt;$S75)+(($S$2:$S$201=$S75)*($B$2:$B$201&lt;$B75))))+1)</f>
      </c>
      <c r="Q75" s="19">
        <f>IF($P75="","",$C75&amp;"|"&amp;$P75)</f>
      </c>
      <c r="R75" s="20"/>
      <c r="S75" s="17">
        <f>IF($A75="","",IFERROR(VALUE(TRIM(LEFT($R75,FIND("x",LOWER($R75))-1)))*VALUE(TRIM(MID($R75,FIND("x",LOWER($R75))+1,20))),0))</f>
      </c>
      <c r="T75" s="17">
        <f>IF(OR($A75="",$D75&lt;&gt;"Activo"),"",SUMPRODUCT(($D$2:$D$201="Activo")*(($C$2:$C$201&lt;$C75)+(($C$2:$C$201=$C75)*($S$2:$S$201&lt;$S75))+(($C$2:$C$201=$C75)*($S$2:$S$201=$S75)*($B$2:$B$201&lt;$B75))))+1)</f>
      </c>
      <c r="U75" s="19">
        <f>IF($T75="","","TODAS|"&amp;$T75)</f>
      </c>
      <c r="V75" s="14">
        <f>IF($A75="","",IFERROR(IF(COUNTIF('Compras'!$B:$B,$A75)=0,"",MINIFS('Compras'!$A:$A,'Compras'!$B:$B,$A75)),""))</f>
      </c>
      <c r="W75" s="17">
        <f>IF(OR($A75="",$V75=""),"",TODAY()-$V75)</f>
      </c>
      <c r="X75" s="17">
        <f>IF($A75="","",SUMIF('Ventas'!$D:$D,$A75,'Ventas'!$F:$F))</f>
      </c>
      <c r="Y75" s="19">
        <f>IF($A75="","",IF(AND($X75&gt;=3,$W75&lt;&gt;"",$W75&lt;=15),"🔥 Se vende rápido — REABASTECE",IF($K75="Agotado","🔴 Agotado — reabastece",IF($K75="Stock bajo","🟠 Stock bajo","✅ Ok"))))</f>
      </c>
    </row>
    <row r="76">
      <c r="A76" s="20"/>
      <c r="B76" s="20"/>
      <c r="C76" s="20"/>
      <c r="D76" s="20"/>
      <c r="E76" s="21"/>
      <c r="F76" s="16">
        <f>IF($A76="","",IFERROR(SUMIF('Compras'!$B:$B,$A76,'Compras'!$F:$F)/SUMIF('Compras'!$B:$B,$A76,'Compras'!$D:$D),0))</f>
      </c>
      <c r="G76" s="17">
        <f>IF($A76="","",SUMIF('Compras'!$B:$B,$A76,'Compras'!$D:$D)+SUMIF('Traslados'!$H:$H,$A76&amp;"|Casa",'Traslados'!$D:$D)-SUMIF('Traslados'!$G:$G,$A76&amp;"|Casa",'Traslados'!$D:$D)-SUMIF('Ventas'!$M:$M,$A76&amp;"|Casa",'Ventas'!$F:$F)+SUMIF('Ajustes'!$H:$H,$A76&amp;"|Casa",'Ajustes'!$D:$D))</f>
      </c>
      <c r="H76" s="17">
        <f>IF($A76="","",SUMIF('Traslados'!$H:$H,$A76&amp;"|Mercado Libre",'Traslados'!$D:$D)-SUMIF('Traslados'!$G:$G,$A76&amp;"|Mercado Libre",'Traslados'!$D:$D)-SUMIF('Ventas'!$M:$M,$A76&amp;"|Mercado Libre",'Ventas'!$F:$F)+SUMIF('Ajustes'!$H:$H,$A76&amp;"|Mercado Libre",'Ajustes'!$D:$D))</f>
      </c>
      <c r="I76" s="17">
        <f>IF($A76="","",$G76+$H76)</f>
      </c>
      <c r="J76" s="16">
        <f>IF($A76="","",$I76*$F76)</f>
      </c>
      <c r="K76" s="19">
        <f>IF($A76="","",IF($I76&lt;=0,"Agotado",IF($I76&lt;=$E76,"Stock bajo","Disponible")))</f>
      </c>
      <c r="L76" s="17">
        <f>IF($A76="","",IFERROR(VLOOKUP($C76,'Config'!$D$2:$E$30,2,FALSE),0))</f>
      </c>
      <c r="M76" s="20"/>
      <c r="N76" s="22"/>
      <c r="O76" s="22"/>
      <c r="P76" s="17">
        <f>IF(OR($A76="",$D76&lt;&gt;"Activo"),"",SUMPRODUCT(($C$2:$C$201=$C76)*($D$2:$D$201="Activo")*(($S$2:$S$201&lt;$S76)+(($S$2:$S$201=$S76)*($B$2:$B$201&lt;$B76))))+1)</f>
      </c>
      <c r="Q76" s="19">
        <f>IF($P76="","",$C76&amp;"|"&amp;$P76)</f>
      </c>
      <c r="R76" s="20"/>
      <c r="S76" s="17">
        <f>IF($A76="","",IFERROR(VALUE(TRIM(LEFT($R76,FIND("x",LOWER($R76))-1)))*VALUE(TRIM(MID($R76,FIND("x",LOWER($R76))+1,20))),0))</f>
      </c>
      <c r="T76" s="17">
        <f>IF(OR($A76="",$D76&lt;&gt;"Activo"),"",SUMPRODUCT(($D$2:$D$201="Activo")*(($C$2:$C$201&lt;$C76)+(($C$2:$C$201=$C76)*($S$2:$S$201&lt;$S76))+(($C$2:$C$201=$C76)*($S$2:$S$201=$S76)*($B$2:$B$201&lt;$B76))))+1)</f>
      </c>
      <c r="U76" s="19">
        <f>IF($T76="","","TODAS|"&amp;$T76)</f>
      </c>
      <c r="V76" s="14">
        <f>IF($A76="","",IFERROR(IF(COUNTIF('Compras'!$B:$B,$A76)=0,"",MINIFS('Compras'!$A:$A,'Compras'!$B:$B,$A76)),""))</f>
      </c>
      <c r="W76" s="17">
        <f>IF(OR($A76="",$V76=""),"",TODAY()-$V76)</f>
      </c>
      <c r="X76" s="17">
        <f>IF($A76="","",SUMIF('Ventas'!$D:$D,$A76,'Ventas'!$F:$F))</f>
      </c>
      <c r="Y76" s="19">
        <f>IF($A76="","",IF(AND($X76&gt;=3,$W76&lt;&gt;"",$W76&lt;=15),"🔥 Se vende rápido — REABASTECE",IF($K76="Agotado","🔴 Agotado — reabastece",IF($K76="Stock bajo","🟠 Stock bajo","✅ Ok"))))</f>
      </c>
    </row>
    <row r="77">
      <c r="A77" s="20"/>
      <c r="B77" s="20"/>
      <c r="C77" s="20"/>
      <c r="D77" s="20"/>
      <c r="E77" s="21"/>
      <c r="F77" s="16">
        <f>IF($A77="","",IFERROR(SUMIF('Compras'!$B:$B,$A77,'Compras'!$F:$F)/SUMIF('Compras'!$B:$B,$A77,'Compras'!$D:$D),0))</f>
      </c>
      <c r="G77" s="17">
        <f>IF($A77="","",SUMIF('Compras'!$B:$B,$A77,'Compras'!$D:$D)+SUMIF('Traslados'!$H:$H,$A77&amp;"|Casa",'Traslados'!$D:$D)-SUMIF('Traslados'!$G:$G,$A77&amp;"|Casa",'Traslados'!$D:$D)-SUMIF('Ventas'!$M:$M,$A77&amp;"|Casa",'Ventas'!$F:$F)+SUMIF('Ajustes'!$H:$H,$A77&amp;"|Casa",'Ajustes'!$D:$D))</f>
      </c>
      <c r="H77" s="17">
        <f>IF($A77="","",SUMIF('Traslados'!$H:$H,$A77&amp;"|Mercado Libre",'Traslados'!$D:$D)-SUMIF('Traslados'!$G:$G,$A77&amp;"|Mercado Libre",'Traslados'!$D:$D)-SUMIF('Ventas'!$M:$M,$A77&amp;"|Mercado Libre",'Ventas'!$F:$F)+SUMIF('Ajustes'!$H:$H,$A77&amp;"|Mercado Libre",'Ajustes'!$D:$D))</f>
      </c>
      <c r="I77" s="17">
        <f>IF($A77="","",$G77+$H77)</f>
      </c>
      <c r="J77" s="16">
        <f>IF($A77="","",$I77*$F77)</f>
      </c>
      <c r="K77" s="19">
        <f>IF($A77="","",IF($I77&lt;=0,"Agotado",IF($I77&lt;=$E77,"Stock bajo","Disponible")))</f>
      </c>
      <c r="L77" s="17">
        <f>IF($A77="","",IFERROR(VLOOKUP($C77,'Config'!$D$2:$E$30,2,FALSE),0))</f>
      </c>
      <c r="M77" s="20"/>
      <c r="N77" s="22"/>
      <c r="O77" s="22"/>
      <c r="P77" s="17">
        <f>IF(OR($A77="",$D77&lt;&gt;"Activo"),"",SUMPRODUCT(($C$2:$C$201=$C77)*($D$2:$D$201="Activo")*(($S$2:$S$201&lt;$S77)+(($S$2:$S$201=$S77)*($B$2:$B$201&lt;$B77))))+1)</f>
      </c>
      <c r="Q77" s="19">
        <f>IF($P77="","",$C77&amp;"|"&amp;$P77)</f>
      </c>
      <c r="R77" s="20"/>
      <c r="S77" s="17">
        <f>IF($A77="","",IFERROR(VALUE(TRIM(LEFT($R77,FIND("x",LOWER($R77))-1)))*VALUE(TRIM(MID($R77,FIND("x",LOWER($R77))+1,20))),0))</f>
      </c>
      <c r="T77" s="17">
        <f>IF(OR($A77="",$D77&lt;&gt;"Activo"),"",SUMPRODUCT(($D$2:$D$201="Activo")*(($C$2:$C$201&lt;$C77)+(($C$2:$C$201=$C77)*($S$2:$S$201&lt;$S77))+(($C$2:$C$201=$C77)*($S$2:$S$201=$S77)*($B$2:$B$201&lt;$B77))))+1)</f>
      </c>
      <c r="U77" s="19">
        <f>IF($T77="","","TODAS|"&amp;$T77)</f>
      </c>
      <c r="V77" s="14">
        <f>IF($A77="","",IFERROR(IF(COUNTIF('Compras'!$B:$B,$A77)=0,"",MINIFS('Compras'!$A:$A,'Compras'!$B:$B,$A77)),""))</f>
      </c>
      <c r="W77" s="17">
        <f>IF(OR($A77="",$V77=""),"",TODAY()-$V77)</f>
      </c>
      <c r="X77" s="17">
        <f>IF($A77="","",SUMIF('Ventas'!$D:$D,$A77,'Ventas'!$F:$F))</f>
      </c>
      <c r="Y77" s="19">
        <f>IF($A77="","",IF(AND($X77&gt;=3,$W77&lt;&gt;"",$W77&lt;=15),"🔥 Se vende rápido — REABASTECE",IF($K77="Agotado","🔴 Agotado — reabastece",IF($K77="Stock bajo","🟠 Stock bajo","✅ Ok"))))</f>
      </c>
    </row>
    <row r="78">
      <c r="A78" s="20"/>
      <c r="B78" s="20"/>
      <c r="C78" s="20"/>
      <c r="D78" s="20"/>
      <c r="E78" s="21"/>
      <c r="F78" s="16">
        <f>IF($A78="","",IFERROR(SUMIF('Compras'!$B:$B,$A78,'Compras'!$F:$F)/SUMIF('Compras'!$B:$B,$A78,'Compras'!$D:$D),0))</f>
      </c>
      <c r="G78" s="17">
        <f>IF($A78="","",SUMIF('Compras'!$B:$B,$A78,'Compras'!$D:$D)+SUMIF('Traslados'!$H:$H,$A78&amp;"|Casa",'Traslados'!$D:$D)-SUMIF('Traslados'!$G:$G,$A78&amp;"|Casa",'Traslados'!$D:$D)-SUMIF('Ventas'!$M:$M,$A78&amp;"|Casa",'Ventas'!$F:$F)+SUMIF('Ajustes'!$H:$H,$A78&amp;"|Casa",'Ajustes'!$D:$D))</f>
      </c>
      <c r="H78" s="17">
        <f>IF($A78="","",SUMIF('Traslados'!$H:$H,$A78&amp;"|Mercado Libre",'Traslados'!$D:$D)-SUMIF('Traslados'!$G:$G,$A78&amp;"|Mercado Libre",'Traslados'!$D:$D)-SUMIF('Ventas'!$M:$M,$A78&amp;"|Mercado Libre",'Ventas'!$F:$F)+SUMIF('Ajustes'!$H:$H,$A78&amp;"|Mercado Libre",'Ajustes'!$D:$D))</f>
      </c>
      <c r="I78" s="17">
        <f>IF($A78="","",$G78+$H78)</f>
      </c>
      <c r="J78" s="16">
        <f>IF($A78="","",$I78*$F78)</f>
      </c>
      <c r="K78" s="19">
        <f>IF($A78="","",IF($I78&lt;=0,"Agotado",IF($I78&lt;=$E78,"Stock bajo","Disponible")))</f>
      </c>
      <c r="L78" s="17">
        <f>IF($A78="","",IFERROR(VLOOKUP($C78,'Config'!$D$2:$E$30,2,FALSE),0))</f>
      </c>
      <c r="M78" s="20"/>
      <c r="N78" s="22"/>
      <c r="O78" s="22"/>
      <c r="P78" s="17">
        <f>IF(OR($A78="",$D78&lt;&gt;"Activo"),"",SUMPRODUCT(($C$2:$C$201=$C78)*($D$2:$D$201="Activo")*(($S$2:$S$201&lt;$S78)+(($S$2:$S$201=$S78)*($B$2:$B$201&lt;$B78))))+1)</f>
      </c>
      <c r="Q78" s="19">
        <f>IF($P78="","",$C78&amp;"|"&amp;$P78)</f>
      </c>
      <c r="R78" s="20"/>
      <c r="S78" s="17">
        <f>IF($A78="","",IFERROR(VALUE(TRIM(LEFT($R78,FIND("x",LOWER($R78))-1)))*VALUE(TRIM(MID($R78,FIND("x",LOWER($R78))+1,20))),0))</f>
      </c>
      <c r="T78" s="17">
        <f>IF(OR($A78="",$D78&lt;&gt;"Activo"),"",SUMPRODUCT(($D$2:$D$201="Activo")*(($C$2:$C$201&lt;$C78)+(($C$2:$C$201=$C78)*($S$2:$S$201&lt;$S78))+(($C$2:$C$201=$C78)*($S$2:$S$201=$S78)*($B$2:$B$201&lt;$B78))))+1)</f>
      </c>
      <c r="U78" s="19">
        <f>IF($T78="","","TODAS|"&amp;$T78)</f>
      </c>
      <c r="V78" s="14">
        <f>IF($A78="","",IFERROR(IF(COUNTIF('Compras'!$B:$B,$A78)=0,"",MINIFS('Compras'!$A:$A,'Compras'!$B:$B,$A78)),""))</f>
      </c>
      <c r="W78" s="17">
        <f>IF(OR($A78="",$V78=""),"",TODAY()-$V78)</f>
      </c>
      <c r="X78" s="17">
        <f>IF($A78="","",SUMIF('Ventas'!$D:$D,$A78,'Ventas'!$F:$F))</f>
      </c>
      <c r="Y78" s="19">
        <f>IF($A78="","",IF(AND($X78&gt;=3,$W78&lt;&gt;"",$W78&lt;=15),"🔥 Se vende rápido — REABASTECE",IF($K78="Agotado","🔴 Agotado — reabastece",IF($K78="Stock bajo","🟠 Stock bajo","✅ Ok"))))</f>
      </c>
    </row>
    <row r="79">
      <c r="A79" s="20"/>
      <c r="B79" s="20"/>
      <c r="C79" s="20"/>
      <c r="D79" s="20"/>
      <c r="E79" s="21"/>
      <c r="F79" s="16">
        <f>IF($A79="","",IFERROR(SUMIF('Compras'!$B:$B,$A79,'Compras'!$F:$F)/SUMIF('Compras'!$B:$B,$A79,'Compras'!$D:$D),0))</f>
      </c>
      <c r="G79" s="17">
        <f>IF($A79="","",SUMIF('Compras'!$B:$B,$A79,'Compras'!$D:$D)+SUMIF('Traslados'!$H:$H,$A79&amp;"|Casa",'Traslados'!$D:$D)-SUMIF('Traslados'!$G:$G,$A79&amp;"|Casa",'Traslados'!$D:$D)-SUMIF('Ventas'!$M:$M,$A79&amp;"|Casa",'Ventas'!$F:$F)+SUMIF('Ajustes'!$H:$H,$A79&amp;"|Casa",'Ajustes'!$D:$D))</f>
      </c>
      <c r="H79" s="17">
        <f>IF($A79="","",SUMIF('Traslados'!$H:$H,$A79&amp;"|Mercado Libre",'Traslados'!$D:$D)-SUMIF('Traslados'!$G:$G,$A79&amp;"|Mercado Libre",'Traslados'!$D:$D)-SUMIF('Ventas'!$M:$M,$A79&amp;"|Mercado Libre",'Ventas'!$F:$F)+SUMIF('Ajustes'!$H:$H,$A79&amp;"|Mercado Libre",'Ajustes'!$D:$D))</f>
      </c>
      <c r="I79" s="17">
        <f>IF($A79="","",$G79+$H79)</f>
      </c>
      <c r="J79" s="16">
        <f>IF($A79="","",$I79*$F79)</f>
      </c>
      <c r="K79" s="19">
        <f>IF($A79="","",IF($I79&lt;=0,"Agotado",IF($I79&lt;=$E79,"Stock bajo","Disponible")))</f>
      </c>
      <c r="L79" s="17">
        <f>IF($A79="","",IFERROR(VLOOKUP($C79,'Config'!$D$2:$E$30,2,FALSE),0))</f>
      </c>
      <c r="M79" s="20"/>
      <c r="N79" s="22"/>
      <c r="O79" s="22"/>
      <c r="P79" s="17">
        <f>IF(OR($A79="",$D79&lt;&gt;"Activo"),"",SUMPRODUCT(($C$2:$C$201=$C79)*($D$2:$D$201="Activo")*(($S$2:$S$201&lt;$S79)+(($S$2:$S$201=$S79)*($B$2:$B$201&lt;$B79))))+1)</f>
      </c>
      <c r="Q79" s="19">
        <f>IF($P79="","",$C79&amp;"|"&amp;$P79)</f>
      </c>
      <c r="R79" s="20"/>
      <c r="S79" s="17">
        <f>IF($A79="","",IFERROR(VALUE(TRIM(LEFT($R79,FIND("x",LOWER($R79))-1)))*VALUE(TRIM(MID($R79,FIND("x",LOWER($R79))+1,20))),0))</f>
      </c>
      <c r="T79" s="17">
        <f>IF(OR($A79="",$D79&lt;&gt;"Activo"),"",SUMPRODUCT(($D$2:$D$201="Activo")*(($C$2:$C$201&lt;$C79)+(($C$2:$C$201=$C79)*($S$2:$S$201&lt;$S79))+(($C$2:$C$201=$C79)*($S$2:$S$201=$S79)*($B$2:$B$201&lt;$B79))))+1)</f>
      </c>
      <c r="U79" s="19">
        <f>IF($T79="","","TODAS|"&amp;$T79)</f>
      </c>
      <c r="V79" s="14">
        <f>IF($A79="","",IFERROR(IF(COUNTIF('Compras'!$B:$B,$A79)=0,"",MINIFS('Compras'!$A:$A,'Compras'!$B:$B,$A79)),""))</f>
      </c>
      <c r="W79" s="17">
        <f>IF(OR($A79="",$V79=""),"",TODAY()-$V79)</f>
      </c>
      <c r="X79" s="17">
        <f>IF($A79="","",SUMIF('Ventas'!$D:$D,$A79,'Ventas'!$F:$F))</f>
      </c>
      <c r="Y79" s="19">
        <f>IF($A79="","",IF(AND($X79&gt;=3,$W79&lt;&gt;"",$W79&lt;=15),"🔥 Se vende rápido — REABASTECE",IF($K79="Agotado","🔴 Agotado — reabastece",IF($K79="Stock bajo","🟠 Stock bajo","✅ Ok"))))</f>
      </c>
    </row>
    <row r="80">
      <c r="A80" s="20"/>
      <c r="B80" s="20"/>
      <c r="C80" s="20"/>
      <c r="D80" s="20"/>
      <c r="E80" s="21"/>
      <c r="F80" s="16">
        <f>IF($A80="","",IFERROR(SUMIF('Compras'!$B:$B,$A80,'Compras'!$F:$F)/SUMIF('Compras'!$B:$B,$A80,'Compras'!$D:$D),0))</f>
      </c>
      <c r="G80" s="17">
        <f>IF($A80="","",SUMIF('Compras'!$B:$B,$A80,'Compras'!$D:$D)+SUMIF('Traslados'!$H:$H,$A80&amp;"|Casa",'Traslados'!$D:$D)-SUMIF('Traslados'!$G:$G,$A80&amp;"|Casa",'Traslados'!$D:$D)-SUMIF('Ventas'!$M:$M,$A80&amp;"|Casa",'Ventas'!$F:$F)+SUMIF('Ajustes'!$H:$H,$A80&amp;"|Casa",'Ajustes'!$D:$D))</f>
      </c>
      <c r="H80" s="17">
        <f>IF($A80="","",SUMIF('Traslados'!$H:$H,$A80&amp;"|Mercado Libre",'Traslados'!$D:$D)-SUMIF('Traslados'!$G:$G,$A80&amp;"|Mercado Libre",'Traslados'!$D:$D)-SUMIF('Ventas'!$M:$M,$A80&amp;"|Mercado Libre",'Ventas'!$F:$F)+SUMIF('Ajustes'!$H:$H,$A80&amp;"|Mercado Libre",'Ajustes'!$D:$D))</f>
      </c>
      <c r="I80" s="17">
        <f>IF($A80="","",$G80+$H80)</f>
      </c>
      <c r="J80" s="16">
        <f>IF($A80="","",$I80*$F80)</f>
      </c>
      <c r="K80" s="19">
        <f>IF($A80="","",IF($I80&lt;=0,"Agotado",IF($I80&lt;=$E80,"Stock bajo","Disponible")))</f>
      </c>
      <c r="L80" s="17">
        <f>IF($A80="","",IFERROR(VLOOKUP($C80,'Config'!$D$2:$E$30,2,FALSE),0))</f>
      </c>
      <c r="M80" s="20"/>
      <c r="N80" s="22"/>
      <c r="O80" s="22"/>
      <c r="P80" s="17">
        <f>IF(OR($A80="",$D80&lt;&gt;"Activo"),"",SUMPRODUCT(($C$2:$C$201=$C80)*($D$2:$D$201="Activo")*(($S$2:$S$201&lt;$S80)+(($S$2:$S$201=$S80)*($B$2:$B$201&lt;$B80))))+1)</f>
      </c>
      <c r="Q80" s="19">
        <f>IF($P80="","",$C80&amp;"|"&amp;$P80)</f>
      </c>
      <c r="R80" s="20"/>
      <c r="S80" s="17">
        <f>IF($A80="","",IFERROR(VALUE(TRIM(LEFT($R80,FIND("x",LOWER($R80))-1)))*VALUE(TRIM(MID($R80,FIND("x",LOWER($R80))+1,20))),0))</f>
      </c>
      <c r="T80" s="17">
        <f>IF(OR($A80="",$D80&lt;&gt;"Activo"),"",SUMPRODUCT(($D$2:$D$201="Activo")*(($C$2:$C$201&lt;$C80)+(($C$2:$C$201=$C80)*($S$2:$S$201&lt;$S80))+(($C$2:$C$201=$C80)*($S$2:$S$201=$S80)*($B$2:$B$201&lt;$B80))))+1)</f>
      </c>
      <c r="U80" s="19">
        <f>IF($T80="","","TODAS|"&amp;$T80)</f>
      </c>
      <c r="V80" s="14">
        <f>IF($A80="","",IFERROR(IF(COUNTIF('Compras'!$B:$B,$A80)=0,"",MINIFS('Compras'!$A:$A,'Compras'!$B:$B,$A80)),""))</f>
      </c>
      <c r="W80" s="17">
        <f>IF(OR($A80="",$V80=""),"",TODAY()-$V80)</f>
      </c>
      <c r="X80" s="17">
        <f>IF($A80="","",SUMIF('Ventas'!$D:$D,$A80,'Ventas'!$F:$F))</f>
      </c>
      <c r="Y80" s="19">
        <f>IF($A80="","",IF(AND($X80&gt;=3,$W80&lt;&gt;"",$W80&lt;=15),"🔥 Se vende rápido — REABASTECE",IF($K80="Agotado","🔴 Agotado — reabastece",IF($K80="Stock bajo","🟠 Stock bajo","✅ Ok"))))</f>
      </c>
    </row>
    <row r="81">
      <c r="A81" s="20"/>
      <c r="B81" s="20"/>
      <c r="C81" s="20"/>
      <c r="D81" s="20"/>
      <c r="E81" s="21"/>
      <c r="F81" s="16">
        <f>IF($A81="","",IFERROR(SUMIF('Compras'!$B:$B,$A81,'Compras'!$F:$F)/SUMIF('Compras'!$B:$B,$A81,'Compras'!$D:$D),0))</f>
      </c>
      <c r="G81" s="17">
        <f>IF($A81="","",SUMIF('Compras'!$B:$B,$A81,'Compras'!$D:$D)+SUMIF('Traslados'!$H:$H,$A81&amp;"|Casa",'Traslados'!$D:$D)-SUMIF('Traslados'!$G:$G,$A81&amp;"|Casa",'Traslados'!$D:$D)-SUMIF('Ventas'!$M:$M,$A81&amp;"|Casa",'Ventas'!$F:$F)+SUMIF('Ajustes'!$H:$H,$A81&amp;"|Casa",'Ajustes'!$D:$D))</f>
      </c>
      <c r="H81" s="17">
        <f>IF($A81="","",SUMIF('Traslados'!$H:$H,$A81&amp;"|Mercado Libre",'Traslados'!$D:$D)-SUMIF('Traslados'!$G:$G,$A81&amp;"|Mercado Libre",'Traslados'!$D:$D)-SUMIF('Ventas'!$M:$M,$A81&amp;"|Mercado Libre",'Ventas'!$F:$F)+SUMIF('Ajustes'!$H:$H,$A81&amp;"|Mercado Libre",'Ajustes'!$D:$D))</f>
      </c>
      <c r="I81" s="17">
        <f>IF($A81="","",$G81+$H81)</f>
      </c>
      <c r="J81" s="16">
        <f>IF($A81="","",$I81*$F81)</f>
      </c>
      <c r="K81" s="19">
        <f>IF($A81="","",IF($I81&lt;=0,"Agotado",IF($I81&lt;=$E81,"Stock bajo","Disponible")))</f>
      </c>
      <c r="L81" s="17">
        <f>IF($A81="","",IFERROR(VLOOKUP($C81,'Config'!$D$2:$E$30,2,FALSE),0))</f>
      </c>
      <c r="M81" s="20"/>
      <c r="N81" s="22"/>
      <c r="O81" s="22"/>
      <c r="P81" s="17">
        <f>IF(OR($A81="",$D81&lt;&gt;"Activo"),"",SUMPRODUCT(($C$2:$C$201=$C81)*($D$2:$D$201="Activo")*(($S$2:$S$201&lt;$S81)+(($S$2:$S$201=$S81)*($B$2:$B$201&lt;$B81))))+1)</f>
      </c>
      <c r="Q81" s="19">
        <f>IF($P81="","",$C81&amp;"|"&amp;$P81)</f>
      </c>
      <c r="R81" s="20"/>
      <c r="S81" s="17">
        <f>IF($A81="","",IFERROR(VALUE(TRIM(LEFT($R81,FIND("x",LOWER($R81))-1)))*VALUE(TRIM(MID($R81,FIND("x",LOWER($R81))+1,20))),0))</f>
      </c>
      <c r="T81" s="17">
        <f>IF(OR($A81="",$D81&lt;&gt;"Activo"),"",SUMPRODUCT(($D$2:$D$201="Activo")*(($C$2:$C$201&lt;$C81)+(($C$2:$C$201=$C81)*($S$2:$S$201&lt;$S81))+(($C$2:$C$201=$C81)*($S$2:$S$201=$S81)*($B$2:$B$201&lt;$B81))))+1)</f>
      </c>
      <c r="U81" s="19">
        <f>IF($T81="","","TODAS|"&amp;$T81)</f>
      </c>
      <c r="V81" s="14">
        <f>IF($A81="","",IFERROR(IF(COUNTIF('Compras'!$B:$B,$A81)=0,"",MINIFS('Compras'!$A:$A,'Compras'!$B:$B,$A81)),""))</f>
      </c>
      <c r="W81" s="17">
        <f>IF(OR($A81="",$V81=""),"",TODAY()-$V81)</f>
      </c>
      <c r="X81" s="17">
        <f>IF($A81="","",SUMIF('Ventas'!$D:$D,$A81,'Ventas'!$F:$F))</f>
      </c>
      <c r="Y81" s="19">
        <f>IF($A81="","",IF(AND($X81&gt;=3,$W81&lt;&gt;"",$W81&lt;=15),"🔥 Se vende rápido — REABASTECE",IF($K81="Agotado","🔴 Agotado — reabastece",IF($K81="Stock bajo","🟠 Stock bajo","✅ Ok"))))</f>
      </c>
    </row>
    <row r="82">
      <c r="A82" s="20"/>
      <c r="B82" s="20"/>
      <c r="C82" s="20"/>
      <c r="D82" s="20"/>
      <c r="E82" s="21"/>
      <c r="F82" s="16">
        <f>IF($A82="","",IFERROR(SUMIF('Compras'!$B:$B,$A82,'Compras'!$F:$F)/SUMIF('Compras'!$B:$B,$A82,'Compras'!$D:$D),0))</f>
      </c>
      <c r="G82" s="17">
        <f>IF($A82="","",SUMIF('Compras'!$B:$B,$A82,'Compras'!$D:$D)+SUMIF('Traslados'!$H:$H,$A82&amp;"|Casa",'Traslados'!$D:$D)-SUMIF('Traslados'!$G:$G,$A82&amp;"|Casa",'Traslados'!$D:$D)-SUMIF('Ventas'!$M:$M,$A82&amp;"|Casa",'Ventas'!$F:$F)+SUMIF('Ajustes'!$H:$H,$A82&amp;"|Casa",'Ajustes'!$D:$D))</f>
      </c>
      <c r="H82" s="17">
        <f>IF($A82="","",SUMIF('Traslados'!$H:$H,$A82&amp;"|Mercado Libre",'Traslados'!$D:$D)-SUMIF('Traslados'!$G:$G,$A82&amp;"|Mercado Libre",'Traslados'!$D:$D)-SUMIF('Ventas'!$M:$M,$A82&amp;"|Mercado Libre",'Ventas'!$F:$F)+SUMIF('Ajustes'!$H:$H,$A82&amp;"|Mercado Libre",'Ajustes'!$D:$D))</f>
      </c>
      <c r="I82" s="17">
        <f>IF($A82="","",$G82+$H82)</f>
      </c>
      <c r="J82" s="16">
        <f>IF($A82="","",$I82*$F82)</f>
      </c>
      <c r="K82" s="19">
        <f>IF($A82="","",IF($I82&lt;=0,"Agotado",IF($I82&lt;=$E82,"Stock bajo","Disponible")))</f>
      </c>
      <c r="L82" s="17">
        <f>IF($A82="","",IFERROR(VLOOKUP($C82,'Config'!$D$2:$E$30,2,FALSE),0))</f>
      </c>
      <c r="M82" s="20"/>
      <c r="N82" s="22"/>
      <c r="O82" s="22"/>
      <c r="P82" s="17">
        <f>IF(OR($A82="",$D82&lt;&gt;"Activo"),"",SUMPRODUCT(($C$2:$C$201=$C82)*($D$2:$D$201="Activo")*(($S$2:$S$201&lt;$S82)+(($S$2:$S$201=$S82)*($B$2:$B$201&lt;$B82))))+1)</f>
      </c>
      <c r="Q82" s="19">
        <f>IF($P82="","",$C82&amp;"|"&amp;$P82)</f>
      </c>
      <c r="R82" s="20"/>
      <c r="S82" s="17">
        <f>IF($A82="","",IFERROR(VALUE(TRIM(LEFT($R82,FIND("x",LOWER($R82))-1)))*VALUE(TRIM(MID($R82,FIND("x",LOWER($R82))+1,20))),0))</f>
      </c>
      <c r="T82" s="17">
        <f>IF(OR($A82="",$D82&lt;&gt;"Activo"),"",SUMPRODUCT(($D$2:$D$201="Activo")*(($C$2:$C$201&lt;$C82)+(($C$2:$C$201=$C82)*($S$2:$S$201&lt;$S82))+(($C$2:$C$201=$C82)*($S$2:$S$201=$S82)*($B$2:$B$201&lt;$B82))))+1)</f>
      </c>
      <c r="U82" s="19">
        <f>IF($T82="","","TODAS|"&amp;$T82)</f>
      </c>
      <c r="V82" s="14">
        <f>IF($A82="","",IFERROR(IF(COUNTIF('Compras'!$B:$B,$A82)=0,"",MINIFS('Compras'!$A:$A,'Compras'!$B:$B,$A82)),""))</f>
      </c>
      <c r="W82" s="17">
        <f>IF(OR($A82="",$V82=""),"",TODAY()-$V82)</f>
      </c>
      <c r="X82" s="17">
        <f>IF($A82="","",SUMIF('Ventas'!$D:$D,$A82,'Ventas'!$F:$F))</f>
      </c>
      <c r="Y82" s="19">
        <f>IF($A82="","",IF(AND($X82&gt;=3,$W82&lt;&gt;"",$W82&lt;=15),"🔥 Se vende rápido — REABASTECE",IF($K82="Agotado","🔴 Agotado — reabastece",IF($K82="Stock bajo","🟠 Stock bajo","✅ Ok"))))</f>
      </c>
    </row>
    <row r="83">
      <c r="A83" s="20"/>
      <c r="B83" s="20"/>
      <c r="C83" s="20"/>
      <c r="D83" s="20"/>
      <c r="E83" s="21"/>
      <c r="F83" s="16">
        <f>IF($A83="","",IFERROR(SUMIF('Compras'!$B:$B,$A83,'Compras'!$F:$F)/SUMIF('Compras'!$B:$B,$A83,'Compras'!$D:$D),0))</f>
      </c>
      <c r="G83" s="17">
        <f>IF($A83="","",SUMIF('Compras'!$B:$B,$A83,'Compras'!$D:$D)+SUMIF('Traslados'!$H:$H,$A83&amp;"|Casa",'Traslados'!$D:$D)-SUMIF('Traslados'!$G:$G,$A83&amp;"|Casa",'Traslados'!$D:$D)-SUMIF('Ventas'!$M:$M,$A83&amp;"|Casa",'Ventas'!$F:$F)+SUMIF('Ajustes'!$H:$H,$A83&amp;"|Casa",'Ajustes'!$D:$D))</f>
      </c>
      <c r="H83" s="17">
        <f>IF($A83="","",SUMIF('Traslados'!$H:$H,$A83&amp;"|Mercado Libre",'Traslados'!$D:$D)-SUMIF('Traslados'!$G:$G,$A83&amp;"|Mercado Libre",'Traslados'!$D:$D)-SUMIF('Ventas'!$M:$M,$A83&amp;"|Mercado Libre",'Ventas'!$F:$F)+SUMIF('Ajustes'!$H:$H,$A83&amp;"|Mercado Libre",'Ajustes'!$D:$D))</f>
      </c>
      <c r="I83" s="17">
        <f>IF($A83="","",$G83+$H83)</f>
      </c>
      <c r="J83" s="16">
        <f>IF($A83="","",$I83*$F83)</f>
      </c>
      <c r="K83" s="19">
        <f>IF($A83="","",IF($I83&lt;=0,"Agotado",IF($I83&lt;=$E83,"Stock bajo","Disponible")))</f>
      </c>
      <c r="L83" s="17">
        <f>IF($A83="","",IFERROR(VLOOKUP($C83,'Config'!$D$2:$E$30,2,FALSE),0))</f>
      </c>
      <c r="M83" s="20"/>
      <c r="N83" s="22"/>
      <c r="O83" s="22"/>
      <c r="P83" s="17">
        <f>IF(OR($A83="",$D83&lt;&gt;"Activo"),"",SUMPRODUCT(($C$2:$C$201=$C83)*($D$2:$D$201="Activo")*(($S$2:$S$201&lt;$S83)+(($S$2:$S$201=$S83)*($B$2:$B$201&lt;$B83))))+1)</f>
      </c>
      <c r="Q83" s="19">
        <f>IF($P83="","",$C83&amp;"|"&amp;$P83)</f>
      </c>
      <c r="R83" s="20"/>
      <c r="S83" s="17">
        <f>IF($A83="","",IFERROR(VALUE(TRIM(LEFT($R83,FIND("x",LOWER($R83))-1)))*VALUE(TRIM(MID($R83,FIND("x",LOWER($R83))+1,20))),0))</f>
      </c>
      <c r="T83" s="17">
        <f>IF(OR($A83="",$D83&lt;&gt;"Activo"),"",SUMPRODUCT(($D$2:$D$201="Activo")*(($C$2:$C$201&lt;$C83)+(($C$2:$C$201=$C83)*($S$2:$S$201&lt;$S83))+(($C$2:$C$201=$C83)*($S$2:$S$201=$S83)*($B$2:$B$201&lt;$B83))))+1)</f>
      </c>
      <c r="U83" s="19">
        <f>IF($T83="","","TODAS|"&amp;$T83)</f>
      </c>
      <c r="V83" s="14">
        <f>IF($A83="","",IFERROR(IF(COUNTIF('Compras'!$B:$B,$A83)=0,"",MINIFS('Compras'!$A:$A,'Compras'!$B:$B,$A83)),""))</f>
      </c>
      <c r="W83" s="17">
        <f>IF(OR($A83="",$V83=""),"",TODAY()-$V83)</f>
      </c>
      <c r="X83" s="17">
        <f>IF($A83="","",SUMIF('Ventas'!$D:$D,$A83,'Ventas'!$F:$F))</f>
      </c>
      <c r="Y83" s="19">
        <f>IF($A83="","",IF(AND($X83&gt;=3,$W83&lt;&gt;"",$W83&lt;=15),"🔥 Se vende rápido — REABASTECE",IF($K83="Agotado","🔴 Agotado — reabastece",IF($K83="Stock bajo","🟠 Stock bajo","✅ Ok"))))</f>
      </c>
    </row>
    <row r="84">
      <c r="A84" s="20"/>
      <c r="B84" s="20"/>
      <c r="C84" s="20"/>
      <c r="D84" s="20"/>
      <c r="E84" s="21"/>
      <c r="F84" s="16">
        <f>IF($A84="","",IFERROR(SUMIF('Compras'!$B:$B,$A84,'Compras'!$F:$F)/SUMIF('Compras'!$B:$B,$A84,'Compras'!$D:$D),0))</f>
      </c>
      <c r="G84" s="17">
        <f>IF($A84="","",SUMIF('Compras'!$B:$B,$A84,'Compras'!$D:$D)+SUMIF('Traslados'!$H:$H,$A84&amp;"|Casa",'Traslados'!$D:$D)-SUMIF('Traslados'!$G:$G,$A84&amp;"|Casa",'Traslados'!$D:$D)-SUMIF('Ventas'!$M:$M,$A84&amp;"|Casa",'Ventas'!$F:$F)+SUMIF('Ajustes'!$H:$H,$A84&amp;"|Casa",'Ajustes'!$D:$D))</f>
      </c>
      <c r="H84" s="17">
        <f>IF($A84="","",SUMIF('Traslados'!$H:$H,$A84&amp;"|Mercado Libre",'Traslados'!$D:$D)-SUMIF('Traslados'!$G:$G,$A84&amp;"|Mercado Libre",'Traslados'!$D:$D)-SUMIF('Ventas'!$M:$M,$A84&amp;"|Mercado Libre",'Ventas'!$F:$F)+SUMIF('Ajustes'!$H:$H,$A84&amp;"|Mercado Libre",'Ajustes'!$D:$D))</f>
      </c>
      <c r="I84" s="17">
        <f>IF($A84="","",$G84+$H84)</f>
      </c>
      <c r="J84" s="16">
        <f>IF($A84="","",$I84*$F84)</f>
      </c>
      <c r="K84" s="19">
        <f>IF($A84="","",IF($I84&lt;=0,"Agotado",IF($I84&lt;=$E84,"Stock bajo","Disponible")))</f>
      </c>
      <c r="L84" s="17">
        <f>IF($A84="","",IFERROR(VLOOKUP($C84,'Config'!$D$2:$E$30,2,FALSE),0))</f>
      </c>
      <c r="M84" s="20"/>
      <c r="N84" s="22"/>
      <c r="O84" s="22"/>
      <c r="P84" s="17">
        <f>IF(OR($A84="",$D84&lt;&gt;"Activo"),"",SUMPRODUCT(($C$2:$C$201=$C84)*($D$2:$D$201="Activo")*(($S$2:$S$201&lt;$S84)+(($S$2:$S$201=$S84)*($B$2:$B$201&lt;$B84))))+1)</f>
      </c>
      <c r="Q84" s="19">
        <f>IF($P84="","",$C84&amp;"|"&amp;$P84)</f>
      </c>
      <c r="R84" s="20"/>
      <c r="S84" s="17">
        <f>IF($A84="","",IFERROR(VALUE(TRIM(LEFT($R84,FIND("x",LOWER($R84))-1)))*VALUE(TRIM(MID($R84,FIND("x",LOWER($R84))+1,20))),0))</f>
      </c>
      <c r="T84" s="17">
        <f>IF(OR($A84="",$D84&lt;&gt;"Activo"),"",SUMPRODUCT(($D$2:$D$201="Activo")*(($C$2:$C$201&lt;$C84)+(($C$2:$C$201=$C84)*($S$2:$S$201&lt;$S84))+(($C$2:$C$201=$C84)*($S$2:$S$201=$S84)*($B$2:$B$201&lt;$B84))))+1)</f>
      </c>
      <c r="U84" s="19">
        <f>IF($T84="","","TODAS|"&amp;$T84)</f>
      </c>
      <c r="V84" s="14">
        <f>IF($A84="","",IFERROR(IF(COUNTIF('Compras'!$B:$B,$A84)=0,"",MINIFS('Compras'!$A:$A,'Compras'!$B:$B,$A84)),""))</f>
      </c>
      <c r="W84" s="17">
        <f>IF(OR($A84="",$V84=""),"",TODAY()-$V84)</f>
      </c>
      <c r="X84" s="17">
        <f>IF($A84="","",SUMIF('Ventas'!$D:$D,$A84,'Ventas'!$F:$F))</f>
      </c>
      <c r="Y84" s="19">
        <f>IF($A84="","",IF(AND($X84&gt;=3,$W84&lt;&gt;"",$W84&lt;=15),"🔥 Se vende rápido — REABASTECE",IF($K84="Agotado","🔴 Agotado — reabastece",IF($K84="Stock bajo","🟠 Stock bajo","✅ Ok"))))</f>
      </c>
    </row>
    <row r="85">
      <c r="A85" s="20"/>
      <c r="B85" s="20"/>
      <c r="C85" s="20"/>
      <c r="D85" s="20"/>
      <c r="E85" s="21"/>
      <c r="F85" s="16">
        <f>IF($A85="","",IFERROR(SUMIF('Compras'!$B:$B,$A85,'Compras'!$F:$F)/SUMIF('Compras'!$B:$B,$A85,'Compras'!$D:$D),0))</f>
      </c>
      <c r="G85" s="17">
        <f>IF($A85="","",SUMIF('Compras'!$B:$B,$A85,'Compras'!$D:$D)+SUMIF('Traslados'!$H:$H,$A85&amp;"|Casa",'Traslados'!$D:$D)-SUMIF('Traslados'!$G:$G,$A85&amp;"|Casa",'Traslados'!$D:$D)-SUMIF('Ventas'!$M:$M,$A85&amp;"|Casa",'Ventas'!$F:$F)+SUMIF('Ajustes'!$H:$H,$A85&amp;"|Casa",'Ajustes'!$D:$D))</f>
      </c>
      <c r="H85" s="17">
        <f>IF($A85="","",SUMIF('Traslados'!$H:$H,$A85&amp;"|Mercado Libre",'Traslados'!$D:$D)-SUMIF('Traslados'!$G:$G,$A85&amp;"|Mercado Libre",'Traslados'!$D:$D)-SUMIF('Ventas'!$M:$M,$A85&amp;"|Mercado Libre",'Ventas'!$F:$F)+SUMIF('Ajustes'!$H:$H,$A85&amp;"|Mercado Libre",'Ajustes'!$D:$D))</f>
      </c>
      <c r="I85" s="17">
        <f>IF($A85="","",$G85+$H85)</f>
      </c>
      <c r="J85" s="16">
        <f>IF($A85="","",$I85*$F85)</f>
      </c>
      <c r="K85" s="19">
        <f>IF($A85="","",IF($I85&lt;=0,"Agotado",IF($I85&lt;=$E85,"Stock bajo","Disponible")))</f>
      </c>
      <c r="L85" s="17">
        <f>IF($A85="","",IFERROR(VLOOKUP($C85,'Config'!$D$2:$E$30,2,FALSE),0))</f>
      </c>
      <c r="M85" s="20"/>
      <c r="N85" s="22"/>
      <c r="O85" s="22"/>
      <c r="P85" s="17">
        <f>IF(OR($A85="",$D85&lt;&gt;"Activo"),"",SUMPRODUCT(($C$2:$C$201=$C85)*($D$2:$D$201="Activo")*(($S$2:$S$201&lt;$S85)+(($S$2:$S$201=$S85)*($B$2:$B$201&lt;$B85))))+1)</f>
      </c>
      <c r="Q85" s="19">
        <f>IF($P85="","",$C85&amp;"|"&amp;$P85)</f>
      </c>
      <c r="R85" s="20"/>
      <c r="S85" s="17">
        <f>IF($A85="","",IFERROR(VALUE(TRIM(LEFT($R85,FIND("x",LOWER($R85))-1)))*VALUE(TRIM(MID($R85,FIND("x",LOWER($R85))+1,20))),0))</f>
      </c>
      <c r="T85" s="17">
        <f>IF(OR($A85="",$D85&lt;&gt;"Activo"),"",SUMPRODUCT(($D$2:$D$201="Activo")*(($C$2:$C$201&lt;$C85)+(($C$2:$C$201=$C85)*($S$2:$S$201&lt;$S85))+(($C$2:$C$201=$C85)*($S$2:$S$201=$S85)*($B$2:$B$201&lt;$B85))))+1)</f>
      </c>
      <c r="U85" s="19">
        <f>IF($T85="","","TODAS|"&amp;$T85)</f>
      </c>
      <c r="V85" s="14">
        <f>IF($A85="","",IFERROR(IF(COUNTIF('Compras'!$B:$B,$A85)=0,"",MINIFS('Compras'!$A:$A,'Compras'!$B:$B,$A85)),""))</f>
      </c>
      <c r="W85" s="17">
        <f>IF(OR($A85="",$V85=""),"",TODAY()-$V85)</f>
      </c>
      <c r="X85" s="17">
        <f>IF($A85="","",SUMIF('Ventas'!$D:$D,$A85,'Ventas'!$F:$F))</f>
      </c>
      <c r="Y85" s="19">
        <f>IF($A85="","",IF(AND($X85&gt;=3,$W85&lt;&gt;"",$W85&lt;=15),"🔥 Se vende rápido — REABASTECE",IF($K85="Agotado","🔴 Agotado — reabastece",IF($K85="Stock bajo","🟠 Stock bajo","✅ Ok"))))</f>
      </c>
    </row>
    <row r="86">
      <c r="A86" s="20"/>
      <c r="B86" s="20"/>
      <c r="C86" s="20"/>
      <c r="D86" s="20"/>
      <c r="E86" s="21"/>
      <c r="F86" s="16">
        <f>IF($A86="","",IFERROR(SUMIF('Compras'!$B:$B,$A86,'Compras'!$F:$F)/SUMIF('Compras'!$B:$B,$A86,'Compras'!$D:$D),0))</f>
      </c>
      <c r="G86" s="17">
        <f>IF($A86="","",SUMIF('Compras'!$B:$B,$A86,'Compras'!$D:$D)+SUMIF('Traslados'!$H:$H,$A86&amp;"|Casa",'Traslados'!$D:$D)-SUMIF('Traslados'!$G:$G,$A86&amp;"|Casa",'Traslados'!$D:$D)-SUMIF('Ventas'!$M:$M,$A86&amp;"|Casa",'Ventas'!$F:$F)+SUMIF('Ajustes'!$H:$H,$A86&amp;"|Casa",'Ajustes'!$D:$D))</f>
      </c>
      <c r="H86" s="17">
        <f>IF($A86="","",SUMIF('Traslados'!$H:$H,$A86&amp;"|Mercado Libre",'Traslados'!$D:$D)-SUMIF('Traslados'!$G:$G,$A86&amp;"|Mercado Libre",'Traslados'!$D:$D)-SUMIF('Ventas'!$M:$M,$A86&amp;"|Mercado Libre",'Ventas'!$F:$F)+SUMIF('Ajustes'!$H:$H,$A86&amp;"|Mercado Libre",'Ajustes'!$D:$D))</f>
      </c>
      <c r="I86" s="17">
        <f>IF($A86="","",$G86+$H86)</f>
      </c>
      <c r="J86" s="16">
        <f>IF($A86="","",$I86*$F86)</f>
      </c>
      <c r="K86" s="19">
        <f>IF($A86="","",IF($I86&lt;=0,"Agotado",IF($I86&lt;=$E86,"Stock bajo","Disponible")))</f>
      </c>
      <c r="L86" s="17">
        <f>IF($A86="","",IFERROR(VLOOKUP($C86,'Config'!$D$2:$E$30,2,FALSE),0))</f>
      </c>
      <c r="M86" s="20"/>
      <c r="N86" s="22"/>
      <c r="O86" s="22"/>
      <c r="P86" s="17">
        <f>IF(OR($A86="",$D86&lt;&gt;"Activo"),"",SUMPRODUCT(($C$2:$C$201=$C86)*($D$2:$D$201="Activo")*(($S$2:$S$201&lt;$S86)+(($S$2:$S$201=$S86)*($B$2:$B$201&lt;$B86))))+1)</f>
      </c>
      <c r="Q86" s="19">
        <f>IF($P86="","",$C86&amp;"|"&amp;$P86)</f>
      </c>
      <c r="R86" s="20"/>
      <c r="S86" s="17">
        <f>IF($A86="","",IFERROR(VALUE(TRIM(LEFT($R86,FIND("x",LOWER($R86))-1)))*VALUE(TRIM(MID($R86,FIND("x",LOWER($R86))+1,20))),0))</f>
      </c>
      <c r="T86" s="17">
        <f>IF(OR($A86="",$D86&lt;&gt;"Activo"),"",SUMPRODUCT(($D$2:$D$201="Activo")*(($C$2:$C$201&lt;$C86)+(($C$2:$C$201=$C86)*($S$2:$S$201&lt;$S86))+(($C$2:$C$201=$C86)*($S$2:$S$201=$S86)*($B$2:$B$201&lt;$B86))))+1)</f>
      </c>
      <c r="U86" s="19">
        <f>IF($T86="","","TODAS|"&amp;$T86)</f>
      </c>
      <c r="V86" s="14">
        <f>IF($A86="","",IFERROR(IF(COUNTIF('Compras'!$B:$B,$A86)=0,"",MINIFS('Compras'!$A:$A,'Compras'!$B:$B,$A86)),""))</f>
      </c>
      <c r="W86" s="17">
        <f>IF(OR($A86="",$V86=""),"",TODAY()-$V86)</f>
      </c>
      <c r="X86" s="17">
        <f>IF($A86="","",SUMIF('Ventas'!$D:$D,$A86,'Ventas'!$F:$F))</f>
      </c>
      <c r="Y86" s="19">
        <f>IF($A86="","",IF(AND($X86&gt;=3,$W86&lt;&gt;"",$W86&lt;=15),"🔥 Se vende rápido — REABASTECE",IF($K86="Agotado","🔴 Agotado — reabastece",IF($K86="Stock bajo","🟠 Stock bajo","✅ Ok"))))</f>
      </c>
    </row>
    <row r="87">
      <c r="A87" s="20"/>
      <c r="B87" s="20"/>
      <c r="C87" s="20"/>
      <c r="D87" s="20"/>
      <c r="E87" s="21"/>
      <c r="F87" s="16">
        <f>IF($A87="","",IFERROR(SUMIF('Compras'!$B:$B,$A87,'Compras'!$F:$F)/SUMIF('Compras'!$B:$B,$A87,'Compras'!$D:$D),0))</f>
      </c>
      <c r="G87" s="17">
        <f>IF($A87="","",SUMIF('Compras'!$B:$B,$A87,'Compras'!$D:$D)+SUMIF('Traslados'!$H:$H,$A87&amp;"|Casa",'Traslados'!$D:$D)-SUMIF('Traslados'!$G:$G,$A87&amp;"|Casa",'Traslados'!$D:$D)-SUMIF('Ventas'!$M:$M,$A87&amp;"|Casa",'Ventas'!$F:$F)+SUMIF('Ajustes'!$H:$H,$A87&amp;"|Casa",'Ajustes'!$D:$D))</f>
      </c>
      <c r="H87" s="17">
        <f>IF($A87="","",SUMIF('Traslados'!$H:$H,$A87&amp;"|Mercado Libre",'Traslados'!$D:$D)-SUMIF('Traslados'!$G:$G,$A87&amp;"|Mercado Libre",'Traslados'!$D:$D)-SUMIF('Ventas'!$M:$M,$A87&amp;"|Mercado Libre",'Ventas'!$F:$F)+SUMIF('Ajustes'!$H:$H,$A87&amp;"|Mercado Libre",'Ajustes'!$D:$D))</f>
      </c>
      <c r="I87" s="17">
        <f>IF($A87="","",$G87+$H87)</f>
      </c>
      <c r="J87" s="16">
        <f>IF($A87="","",$I87*$F87)</f>
      </c>
      <c r="K87" s="19">
        <f>IF($A87="","",IF($I87&lt;=0,"Agotado",IF($I87&lt;=$E87,"Stock bajo","Disponible")))</f>
      </c>
      <c r="L87" s="17">
        <f>IF($A87="","",IFERROR(VLOOKUP($C87,'Config'!$D$2:$E$30,2,FALSE),0))</f>
      </c>
      <c r="M87" s="20"/>
      <c r="N87" s="22"/>
      <c r="O87" s="22"/>
      <c r="P87" s="17">
        <f>IF(OR($A87="",$D87&lt;&gt;"Activo"),"",SUMPRODUCT(($C$2:$C$201=$C87)*($D$2:$D$201="Activo")*(($S$2:$S$201&lt;$S87)+(($S$2:$S$201=$S87)*($B$2:$B$201&lt;$B87))))+1)</f>
      </c>
      <c r="Q87" s="19">
        <f>IF($P87="","",$C87&amp;"|"&amp;$P87)</f>
      </c>
      <c r="R87" s="20"/>
      <c r="S87" s="17">
        <f>IF($A87="","",IFERROR(VALUE(TRIM(LEFT($R87,FIND("x",LOWER($R87))-1)))*VALUE(TRIM(MID($R87,FIND("x",LOWER($R87))+1,20))),0))</f>
      </c>
      <c r="T87" s="17">
        <f>IF(OR($A87="",$D87&lt;&gt;"Activo"),"",SUMPRODUCT(($D$2:$D$201="Activo")*(($C$2:$C$201&lt;$C87)+(($C$2:$C$201=$C87)*($S$2:$S$201&lt;$S87))+(($C$2:$C$201=$C87)*($S$2:$S$201=$S87)*($B$2:$B$201&lt;$B87))))+1)</f>
      </c>
      <c r="U87" s="19">
        <f>IF($T87="","","TODAS|"&amp;$T87)</f>
      </c>
      <c r="V87" s="14">
        <f>IF($A87="","",IFERROR(IF(COUNTIF('Compras'!$B:$B,$A87)=0,"",MINIFS('Compras'!$A:$A,'Compras'!$B:$B,$A87)),""))</f>
      </c>
      <c r="W87" s="17">
        <f>IF(OR($A87="",$V87=""),"",TODAY()-$V87)</f>
      </c>
      <c r="X87" s="17">
        <f>IF($A87="","",SUMIF('Ventas'!$D:$D,$A87,'Ventas'!$F:$F))</f>
      </c>
      <c r="Y87" s="19">
        <f>IF($A87="","",IF(AND($X87&gt;=3,$W87&lt;&gt;"",$W87&lt;=15),"🔥 Se vende rápido — REABASTECE",IF($K87="Agotado","🔴 Agotado — reabastece",IF($K87="Stock bajo","🟠 Stock bajo","✅ Ok"))))</f>
      </c>
    </row>
    <row r="88">
      <c r="A88" s="20"/>
      <c r="B88" s="20"/>
      <c r="C88" s="20"/>
      <c r="D88" s="20"/>
      <c r="E88" s="21"/>
      <c r="F88" s="16">
        <f>IF($A88="","",IFERROR(SUMIF('Compras'!$B:$B,$A88,'Compras'!$F:$F)/SUMIF('Compras'!$B:$B,$A88,'Compras'!$D:$D),0))</f>
      </c>
      <c r="G88" s="17">
        <f>IF($A88="","",SUMIF('Compras'!$B:$B,$A88,'Compras'!$D:$D)+SUMIF('Traslados'!$H:$H,$A88&amp;"|Casa",'Traslados'!$D:$D)-SUMIF('Traslados'!$G:$G,$A88&amp;"|Casa",'Traslados'!$D:$D)-SUMIF('Ventas'!$M:$M,$A88&amp;"|Casa",'Ventas'!$F:$F)+SUMIF('Ajustes'!$H:$H,$A88&amp;"|Casa",'Ajustes'!$D:$D))</f>
      </c>
      <c r="H88" s="17">
        <f>IF($A88="","",SUMIF('Traslados'!$H:$H,$A88&amp;"|Mercado Libre",'Traslados'!$D:$D)-SUMIF('Traslados'!$G:$G,$A88&amp;"|Mercado Libre",'Traslados'!$D:$D)-SUMIF('Ventas'!$M:$M,$A88&amp;"|Mercado Libre",'Ventas'!$F:$F)+SUMIF('Ajustes'!$H:$H,$A88&amp;"|Mercado Libre",'Ajustes'!$D:$D))</f>
      </c>
      <c r="I88" s="17">
        <f>IF($A88="","",$G88+$H88)</f>
      </c>
      <c r="J88" s="16">
        <f>IF($A88="","",$I88*$F88)</f>
      </c>
      <c r="K88" s="19">
        <f>IF($A88="","",IF($I88&lt;=0,"Agotado",IF($I88&lt;=$E88,"Stock bajo","Disponible")))</f>
      </c>
      <c r="L88" s="17">
        <f>IF($A88="","",IFERROR(VLOOKUP($C88,'Config'!$D$2:$E$30,2,FALSE),0))</f>
      </c>
      <c r="M88" s="20"/>
      <c r="N88" s="22"/>
      <c r="O88" s="22"/>
      <c r="P88" s="17">
        <f>IF(OR($A88="",$D88&lt;&gt;"Activo"),"",SUMPRODUCT(($C$2:$C$201=$C88)*($D$2:$D$201="Activo")*(($S$2:$S$201&lt;$S88)+(($S$2:$S$201=$S88)*($B$2:$B$201&lt;$B88))))+1)</f>
      </c>
      <c r="Q88" s="19">
        <f>IF($P88="","",$C88&amp;"|"&amp;$P88)</f>
      </c>
      <c r="R88" s="20"/>
      <c r="S88" s="17">
        <f>IF($A88="","",IFERROR(VALUE(TRIM(LEFT($R88,FIND("x",LOWER($R88))-1)))*VALUE(TRIM(MID($R88,FIND("x",LOWER($R88))+1,20))),0))</f>
      </c>
      <c r="T88" s="17">
        <f>IF(OR($A88="",$D88&lt;&gt;"Activo"),"",SUMPRODUCT(($D$2:$D$201="Activo")*(($C$2:$C$201&lt;$C88)+(($C$2:$C$201=$C88)*($S$2:$S$201&lt;$S88))+(($C$2:$C$201=$C88)*($S$2:$S$201=$S88)*($B$2:$B$201&lt;$B88))))+1)</f>
      </c>
      <c r="U88" s="19">
        <f>IF($T88="","","TODAS|"&amp;$T88)</f>
      </c>
      <c r="V88" s="14">
        <f>IF($A88="","",IFERROR(IF(COUNTIF('Compras'!$B:$B,$A88)=0,"",MINIFS('Compras'!$A:$A,'Compras'!$B:$B,$A88)),""))</f>
      </c>
      <c r="W88" s="17">
        <f>IF(OR($A88="",$V88=""),"",TODAY()-$V88)</f>
      </c>
      <c r="X88" s="17">
        <f>IF($A88="","",SUMIF('Ventas'!$D:$D,$A88,'Ventas'!$F:$F))</f>
      </c>
      <c r="Y88" s="19">
        <f>IF($A88="","",IF(AND($X88&gt;=3,$W88&lt;&gt;"",$W88&lt;=15),"🔥 Se vende rápido — REABASTECE",IF($K88="Agotado","🔴 Agotado — reabastece",IF($K88="Stock bajo","🟠 Stock bajo","✅ Ok"))))</f>
      </c>
    </row>
    <row r="89">
      <c r="A89" s="20"/>
      <c r="B89" s="20"/>
      <c r="C89" s="20"/>
      <c r="D89" s="20"/>
      <c r="E89" s="21"/>
      <c r="F89" s="16">
        <f>IF($A89="","",IFERROR(SUMIF('Compras'!$B:$B,$A89,'Compras'!$F:$F)/SUMIF('Compras'!$B:$B,$A89,'Compras'!$D:$D),0))</f>
      </c>
      <c r="G89" s="17">
        <f>IF($A89="","",SUMIF('Compras'!$B:$B,$A89,'Compras'!$D:$D)+SUMIF('Traslados'!$H:$H,$A89&amp;"|Casa",'Traslados'!$D:$D)-SUMIF('Traslados'!$G:$G,$A89&amp;"|Casa",'Traslados'!$D:$D)-SUMIF('Ventas'!$M:$M,$A89&amp;"|Casa",'Ventas'!$F:$F)+SUMIF('Ajustes'!$H:$H,$A89&amp;"|Casa",'Ajustes'!$D:$D))</f>
      </c>
      <c r="H89" s="17">
        <f>IF($A89="","",SUMIF('Traslados'!$H:$H,$A89&amp;"|Mercado Libre",'Traslados'!$D:$D)-SUMIF('Traslados'!$G:$G,$A89&amp;"|Mercado Libre",'Traslados'!$D:$D)-SUMIF('Ventas'!$M:$M,$A89&amp;"|Mercado Libre",'Ventas'!$F:$F)+SUMIF('Ajustes'!$H:$H,$A89&amp;"|Mercado Libre",'Ajustes'!$D:$D))</f>
      </c>
      <c r="I89" s="17">
        <f>IF($A89="","",$G89+$H89)</f>
      </c>
      <c r="J89" s="16">
        <f>IF($A89="","",$I89*$F89)</f>
      </c>
      <c r="K89" s="19">
        <f>IF($A89="","",IF($I89&lt;=0,"Agotado",IF($I89&lt;=$E89,"Stock bajo","Disponible")))</f>
      </c>
      <c r="L89" s="17">
        <f>IF($A89="","",IFERROR(VLOOKUP($C89,'Config'!$D$2:$E$30,2,FALSE),0))</f>
      </c>
      <c r="M89" s="20"/>
      <c r="N89" s="22"/>
      <c r="O89" s="22"/>
      <c r="P89" s="17">
        <f>IF(OR($A89="",$D89&lt;&gt;"Activo"),"",SUMPRODUCT(($C$2:$C$201=$C89)*($D$2:$D$201="Activo")*(($S$2:$S$201&lt;$S89)+(($S$2:$S$201=$S89)*($B$2:$B$201&lt;$B89))))+1)</f>
      </c>
      <c r="Q89" s="19">
        <f>IF($P89="","",$C89&amp;"|"&amp;$P89)</f>
      </c>
      <c r="R89" s="20"/>
      <c r="S89" s="17">
        <f>IF($A89="","",IFERROR(VALUE(TRIM(LEFT($R89,FIND("x",LOWER($R89))-1)))*VALUE(TRIM(MID($R89,FIND("x",LOWER($R89))+1,20))),0))</f>
      </c>
      <c r="T89" s="17">
        <f>IF(OR($A89="",$D89&lt;&gt;"Activo"),"",SUMPRODUCT(($D$2:$D$201="Activo")*(($C$2:$C$201&lt;$C89)+(($C$2:$C$201=$C89)*($S$2:$S$201&lt;$S89))+(($C$2:$C$201=$C89)*($S$2:$S$201=$S89)*($B$2:$B$201&lt;$B89))))+1)</f>
      </c>
      <c r="U89" s="19">
        <f>IF($T89="","","TODAS|"&amp;$T89)</f>
      </c>
      <c r="V89" s="14">
        <f>IF($A89="","",IFERROR(IF(COUNTIF('Compras'!$B:$B,$A89)=0,"",MINIFS('Compras'!$A:$A,'Compras'!$B:$B,$A89)),""))</f>
      </c>
      <c r="W89" s="17">
        <f>IF(OR($A89="",$V89=""),"",TODAY()-$V89)</f>
      </c>
      <c r="X89" s="17">
        <f>IF($A89="","",SUMIF('Ventas'!$D:$D,$A89,'Ventas'!$F:$F))</f>
      </c>
      <c r="Y89" s="19">
        <f>IF($A89="","",IF(AND($X89&gt;=3,$W89&lt;&gt;"",$W89&lt;=15),"🔥 Se vende rápido — REABASTECE",IF($K89="Agotado","🔴 Agotado — reabastece",IF($K89="Stock bajo","🟠 Stock bajo","✅ Ok"))))</f>
      </c>
    </row>
    <row r="90">
      <c r="A90" s="20"/>
      <c r="B90" s="20"/>
      <c r="C90" s="20"/>
      <c r="D90" s="20"/>
      <c r="E90" s="21"/>
      <c r="F90" s="16">
        <f>IF($A90="","",IFERROR(SUMIF('Compras'!$B:$B,$A90,'Compras'!$F:$F)/SUMIF('Compras'!$B:$B,$A90,'Compras'!$D:$D),0))</f>
      </c>
      <c r="G90" s="17">
        <f>IF($A90="","",SUMIF('Compras'!$B:$B,$A90,'Compras'!$D:$D)+SUMIF('Traslados'!$H:$H,$A90&amp;"|Casa",'Traslados'!$D:$D)-SUMIF('Traslados'!$G:$G,$A90&amp;"|Casa",'Traslados'!$D:$D)-SUMIF('Ventas'!$M:$M,$A90&amp;"|Casa",'Ventas'!$F:$F)+SUMIF('Ajustes'!$H:$H,$A90&amp;"|Casa",'Ajustes'!$D:$D))</f>
      </c>
      <c r="H90" s="17">
        <f>IF($A90="","",SUMIF('Traslados'!$H:$H,$A90&amp;"|Mercado Libre",'Traslados'!$D:$D)-SUMIF('Traslados'!$G:$G,$A90&amp;"|Mercado Libre",'Traslados'!$D:$D)-SUMIF('Ventas'!$M:$M,$A90&amp;"|Mercado Libre",'Ventas'!$F:$F)+SUMIF('Ajustes'!$H:$H,$A90&amp;"|Mercado Libre",'Ajustes'!$D:$D))</f>
      </c>
      <c r="I90" s="17">
        <f>IF($A90="","",$G90+$H90)</f>
      </c>
      <c r="J90" s="16">
        <f>IF($A90="","",$I90*$F90)</f>
      </c>
      <c r="K90" s="19">
        <f>IF($A90="","",IF($I90&lt;=0,"Agotado",IF($I90&lt;=$E90,"Stock bajo","Disponible")))</f>
      </c>
      <c r="L90" s="17">
        <f>IF($A90="","",IFERROR(VLOOKUP($C90,'Config'!$D$2:$E$30,2,FALSE),0))</f>
      </c>
      <c r="M90" s="20"/>
      <c r="N90" s="22"/>
      <c r="O90" s="22"/>
      <c r="P90" s="17">
        <f>IF(OR($A90="",$D90&lt;&gt;"Activo"),"",SUMPRODUCT(($C$2:$C$201=$C90)*($D$2:$D$201="Activo")*(($S$2:$S$201&lt;$S90)+(($S$2:$S$201=$S90)*($B$2:$B$201&lt;$B90))))+1)</f>
      </c>
      <c r="Q90" s="19">
        <f>IF($P90="","",$C90&amp;"|"&amp;$P90)</f>
      </c>
      <c r="R90" s="20"/>
      <c r="S90" s="17">
        <f>IF($A90="","",IFERROR(VALUE(TRIM(LEFT($R90,FIND("x",LOWER($R90))-1)))*VALUE(TRIM(MID($R90,FIND("x",LOWER($R90))+1,20))),0))</f>
      </c>
      <c r="T90" s="17">
        <f>IF(OR($A90="",$D90&lt;&gt;"Activo"),"",SUMPRODUCT(($D$2:$D$201="Activo")*(($C$2:$C$201&lt;$C90)+(($C$2:$C$201=$C90)*($S$2:$S$201&lt;$S90))+(($C$2:$C$201=$C90)*($S$2:$S$201=$S90)*($B$2:$B$201&lt;$B90))))+1)</f>
      </c>
      <c r="U90" s="19">
        <f>IF($T90="","","TODAS|"&amp;$T90)</f>
      </c>
      <c r="V90" s="14">
        <f>IF($A90="","",IFERROR(IF(COUNTIF('Compras'!$B:$B,$A90)=0,"",MINIFS('Compras'!$A:$A,'Compras'!$B:$B,$A90)),""))</f>
      </c>
      <c r="W90" s="17">
        <f>IF(OR($A90="",$V90=""),"",TODAY()-$V90)</f>
      </c>
      <c r="X90" s="17">
        <f>IF($A90="","",SUMIF('Ventas'!$D:$D,$A90,'Ventas'!$F:$F))</f>
      </c>
      <c r="Y90" s="19">
        <f>IF($A90="","",IF(AND($X90&gt;=3,$W90&lt;&gt;"",$W90&lt;=15),"🔥 Se vende rápido — REABASTECE",IF($K90="Agotado","🔴 Agotado — reabastece",IF($K90="Stock bajo","🟠 Stock bajo","✅ Ok"))))</f>
      </c>
    </row>
    <row r="91">
      <c r="A91" s="20"/>
      <c r="B91" s="20"/>
      <c r="C91" s="20"/>
      <c r="D91" s="20"/>
      <c r="E91" s="21"/>
      <c r="F91" s="16">
        <f>IF($A91="","",IFERROR(SUMIF('Compras'!$B:$B,$A91,'Compras'!$F:$F)/SUMIF('Compras'!$B:$B,$A91,'Compras'!$D:$D),0))</f>
      </c>
      <c r="G91" s="17">
        <f>IF($A91="","",SUMIF('Compras'!$B:$B,$A91,'Compras'!$D:$D)+SUMIF('Traslados'!$H:$H,$A91&amp;"|Casa",'Traslados'!$D:$D)-SUMIF('Traslados'!$G:$G,$A91&amp;"|Casa",'Traslados'!$D:$D)-SUMIF('Ventas'!$M:$M,$A91&amp;"|Casa",'Ventas'!$F:$F)+SUMIF('Ajustes'!$H:$H,$A91&amp;"|Casa",'Ajustes'!$D:$D))</f>
      </c>
      <c r="H91" s="17">
        <f>IF($A91="","",SUMIF('Traslados'!$H:$H,$A91&amp;"|Mercado Libre",'Traslados'!$D:$D)-SUMIF('Traslados'!$G:$G,$A91&amp;"|Mercado Libre",'Traslados'!$D:$D)-SUMIF('Ventas'!$M:$M,$A91&amp;"|Mercado Libre",'Ventas'!$F:$F)+SUMIF('Ajustes'!$H:$H,$A91&amp;"|Mercado Libre",'Ajustes'!$D:$D))</f>
      </c>
      <c r="I91" s="17">
        <f>IF($A91="","",$G91+$H91)</f>
      </c>
      <c r="J91" s="16">
        <f>IF($A91="","",$I91*$F91)</f>
      </c>
      <c r="K91" s="19">
        <f>IF($A91="","",IF($I91&lt;=0,"Agotado",IF($I91&lt;=$E91,"Stock bajo","Disponible")))</f>
      </c>
      <c r="L91" s="17">
        <f>IF($A91="","",IFERROR(VLOOKUP($C91,'Config'!$D$2:$E$30,2,FALSE),0))</f>
      </c>
      <c r="M91" s="20"/>
      <c r="N91" s="22"/>
      <c r="O91" s="22"/>
      <c r="P91" s="17">
        <f>IF(OR($A91="",$D91&lt;&gt;"Activo"),"",SUMPRODUCT(($C$2:$C$201=$C91)*($D$2:$D$201="Activo")*(($S$2:$S$201&lt;$S91)+(($S$2:$S$201=$S91)*($B$2:$B$201&lt;$B91))))+1)</f>
      </c>
      <c r="Q91" s="19">
        <f>IF($P91="","",$C91&amp;"|"&amp;$P91)</f>
      </c>
      <c r="R91" s="20"/>
      <c r="S91" s="17">
        <f>IF($A91="","",IFERROR(VALUE(TRIM(LEFT($R91,FIND("x",LOWER($R91))-1)))*VALUE(TRIM(MID($R91,FIND("x",LOWER($R91))+1,20))),0))</f>
      </c>
      <c r="T91" s="17">
        <f>IF(OR($A91="",$D91&lt;&gt;"Activo"),"",SUMPRODUCT(($D$2:$D$201="Activo")*(($C$2:$C$201&lt;$C91)+(($C$2:$C$201=$C91)*($S$2:$S$201&lt;$S91))+(($C$2:$C$201=$C91)*($S$2:$S$201=$S91)*($B$2:$B$201&lt;$B91))))+1)</f>
      </c>
      <c r="U91" s="19">
        <f>IF($T91="","","TODAS|"&amp;$T91)</f>
      </c>
      <c r="V91" s="14">
        <f>IF($A91="","",IFERROR(IF(COUNTIF('Compras'!$B:$B,$A91)=0,"",MINIFS('Compras'!$A:$A,'Compras'!$B:$B,$A91)),""))</f>
      </c>
      <c r="W91" s="17">
        <f>IF(OR($A91="",$V91=""),"",TODAY()-$V91)</f>
      </c>
      <c r="X91" s="17">
        <f>IF($A91="","",SUMIF('Ventas'!$D:$D,$A91,'Ventas'!$F:$F))</f>
      </c>
      <c r="Y91" s="19">
        <f>IF($A91="","",IF(AND($X91&gt;=3,$W91&lt;&gt;"",$W91&lt;=15),"🔥 Se vende rápido — REABASTECE",IF($K91="Agotado","🔴 Agotado — reabastece",IF($K91="Stock bajo","🟠 Stock bajo","✅ Ok"))))</f>
      </c>
    </row>
    <row r="92">
      <c r="A92" s="20"/>
      <c r="B92" s="20"/>
      <c r="C92" s="20"/>
      <c r="D92" s="20"/>
      <c r="E92" s="21"/>
      <c r="F92" s="16">
        <f>IF($A92="","",IFERROR(SUMIF('Compras'!$B:$B,$A92,'Compras'!$F:$F)/SUMIF('Compras'!$B:$B,$A92,'Compras'!$D:$D),0))</f>
      </c>
      <c r="G92" s="17">
        <f>IF($A92="","",SUMIF('Compras'!$B:$B,$A92,'Compras'!$D:$D)+SUMIF('Traslados'!$H:$H,$A92&amp;"|Casa",'Traslados'!$D:$D)-SUMIF('Traslados'!$G:$G,$A92&amp;"|Casa",'Traslados'!$D:$D)-SUMIF('Ventas'!$M:$M,$A92&amp;"|Casa",'Ventas'!$F:$F)+SUMIF('Ajustes'!$H:$H,$A92&amp;"|Casa",'Ajustes'!$D:$D))</f>
      </c>
      <c r="H92" s="17">
        <f>IF($A92="","",SUMIF('Traslados'!$H:$H,$A92&amp;"|Mercado Libre",'Traslados'!$D:$D)-SUMIF('Traslados'!$G:$G,$A92&amp;"|Mercado Libre",'Traslados'!$D:$D)-SUMIF('Ventas'!$M:$M,$A92&amp;"|Mercado Libre",'Ventas'!$F:$F)+SUMIF('Ajustes'!$H:$H,$A92&amp;"|Mercado Libre",'Ajustes'!$D:$D))</f>
      </c>
      <c r="I92" s="17">
        <f>IF($A92="","",$G92+$H92)</f>
      </c>
      <c r="J92" s="16">
        <f>IF($A92="","",$I92*$F92)</f>
      </c>
      <c r="K92" s="19">
        <f>IF($A92="","",IF($I92&lt;=0,"Agotado",IF($I92&lt;=$E92,"Stock bajo","Disponible")))</f>
      </c>
      <c r="L92" s="17">
        <f>IF($A92="","",IFERROR(VLOOKUP($C92,'Config'!$D$2:$E$30,2,FALSE),0))</f>
      </c>
      <c r="M92" s="20"/>
      <c r="N92" s="22"/>
      <c r="O92" s="22"/>
      <c r="P92" s="17">
        <f>IF(OR($A92="",$D92&lt;&gt;"Activo"),"",SUMPRODUCT(($C$2:$C$201=$C92)*($D$2:$D$201="Activo")*(($S$2:$S$201&lt;$S92)+(($S$2:$S$201=$S92)*($B$2:$B$201&lt;$B92))))+1)</f>
      </c>
      <c r="Q92" s="19">
        <f>IF($P92="","",$C92&amp;"|"&amp;$P92)</f>
      </c>
      <c r="R92" s="20"/>
      <c r="S92" s="17">
        <f>IF($A92="","",IFERROR(VALUE(TRIM(LEFT($R92,FIND("x",LOWER($R92))-1)))*VALUE(TRIM(MID($R92,FIND("x",LOWER($R92))+1,20))),0))</f>
      </c>
      <c r="T92" s="17">
        <f>IF(OR($A92="",$D92&lt;&gt;"Activo"),"",SUMPRODUCT(($D$2:$D$201="Activo")*(($C$2:$C$201&lt;$C92)+(($C$2:$C$201=$C92)*($S$2:$S$201&lt;$S92))+(($C$2:$C$201=$C92)*($S$2:$S$201=$S92)*($B$2:$B$201&lt;$B92))))+1)</f>
      </c>
      <c r="U92" s="19">
        <f>IF($T92="","","TODAS|"&amp;$T92)</f>
      </c>
      <c r="V92" s="14">
        <f>IF($A92="","",IFERROR(IF(COUNTIF('Compras'!$B:$B,$A92)=0,"",MINIFS('Compras'!$A:$A,'Compras'!$B:$B,$A92)),""))</f>
      </c>
      <c r="W92" s="17">
        <f>IF(OR($A92="",$V92=""),"",TODAY()-$V92)</f>
      </c>
      <c r="X92" s="17">
        <f>IF($A92="","",SUMIF('Ventas'!$D:$D,$A92,'Ventas'!$F:$F))</f>
      </c>
      <c r="Y92" s="19">
        <f>IF($A92="","",IF(AND($X92&gt;=3,$W92&lt;&gt;"",$W92&lt;=15),"🔥 Se vende rápido — REABASTECE",IF($K92="Agotado","🔴 Agotado — reabastece",IF($K92="Stock bajo","🟠 Stock bajo","✅ Ok"))))</f>
      </c>
    </row>
    <row r="93">
      <c r="A93" s="20"/>
      <c r="B93" s="20"/>
      <c r="C93" s="20"/>
      <c r="D93" s="20"/>
      <c r="E93" s="21"/>
      <c r="F93" s="16">
        <f>IF($A93="","",IFERROR(SUMIF('Compras'!$B:$B,$A93,'Compras'!$F:$F)/SUMIF('Compras'!$B:$B,$A93,'Compras'!$D:$D),0))</f>
      </c>
      <c r="G93" s="17">
        <f>IF($A93="","",SUMIF('Compras'!$B:$B,$A93,'Compras'!$D:$D)+SUMIF('Traslados'!$H:$H,$A93&amp;"|Casa",'Traslados'!$D:$D)-SUMIF('Traslados'!$G:$G,$A93&amp;"|Casa",'Traslados'!$D:$D)-SUMIF('Ventas'!$M:$M,$A93&amp;"|Casa",'Ventas'!$F:$F)+SUMIF('Ajustes'!$H:$H,$A93&amp;"|Casa",'Ajustes'!$D:$D))</f>
      </c>
      <c r="H93" s="17">
        <f>IF($A93="","",SUMIF('Traslados'!$H:$H,$A93&amp;"|Mercado Libre",'Traslados'!$D:$D)-SUMIF('Traslados'!$G:$G,$A93&amp;"|Mercado Libre",'Traslados'!$D:$D)-SUMIF('Ventas'!$M:$M,$A93&amp;"|Mercado Libre",'Ventas'!$F:$F)+SUMIF('Ajustes'!$H:$H,$A93&amp;"|Mercado Libre",'Ajustes'!$D:$D))</f>
      </c>
      <c r="I93" s="17">
        <f>IF($A93="","",$G93+$H93)</f>
      </c>
      <c r="J93" s="16">
        <f>IF($A93="","",$I93*$F93)</f>
      </c>
      <c r="K93" s="19">
        <f>IF($A93="","",IF($I93&lt;=0,"Agotado",IF($I93&lt;=$E93,"Stock bajo","Disponible")))</f>
      </c>
      <c r="L93" s="17">
        <f>IF($A93="","",IFERROR(VLOOKUP($C93,'Config'!$D$2:$E$30,2,FALSE),0))</f>
      </c>
      <c r="M93" s="20"/>
      <c r="N93" s="22"/>
      <c r="O93" s="22"/>
      <c r="P93" s="17">
        <f>IF(OR($A93="",$D93&lt;&gt;"Activo"),"",SUMPRODUCT(($C$2:$C$201=$C93)*($D$2:$D$201="Activo")*(($S$2:$S$201&lt;$S93)+(($S$2:$S$201=$S93)*($B$2:$B$201&lt;$B93))))+1)</f>
      </c>
      <c r="Q93" s="19">
        <f>IF($P93="","",$C93&amp;"|"&amp;$P93)</f>
      </c>
      <c r="R93" s="20"/>
      <c r="S93" s="17">
        <f>IF($A93="","",IFERROR(VALUE(TRIM(LEFT($R93,FIND("x",LOWER($R93))-1)))*VALUE(TRIM(MID($R93,FIND("x",LOWER($R93))+1,20))),0))</f>
      </c>
      <c r="T93" s="17">
        <f>IF(OR($A93="",$D93&lt;&gt;"Activo"),"",SUMPRODUCT(($D$2:$D$201="Activo")*(($C$2:$C$201&lt;$C93)+(($C$2:$C$201=$C93)*($S$2:$S$201&lt;$S93))+(($C$2:$C$201=$C93)*($S$2:$S$201=$S93)*($B$2:$B$201&lt;$B93))))+1)</f>
      </c>
      <c r="U93" s="19">
        <f>IF($T93="","","TODAS|"&amp;$T93)</f>
      </c>
      <c r="V93" s="14">
        <f>IF($A93="","",IFERROR(IF(COUNTIF('Compras'!$B:$B,$A93)=0,"",MINIFS('Compras'!$A:$A,'Compras'!$B:$B,$A93)),""))</f>
      </c>
      <c r="W93" s="17">
        <f>IF(OR($A93="",$V93=""),"",TODAY()-$V93)</f>
      </c>
      <c r="X93" s="17">
        <f>IF($A93="","",SUMIF('Ventas'!$D:$D,$A93,'Ventas'!$F:$F))</f>
      </c>
      <c r="Y93" s="19">
        <f>IF($A93="","",IF(AND($X93&gt;=3,$W93&lt;&gt;"",$W93&lt;=15),"🔥 Se vende rápido — REABASTECE",IF($K93="Agotado","🔴 Agotado — reabastece",IF($K93="Stock bajo","🟠 Stock bajo","✅ Ok"))))</f>
      </c>
    </row>
    <row r="94">
      <c r="A94" s="20"/>
      <c r="B94" s="20"/>
      <c r="C94" s="20"/>
      <c r="D94" s="20"/>
      <c r="E94" s="21"/>
      <c r="F94" s="16">
        <f>IF($A94="","",IFERROR(SUMIF('Compras'!$B:$B,$A94,'Compras'!$F:$F)/SUMIF('Compras'!$B:$B,$A94,'Compras'!$D:$D),0))</f>
      </c>
      <c r="G94" s="17">
        <f>IF($A94="","",SUMIF('Compras'!$B:$B,$A94,'Compras'!$D:$D)+SUMIF('Traslados'!$H:$H,$A94&amp;"|Casa",'Traslados'!$D:$D)-SUMIF('Traslados'!$G:$G,$A94&amp;"|Casa",'Traslados'!$D:$D)-SUMIF('Ventas'!$M:$M,$A94&amp;"|Casa",'Ventas'!$F:$F)+SUMIF('Ajustes'!$H:$H,$A94&amp;"|Casa",'Ajustes'!$D:$D))</f>
      </c>
      <c r="H94" s="17">
        <f>IF($A94="","",SUMIF('Traslados'!$H:$H,$A94&amp;"|Mercado Libre",'Traslados'!$D:$D)-SUMIF('Traslados'!$G:$G,$A94&amp;"|Mercado Libre",'Traslados'!$D:$D)-SUMIF('Ventas'!$M:$M,$A94&amp;"|Mercado Libre",'Ventas'!$F:$F)+SUMIF('Ajustes'!$H:$H,$A94&amp;"|Mercado Libre",'Ajustes'!$D:$D))</f>
      </c>
      <c r="I94" s="17">
        <f>IF($A94="","",$G94+$H94)</f>
      </c>
      <c r="J94" s="16">
        <f>IF($A94="","",$I94*$F94)</f>
      </c>
      <c r="K94" s="19">
        <f>IF($A94="","",IF($I94&lt;=0,"Agotado",IF($I94&lt;=$E94,"Stock bajo","Disponible")))</f>
      </c>
      <c r="L94" s="17">
        <f>IF($A94="","",IFERROR(VLOOKUP($C94,'Config'!$D$2:$E$30,2,FALSE),0))</f>
      </c>
      <c r="M94" s="20"/>
      <c r="N94" s="22"/>
      <c r="O94" s="22"/>
      <c r="P94" s="17">
        <f>IF(OR($A94="",$D94&lt;&gt;"Activo"),"",SUMPRODUCT(($C$2:$C$201=$C94)*($D$2:$D$201="Activo")*(($S$2:$S$201&lt;$S94)+(($S$2:$S$201=$S94)*($B$2:$B$201&lt;$B94))))+1)</f>
      </c>
      <c r="Q94" s="19">
        <f>IF($P94="","",$C94&amp;"|"&amp;$P94)</f>
      </c>
      <c r="R94" s="20"/>
      <c r="S94" s="17">
        <f>IF($A94="","",IFERROR(VALUE(TRIM(LEFT($R94,FIND("x",LOWER($R94))-1)))*VALUE(TRIM(MID($R94,FIND("x",LOWER($R94))+1,20))),0))</f>
      </c>
      <c r="T94" s="17">
        <f>IF(OR($A94="",$D94&lt;&gt;"Activo"),"",SUMPRODUCT(($D$2:$D$201="Activo")*(($C$2:$C$201&lt;$C94)+(($C$2:$C$201=$C94)*($S$2:$S$201&lt;$S94))+(($C$2:$C$201=$C94)*($S$2:$S$201=$S94)*($B$2:$B$201&lt;$B94))))+1)</f>
      </c>
      <c r="U94" s="19">
        <f>IF($T94="","","TODAS|"&amp;$T94)</f>
      </c>
      <c r="V94" s="14">
        <f>IF($A94="","",IFERROR(IF(COUNTIF('Compras'!$B:$B,$A94)=0,"",MINIFS('Compras'!$A:$A,'Compras'!$B:$B,$A94)),""))</f>
      </c>
      <c r="W94" s="17">
        <f>IF(OR($A94="",$V94=""),"",TODAY()-$V94)</f>
      </c>
      <c r="X94" s="17">
        <f>IF($A94="","",SUMIF('Ventas'!$D:$D,$A94,'Ventas'!$F:$F))</f>
      </c>
      <c r="Y94" s="19">
        <f>IF($A94="","",IF(AND($X94&gt;=3,$W94&lt;&gt;"",$W94&lt;=15),"🔥 Se vende rápido — REABASTECE",IF($K94="Agotado","🔴 Agotado — reabastece",IF($K94="Stock bajo","🟠 Stock bajo","✅ Ok"))))</f>
      </c>
    </row>
    <row r="95">
      <c r="A95" s="20"/>
      <c r="B95" s="20"/>
      <c r="C95" s="20"/>
      <c r="D95" s="20"/>
      <c r="E95" s="21"/>
      <c r="F95" s="16">
        <f>IF($A95="","",IFERROR(SUMIF('Compras'!$B:$B,$A95,'Compras'!$F:$F)/SUMIF('Compras'!$B:$B,$A95,'Compras'!$D:$D),0))</f>
      </c>
      <c r="G95" s="17">
        <f>IF($A95="","",SUMIF('Compras'!$B:$B,$A95,'Compras'!$D:$D)+SUMIF('Traslados'!$H:$H,$A95&amp;"|Casa",'Traslados'!$D:$D)-SUMIF('Traslados'!$G:$G,$A95&amp;"|Casa",'Traslados'!$D:$D)-SUMIF('Ventas'!$M:$M,$A95&amp;"|Casa",'Ventas'!$F:$F)+SUMIF('Ajustes'!$H:$H,$A95&amp;"|Casa",'Ajustes'!$D:$D))</f>
      </c>
      <c r="H95" s="17">
        <f>IF($A95="","",SUMIF('Traslados'!$H:$H,$A95&amp;"|Mercado Libre",'Traslados'!$D:$D)-SUMIF('Traslados'!$G:$G,$A95&amp;"|Mercado Libre",'Traslados'!$D:$D)-SUMIF('Ventas'!$M:$M,$A95&amp;"|Mercado Libre",'Ventas'!$F:$F)+SUMIF('Ajustes'!$H:$H,$A95&amp;"|Mercado Libre",'Ajustes'!$D:$D))</f>
      </c>
      <c r="I95" s="17">
        <f>IF($A95="","",$G95+$H95)</f>
      </c>
      <c r="J95" s="16">
        <f>IF($A95="","",$I95*$F95)</f>
      </c>
      <c r="K95" s="19">
        <f>IF($A95="","",IF($I95&lt;=0,"Agotado",IF($I95&lt;=$E95,"Stock bajo","Disponible")))</f>
      </c>
      <c r="L95" s="17">
        <f>IF($A95="","",IFERROR(VLOOKUP($C95,'Config'!$D$2:$E$30,2,FALSE),0))</f>
      </c>
      <c r="M95" s="20"/>
      <c r="N95" s="22"/>
      <c r="O95" s="22"/>
      <c r="P95" s="17">
        <f>IF(OR($A95="",$D95&lt;&gt;"Activo"),"",SUMPRODUCT(($C$2:$C$201=$C95)*($D$2:$D$201="Activo")*(($S$2:$S$201&lt;$S95)+(($S$2:$S$201=$S95)*($B$2:$B$201&lt;$B95))))+1)</f>
      </c>
      <c r="Q95" s="19">
        <f>IF($P95="","",$C95&amp;"|"&amp;$P95)</f>
      </c>
      <c r="R95" s="20"/>
      <c r="S95" s="17">
        <f>IF($A95="","",IFERROR(VALUE(TRIM(LEFT($R95,FIND("x",LOWER($R95))-1)))*VALUE(TRIM(MID($R95,FIND("x",LOWER($R95))+1,20))),0))</f>
      </c>
      <c r="T95" s="17">
        <f>IF(OR($A95="",$D95&lt;&gt;"Activo"),"",SUMPRODUCT(($D$2:$D$201="Activo")*(($C$2:$C$201&lt;$C95)+(($C$2:$C$201=$C95)*($S$2:$S$201&lt;$S95))+(($C$2:$C$201=$C95)*($S$2:$S$201=$S95)*($B$2:$B$201&lt;$B95))))+1)</f>
      </c>
      <c r="U95" s="19">
        <f>IF($T95="","","TODAS|"&amp;$T95)</f>
      </c>
      <c r="V95" s="14">
        <f>IF($A95="","",IFERROR(IF(COUNTIF('Compras'!$B:$B,$A95)=0,"",MINIFS('Compras'!$A:$A,'Compras'!$B:$B,$A95)),""))</f>
      </c>
      <c r="W95" s="17">
        <f>IF(OR($A95="",$V95=""),"",TODAY()-$V95)</f>
      </c>
      <c r="X95" s="17">
        <f>IF($A95="","",SUMIF('Ventas'!$D:$D,$A95,'Ventas'!$F:$F))</f>
      </c>
      <c r="Y95" s="19">
        <f>IF($A95="","",IF(AND($X95&gt;=3,$W95&lt;&gt;"",$W95&lt;=15),"🔥 Se vende rápido — REABASTECE",IF($K95="Agotado","🔴 Agotado — reabastece",IF($K95="Stock bajo","🟠 Stock bajo","✅ Ok"))))</f>
      </c>
    </row>
    <row r="96">
      <c r="A96" s="20"/>
      <c r="B96" s="20"/>
      <c r="C96" s="20"/>
      <c r="D96" s="20"/>
      <c r="E96" s="21"/>
      <c r="F96" s="16">
        <f>IF($A96="","",IFERROR(SUMIF('Compras'!$B:$B,$A96,'Compras'!$F:$F)/SUMIF('Compras'!$B:$B,$A96,'Compras'!$D:$D),0))</f>
      </c>
      <c r="G96" s="17">
        <f>IF($A96="","",SUMIF('Compras'!$B:$B,$A96,'Compras'!$D:$D)+SUMIF('Traslados'!$H:$H,$A96&amp;"|Casa",'Traslados'!$D:$D)-SUMIF('Traslados'!$G:$G,$A96&amp;"|Casa",'Traslados'!$D:$D)-SUMIF('Ventas'!$M:$M,$A96&amp;"|Casa",'Ventas'!$F:$F)+SUMIF('Ajustes'!$H:$H,$A96&amp;"|Casa",'Ajustes'!$D:$D))</f>
      </c>
      <c r="H96" s="17">
        <f>IF($A96="","",SUMIF('Traslados'!$H:$H,$A96&amp;"|Mercado Libre",'Traslados'!$D:$D)-SUMIF('Traslados'!$G:$G,$A96&amp;"|Mercado Libre",'Traslados'!$D:$D)-SUMIF('Ventas'!$M:$M,$A96&amp;"|Mercado Libre",'Ventas'!$F:$F)+SUMIF('Ajustes'!$H:$H,$A96&amp;"|Mercado Libre",'Ajustes'!$D:$D))</f>
      </c>
      <c r="I96" s="17">
        <f>IF($A96="","",$G96+$H96)</f>
      </c>
      <c r="J96" s="16">
        <f>IF($A96="","",$I96*$F96)</f>
      </c>
      <c r="K96" s="19">
        <f>IF($A96="","",IF($I96&lt;=0,"Agotado",IF($I96&lt;=$E96,"Stock bajo","Disponible")))</f>
      </c>
      <c r="L96" s="17">
        <f>IF($A96="","",IFERROR(VLOOKUP($C96,'Config'!$D$2:$E$30,2,FALSE),0))</f>
      </c>
      <c r="M96" s="20"/>
      <c r="N96" s="22"/>
      <c r="O96" s="22"/>
      <c r="P96" s="17">
        <f>IF(OR($A96="",$D96&lt;&gt;"Activo"),"",SUMPRODUCT(($C$2:$C$201=$C96)*($D$2:$D$201="Activo")*(($S$2:$S$201&lt;$S96)+(($S$2:$S$201=$S96)*($B$2:$B$201&lt;$B96))))+1)</f>
      </c>
      <c r="Q96" s="19">
        <f>IF($P96="","",$C96&amp;"|"&amp;$P96)</f>
      </c>
      <c r="R96" s="20"/>
      <c r="S96" s="17">
        <f>IF($A96="","",IFERROR(VALUE(TRIM(LEFT($R96,FIND("x",LOWER($R96))-1)))*VALUE(TRIM(MID($R96,FIND("x",LOWER($R96))+1,20))),0))</f>
      </c>
      <c r="T96" s="17">
        <f>IF(OR($A96="",$D96&lt;&gt;"Activo"),"",SUMPRODUCT(($D$2:$D$201="Activo")*(($C$2:$C$201&lt;$C96)+(($C$2:$C$201=$C96)*($S$2:$S$201&lt;$S96))+(($C$2:$C$201=$C96)*($S$2:$S$201=$S96)*($B$2:$B$201&lt;$B96))))+1)</f>
      </c>
      <c r="U96" s="19">
        <f>IF($T96="","","TODAS|"&amp;$T96)</f>
      </c>
      <c r="V96" s="14">
        <f>IF($A96="","",IFERROR(IF(COUNTIF('Compras'!$B:$B,$A96)=0,"",MINIFS('Compras'!$A:$A,'Compras'!$B:$B,$A96)),""))</f>
      </c>
      <c r="W96" s="17">
        <f>IF(OR($A96="",$V96=""),"",TODAY()-$V96)</f>
      </c>
      <c r="X96" s="17">
        <f>IF($A96="","",SUMIF('Ventas'!$D:$D,$A96,'Ventas'!$F:$F))</f>
      </c>
      <c r="Y96" s="19">
        <f>IF($A96="","",IF(AND($X96&gt;=3,$W96&lt;&gt;"",$W96&lt;=15),"🔥 Se vende rápido — REABASTECE",IF($K96="Agotado","🔴 Agotado — reabastece",IF($K96="Stock bajo","🟠 Stock bajo","✅ Ok"))))</f>
      </c>
    </row>
    <row r="97">
      <c r="A97" s="20"/>
      <c r="B97" s="20"/>
      <c r="C97" s="20"/>
      <c r="D97" s="20"/>
      <c r="E97" s="21"/>
      <c r="F97" s="16">
        <f>IF($A97="","",IFERROR(SUMIF('Compras'!$B:$B,$A97,'Compras'!$F:$F)/SUMIF('Compras'!$B:$B,$A97,'Compras'!$D:$D),0))</f>
      </c>
      <c r="G97" s="17">
        <f>IF($A97="","",SUMIF('Compras'!$B:$B,$A97,'Compras'!$D:$D)+SUMIF('Traslados'!$H:$H,$A97&amp;"|Casa",'Traslados'!$D:$D)-SUMIF('Traslados'!$G:$G,$A97&amp;"|Casa",'Traslados'!$D:$D)-SUMIF('Ventas'!$M:$M,$A97&amp;"|Casa",'Ventas'!$F:$F)+SUMIF('Ajustes'!$H:$H,$A97&amp;"|Casa",'Ajustes'!$D:$D))</f>
      </c>
      <c r="H97" s="17">
        <f>IF($A97="","",SUMIF('Traslados'!$H:$H,$A97&amp;"|Mercado Libre",'Traslados'!$D:$D)-SUMIF('Traslados'!$G:$G,$A97&amp;"|Mercado Libre",'Traslados'!$D:$D)-SUMIF('Ventas'!$M:$M,$A97&amp;"|Mercado Libre",'Ventas'!$F:$F)+SUMIF('Ajustes'!$H:$H,$A97&amp;"|Mercado Libre",'Ajustes'!$D:$D))</f>
      </c>
      <c r="I97" s="17">
        <f>IF($A97="","",$G97+$H97)</f>
      </c>
      <c r="J97" s="16">
        <f>IF($A97="","",$I97*$F97)</f>
      </c>
      <c r="K97" s="19">
        <f>IF($A97="","",IF($I97&lt;=0,"Agotado",IF($I97&lt;=$E97,"Stock bajo","Disponible")))</f>
      </c>
      <c r="L97" s="17">
        <f>IF($A97="","",IFERROR(VLOOKUP($C97,'Config'!$D$2:$E$30,2,FALSE),0))</f>
      </c>
      <c r="M97" s="20"/>
      <c r="N97" s="22"/>
      <c r="O97" s="22"/>
      <c r="P97" s="17">
        <f>IF(OR($A97="",$D97&lt;&gt;"Activo"),"",SUMPRODUCT(($C$2:$C$201=$C97)*($D$2:$D$201="Activo")*(($S$2:$S$201&lt;$S97)+(($S$2:$S$201=$S97)*($B$2:$B$201&lt;$B97))))+1)</f>
      </c>
      <c r="Q97" s="19">
        <f>IF($P97="","",$C97&amp;"|"&amp;$P97)</f>
      </c>
      <c r="R97" s="20"/>
      <c r="S97" s="17">
        <f>IF($A97="","",IFERROR(VALUE(TRIM(LEFT($R97,FIND("x",LOWER($R97))-1)))*VALUE(TRIM(MID($R97,FIND("x",LOWER($R97))+1,20))),0))</f>
      </c>
      <c r="T97" s="17">
        <f>IF(OR($A97="",$D97&lt;&gt;"Activo"),"",SUMPRODUCT(($D$2:$D$201="Activo")*(($C$2:$C$201&lt;$C97)+(($C$2:$C$201=$C97)*($S$2:$S$201&lt;$S97))+(($C$2:$C$201=$C97)*($S$2:$S$201=$S97)*($B$2:$B$201&lt;$B97))))+1)</f>
      </c>
      <c r="U97" s="19">
        <f>IF($T97="","","TODAS|"&amp;$T97)</f>
      </c>
      <c r="V97" s="14">
        <f>IF($A97="","",IFERROR(IF(COUNTIF('Compras'!$B:$B,$A97)=0,"",MINIFS('Compras'!$A:$A,'Compras'!$B:$B,$A97)),""))</f>
      </c>
      <c r="W97" s="17">
        <f>IF(OR($A97="",$V97=""),"",TODAY()-$V97)</f>
      </c>
      <c r="X97" s="17">
        <f>IF($A97="","",SUMIF('Ventas'!$D:$D,$A97,'Ventas'!$F:$F))</f>
      </c>
      <c r="Y97" s="19">
        <f>IF($A97="","",IF(AND($X97&gt;=3,$W97&lt;&gt;"",$W97&lt;=15),"🔥 Se vende rápido — REABASTECE",IF($K97="Agotado","🔴 Agotado — reabastece",IF($K97="Stock bajo","🟠 Stock bajo","✅ Ok"))))</f>
      </c>
    </row>
    <row r="98">
      <c r="A98" s="20"/>
      <c r="B98" s="20"/>
      <c r="C98" s="20"/>
      <c r="D98" s="20"/>
      <c r="E98" s="21"/>
      <c r="F98" s="16">
        <f>IF($A98="","",IFERROR(SUMIF('Compras'!$B:$B,$A98,'Compras'!$F:$F)/SUMIF('Compras'!$B:$B,$A98,'Compras'!$D:$D),0))</f>
      </c>
      <c r="G98" s="17">
        <f>IF($A98="","",SUMIF('Compras'!$B:$B,$A98,'Compras'!$D:$D)+SUMIF('Traslados'!$H:$H,$A98&amp;"|Casa",'Traslados'!$D:$D)-SUMIF('Traslados'!$G:$G,$A98&amp;"|Casa",'Traslados'!$D:$D)-SUMIF('Ventas'!$M:$M,$A98&amp;"|Casa",'Ventas'!$F:$F)+SUMIF('Ajustes'!$H:$H,$A98&amp;"|Casa",'Ajustes'!$D:$D))</f>
      </c>
      <c r="H98" s="17">
        <f>IF($A98="","",SUMIF('Traslados'!$H:$H,$A98&amp;"|Mercado Libre",'Traslados'!$D:$D)-SUMIF('Traslados'!$G:$G,$A98&amp;"|Mercado Libre",'Traslados'!$D:$D)-SUMIF('Ventas'!$M:$M,$A98&amp;"|Mercado Libre",'Ventas'!$F:$F)+SUMIF('Ajustes'!$H:$H,$A98&amp;"|Mercado Libre",'Ajustes'!$D:$D))</f>
      </c>
      <c r="I98" s="17">
        <f>IF($A98="","",$G98+$H98)</f>
      </c>
      <c r="J98" s="16">
        <f>IF($A98="","",$I98*$F98)</f>
      </c>
      <c r="K98" s="19">
        <f>IF($A98="","",IF($I98&lt;=0,"Agotado",IF($I98&lt;=$E98,"Stock bajo","Disponible")))</f>
      </c>
      <c r="L98" s="17">
        <f>IF($A98="","",IFERROR(VLOOKUP($C98,'Config'!$D$2:$E$30,2,FALSE),0))</f>
      </c>
      <c r="M98" s="20"/>
      <c r="N98" s="22"/>
      <c r="O98" s="22"/>
      <c r="P98" s="17">
        <f>IF(OR($A98="",$D98&lt;&gt;"Activo"),"",SUMPRODUCT(($C$2:$C$201=$C98)*($D$2:$D$201="Activo")*(($S$2:$S$201&lt;$S98)+(($S$2:$S$201=$S98)*($B$2:$B$201&lt;$B98))))+1)</f>
      </c>
      <c r="Q98" s="19">
        <f>IF($P98="","",$C98&amp;"|"&amp;$P98)</f>
      </c>
      <c r="R98" s="20"/>
      <c r="S98" s="17">
        <f>IF($A98="","",IFERROR(VALUE(TRIM(LEFT($R98,FIND("x",LOWER($R98))-1)))*VALUE(TRIM(MID($R98,FIND("x",LOWER($R98))+1,20))),0))</f>
      </c>
      <c r="T98" s="17">
        <f>IF(OR($A98="",$D98&lt;&gt;"Activo"),"",SUMPRODUCT(($D$2:$D$201="Activo")*(($C$2:$C$201&lt;$C98)+(($C$2:$C$201=$C98)*($S$2:$S$201&lt;$S98))+(($C$2:$C$201=$C98)*($S$2:$S$201=$S98)*($B$2:$B$201&lt;$B98))))+1)</f>
      </c>
      <c r="U98" s="19">
        <f>IF($T98="","","TODAS|"&amp;$T98)</f>
      </c>
      <c r="V98" s="14">
        <f>IF($A98="","",IFERROR(IF(COUNTIF('Compras'!$B:$B,$A98)=0,"",MINIFS('Compras'!$A:$A,'Compras'!$B:$B,$A98)),""))</f>
      </c>
      <c r="W98" s="17">
        <f>IF(OR($A98="",$V98=""),"",TODAY()-$V98)</f>
      </c>
      <c r="X98" s="17">
        <f>IF($A98="","",SUMIF('Ventas'!$D:$D,$A98,'Ventas'!$F:$F))</f>
      </c>
      <c r="Y98" s="19">
        <f>IF($A98="","",IF(AND($X98&gt;=3,$W98&lt;&gt;"",$W98&lt;=15),"🔥 Se vende rápido — REABASTECE",IF($K98="Agotado","🔴 Agotado — reabastece",IF($K98="Stock bajo","🟠 Stock bajo","✅ Ok"))))</f>
      </c>
    </row>
    <row r="99">
      <c r="A99" s="20"/>
      <c r="B99" s="20"/>
      <c r="C99" s="20"/>
      <c r="D99" s="20"/>
      <c r="E99" s="21"/>
      <c r="F99" s="16">
        <f>IF($A99="","",IFERROR(SUMIF('Compras'!$B:$B,$A99,'Compras'!$F:$F)/SUMIF('Compras'!$B:$B,$A99,'Compras'!$D:$D),0))</f>
      </c>
      <c r="G99" s="17">
        <f>IF($A99="","",SUMIF('Compras'!$B:$B,$A99,'Compras'!$D:$D)+SUMIF('Traslados'!$H:$H,$A99&amp;"|Casa",'Traslados'!$D:$D)-SUMIF('Traslados'!$G:$G,$A99&amp;"|Casa",'Traslados'!$D:$D)-SUMIF('Ventas'!$M:$M,$A99&amp;"|Casa",'Ventas'!$F:$F)+SUMIF('Ajustes'!$H:$H,$A99&amp;"|Casa",'Ajustes'!$D:$D))</f>
      </c>
      <c r="H99" s="17">
        <f>IF($A99="","",SUMIF('Traslados'!$H:$H,$A99&amp;"|Mercado Libre",'Traslados'!$D:$D)-SUMIF('Traslados'!$G:$G,$A99&amp;"|Mercado Libre",'Traslados'!$D:$D)-SUMIF('Ventas'!$M:$M,$A99&amp;"|Mercado Libre",'Ventas'!$F:$F)+SUMIF('Ajustes'!$H:$H,$A99&amp;"|Mercado Libre",'Ajustes'!$D:$D))</f>
      </c>
      <c r="I99" s="17">
        <f>IF($A99="","",$G99+$H99)</f>
      </c>
      <c r="J99" s="16">
        <f>IF($A99="","",$I99*$F99)</f>
      </c>
      <c r="K99" s="19">
        <f>IF($A99="","",IF($I99&lt;=0,"Agotado",IF($I99&lt;=$E99,"Stock bajo","Disponible")))</f>
      </c>
      <c r="L99" s="17">
        <f>IF($A99="","",IFERROR(VLOOKUP($C99,'Config'!$D$2:$E$30,2,FALSE),0))</f>
      </c>
      <c r="M99" s="20"/>
      <c r="N99" s="22"/>
      <c r="O99" s="22"/>
      <c r="P99" s="17">
        <f>IF(OR($A99="",$D99&lt;&gt;"Activo"),"",SUMPRODUCT(($C$2:$C$201=$C99)*($D$2:$D$201="Activo")*(($S$2:$S$201&lt;$S99)+(($S$2:$S$201=$S99)*($B$2:$B$201&lt;$B99))))+1)</f>
      </c>
      <c r="Q99" s="19">
        <f>IF($P99="","",$C99&amp;"|"&amp;$P99)</f>
      </c>
      <c r="R99" s="20"/>
      <c r="S99" s="17">
        <f>IF($A99="","",IFERROR(VALUE(TRIM(LEFT($R99,FIND("x",LOWER($R99))-1)))*VALUE(TRIM(MID($R99,FIND("x",LOWER($R99))+1,20))),0))</f>
      </c>
      <c r="T99" s="17">
        <f>IF(OR($A99="",$D99&lt;&gt;"Activo"),"",SUMPRODUCT(($D$2:$D$201="Activo")*(($C$2:$C$201&lt;$C99)+(($C$2:$C$201=$C99)*($S$2:$S$201&lt;$S99))+(($C$2:$C$201=$C99)*($S$2:$S$201=$S99)*($B$2:$B$201&lt;$B99))))+1)</f>
      </c>
      <c r="U99" s="19">
        <f>IF($T99="","","TODAS|"&amp;$T99)</f>
      </c>
      <c r="V99" s="14">
        <f>IF($A99="","",IFERROR(IF(COUNTIF('Compras'!$B:$B,$A99)=0,"",MINIFS('Compras'!$A:$A,'Compras'!$B:$B,$A99)),""))</f>
      </c>
      <c r="W99" s="17">
        <f>IF(OR($A99="",$V99=""),"",TODAY()-$V99)</f>
      </c>
      <c r="X99" s="17">
        <f>IF($A99="","",SUMIF('Ventas'!$D:$D,$A99,'Ventas'!$F:$F))</f>
      </c>
      <c r="Y99" s="19">
        <f>IF($A99="","",IF(AND($X99&gt;=3,$W99&lt;&gt;"",$W99&lt;=15),"🔥 Se vende rápido — REABASTECE",IF($K99="Agotado","🔴 Agotado — reabastece",IF($K99="Stock bajo","🟠 Stock bajo","✅ Ok"))))</f>
      </c>
    </row>
    <row r="100">
      <c r="A100" s="20"/>
      <c r="B100" s="20"/>
      <c r="C100" s="20"/>
      <c r="D100" s="20"/>
      <c r="E100" s="21"/>
      <c r="F100" s="16">
        <f>IF($A100="","",IFERROR(SUMIF('Compras'!$B:$B,$A100,'Compras'!$F:$F)/SUMIF('Compras'!$B:$B,$A100,'Compras'!$D:$D),0))</f>
      </c>
      <c r="G100" s="17">
        <f>IF($A100="","",SUMIF('Compras'!$B:$B,$A100,'Compras'!$D:$D)+SUMIF('Traslados'!$H:$H,$A100&amp;"|Casa",'Traslados'!$D:$D)-SUMIF('Traslados'!$G:$G,$A100&amp;"|Casa",'Traslados'!$D:$D)-SUMIF('Ventas'!$M:$M,$A100&amp;"|Casa",'Ventas'!$F:$F)+SUMIF('Ajustes'!$H:$H,$A100&amp;"|Casa",'Ajustes'!$D:$D))</f>
      </c>
      <c r="H100" s="17">
        <f>IF($A100="","",SUMIF('Traslados'!$H:$H,$A100&amp;"|Mercado Libre",'Traslados'!$D:$D)-SUMIF('Traslados'!$G:$G,$A100&amp;"|Mercado Libre",'Traslados'!$D:$D)-SUMIF('Ventas'!$M:$M,$A100&amp;"|Mercado Libre",'Ventas'!$F:$F)+SUMIF('Ajustes'!$H:$H,$A100&amp;"|Mercado Libre",'Ajustes'!$D:$D))</f>
      </c>
      <c r="I100" s="17">
        <f>IF($A100="","",$G100+$H100)</f>
      </c>
      <c r="J100" s="16">
        <f>IF($A100="","",$I100*$F100)</f>
      </c>
      <c r="K100" s="19">
        <f>IF($A100="","",IF($I100&lt;=0,"Agotado",IF($I100&lt;=$E100,"Stock bajo","Disponible")))</f>
      </c>
      <c r="L100" s="17">
        <f>IF($A100="","",IFERROR(VLOOKUP($C100,'Config'!$D$2:$E$30,2,FALSE),0))</f>
      </c>
      <c r="M100" s="20"/>
      <c r="N100" s="22"/>
      <c r="O100" s="22"/>
      <c r="P100" s="17">
        <f>IF(OR($A100="",$D100&lt;&gt;"Activo"),"",SUMPRODUCT(($C$2:$C$201=$C100)*($D$2:$D$201="Activo")*(($S$2:$S$201&lt;$S100)+(($S$2:$S$201=$S100)*($B$2:$B$201&lt;$B100))))+1)</f>
      </c>
      <c r="Q100" s="19">
        <f>IF($P100="","",$C100&amp;"|"&amp;$P100)</f>
      </c>
      <c r="R100" s="20"/>
      <c r="S100" s="17">
        <f>IF($A100="","",IFERROR(VALUE(TRIM(LEFT($R100,FIND("x",LOWER($R100))-1)))*VALUE(TRIM(MID($R100,FIND("x",LOWER($R100))+1,20))),0))</f>
      </c>
      <c r="T100" s="17">
        <f>IF(OR($A100="",$D100&lt;&gt;"Activo"),"",SUMPRODUCT(($D$2:$D$201="Activo")*(($C$2:$C$201&lt;$C100)+(($C$2:$C$201=$C100)*($S$2:$S$201&lt;$S100))+(($C$2:$C$201=$C100)*($S$2:$S$201=$S100)*($B$2:$B$201&lt;$B100))))+1)</f>
      </c>
      <c r="U100" s="19">
        <f>IF($T100="","","TODAS|"&amp;$T100)</f>
      </c>
      <c r="V100" s="14">
        <f>IF($A100="","",IFERROR(IF(COUNTIF('Compras'!$B:$B,$A100)=0,"",MINIFS('Compras'!$A:$A,'Compras'!$B:$B,$A100)),""))</f>
      </c>
      <c r="W100" s="17">
        <f>IF(OR($A100="",$V100=""),"",TODAY()-$V100)</f>
      </c>
      <c r="X100" s="17">
        <f>IF($A100="","",SUMIF('Ventas'!$D:$D,$A100,'Ventas'!$F:$F))</f>
      </c>
      <c r="Y100" s="19">
        <f>IF($A100="","",IF(AND($X100&gt;=3,$W100&lt;&gt;"",$W100&lt;=15),"🔥 Se vende rápido — REABASTECE",IF($K100="Agotado","🔴 Agotado — reabastece",IF($K100="Stock bajo","🟠 Stock bajo","✅ Ok"))))</f>
      </c>
    </row>
    <row r="101">
      <c r="A101" s="20"/>
      <c r="B101" s="20"/>
      <c r="C101" s="20"/>
      <c r="D101" s="20"/>
      <c r="E101" s="21"/>
      <c r="F101" s="16">
        <f>IF($A101="","",IFERROR(SUMIF('Compras'!$B:$B,$A101,'Compras'!$F:$F)/SUMIF('Compras'!$B:$B,$A101,'Compras'!$D:$D),0))</f>
      </c>
      <c r="G101" s="17">
        <f>IF($A101="","",SUMIF('Compras'!$B:$B,$A101,'Compras'!$D:$D)+SUMIF('Traslados'!$H:$H,$A101&amp;"|Casa",'Traslados'!$D:$D)-SUMIF('Traslados'!$G:$G,$A101&amp;"|Casa",'Traslados'!$D:$D)-SUMIF('Ventas'!$M:$M,$A101&amp;"|Casa",'Ventas'!$F:$F)+SUMIF('Ajustes'!$H:$H,$A101&amp;"|Casa",'Ajustes'!$D:$D))</f>
      </c>
      <c r="H101" s="17">
        <f>IF($A101="","",SUMIF('Traslados'!$H:$H,$A101&amp;"|Mercado Libre",'Traslados'!$D:$D)-SUMIF('Traslados'!$G:$G,$A101&amp;"|Mercado Libre",'Traslados'!$D:$D)-SUMIF('Ventas'!$M:$M,$A101&amp;"|Mercado Libre",'Ventas'!$F:$F)+SUMIF('Ajustes'!$H:$H,$A101&amp;"|Mercado Libre",'Ajustes'!$D:$D))</f>
      </c>
      <c r="I101" s="17">
        <f>IF($A101="","",$G101+$H101)</f>
      </c>
      <c r="J101" s="16">
        <f>IF($A101="","",$I101*$F101)</f>
      </c>
      <c r="K101" s="19">
        <f>IF($A101="","",IF($I101&lt;=0,"Agotado",IF($I101&lt;=$E101,"Stock bajo","Disponible")))</f>
      </c>
      <c r="L101" s="17">
        <f>IF($A101="","",IFERROR(VLOOKUP($C101,'Config'!$D$2:$E$30,2,FALSE),0))</f>
      </c>
      <c r="M101" s="20"/>
      <c r="N101" s="22"/>
      <c r="O101" s="22"/>
      <c r="P101" s="17">
        <f>IF(OR($A101="",$D101&lt;&gt;"Activo"),"",SUMPRODUCT(($C$2:$C$201=$C101)*($D$2:$D$201="Activo")*(($S$2:$S$201&lt;$S101)+(($S$2:$S$201=$S101)*($B$2:$B$201&lt;$B101))))+1)</f>
      </c>
      <c r="Q101" s="19">
        <f>IF($P101="","",$C101&amp;"|"&amp;$P101)</f>
      </c>
      <c r="R101" s="20"/>
      <c r="S101" s="17">
        <f>IF($A101="","",IFERROR(VALUE(TRIM(LEFT($R101,FIND("x",LOWER($R101))-1)))*VALUE(TRIM(MID($R101,FIND("x",LOWER($R101))+1,20))),0))</f>
      </c>
      <c r="T101" s="17">
        <f>IF(OR($A101="",$D101&lt;&gt;"Activo"),"",SUMPRODUCT(($D$2:$D$201="Activo")*(($C$2:$C$201&lt;$C101)+(($C$2:$C$201=$C101)*($S$2:$S$201&lt;$S101))+(($C$2:$C$201=$C101)*($S$2:$S$201=$S101)*($B$2:$B$201&lt;$B101))))+1)</f>
      </c>
      <c r="U101" s="19">
        <f>IF($T101="","","TODAS|"&amp;$T101)</f>
      </c>
      <c r="V101" s="14">
        <f>IF($A101="","",IFERROR(IF(COUNTIF('Compras'!$B:$B,$A101)=0,"",MINIFS('Compras'!$A:$A,'Compras'!$B:$B,$A101)),""))</f>
      </c>
      <c r="W101" s="17">
        <f>IF(OR($A101="",$V101=""),"",TODAY()-$V101)</f>
      </c>
      <c r="X101" s="17">
        <f>IF($A101="","",SUMIF('Ventas'!$D:$D,$A101,'Ventas'!$F:$F))</f>
      </c>
      <c r="Y101" s="19">
        <f>IF($A101="","",IF(AND($X101&gt;=3,$W101&lt;&gt;"",$W101&lt;=15),"🔥 Se vende rápido — REABASTECE",IF($K101="Agotado","🔴 Agotado — reabastece",IF($K101="Stock bajo","🟠 Stock bajo","✅ Ok"))))</f>
      </c>
    </row>
    <row r="102">
      <c r="A102" s="20"/>
      <c r="B102" s="20"/>
      <c r="C102" s="20"/>
      <c r="D102" s="20"/>
      <c r="E102" s="21"/>
      <c r="F102" s="16">
        <f>IF($A102="","",IFERROR(SUMIF('Compras'!$B:$B,$A102,'Compras'!$F:$F)/SUMIF('Compras'!$B:$B,$A102,'Compras'!$D:$D),0))</f>
      </c>
      <c r="G102" s="17">
        <f>IF($A102="","",SUMIF('Compras'!$B:$B,$A102,'Compras'!$D:$D)+SUMIF('Traslados'!$H:$H,$A102&amp;"|Casa",'Traslados'!$D:$D)-SUMIF('Traslados'!$G:$G,$A102&amp;"|Casa",'Traslados'!$D:$D)-SUMIF('Ventas'!$M:$M,$A102&amp;"|Casa",'Ventas'!$F:$F)+SUMIF('Ajustes'!$H:$H,$A102&amp;"|Casa",'Ajustes'!$D:$D))</f>
      </c>
      <c r="H102" s="17">
        <f>IF($A102="","",SUMIF('Traslados'!$H:$H,$A102&amp;"|Mercado Libre",'Traslados'!$D:$D)-SUMIF('Traslados'!$G:$G,$A102&amp;"|Mercado Libre",'Traslados'!$D:$D)-SUMIF('Ventas'!$M:$M,$A102&amp;"|Mercado Libre",'Ventas'!$F:$F)+SUMIF('Ajustes'!$H:$H,$A102&amp;"|Mercado Libre",'Ajustes'!$D:$D))</f>
      </c>
      <c r="I102" s="17">
        <f>IF($A102="","",$G102+$H102)</f>
      </c>
      <c r="J102" s="16">
        <f>IF($A102="","",$I102*$F102)</f>
      </c>
      <c r="K102" s="19">
        <f>IF($A102="","",IF($I102&lt;=0,"Agotado",IF($I102&lt;=$E102,"Stock bajo","Disponible")))</f>
      </c>
      <c r="L102" s="17">
        <f>IF($A102="","",IFERROR(VLOOKUP($C102,'Config'!$D$2:$E$30,2,FALSE),0))</f>
      </c>
      <c r="M102" s="20"/>
      <c r="N102" s="22"/>
      <c r="O102" s="22"/>
      <c r="P102" s="17">
        <f>IF(OR($A102="",$D102&lt;&gt;"Activo"),"",SUMPRODUCT(($C$2:$C$201=$C102)*($D$2:$D$201="Activo")*(($S$2:$S$201&lt;$S102)+(($S$2:$S$201=$S102)*($B$2:$B$201&lt;$B102))))+1)</f>
      </c>
      <c r="Q102" s="19">
        <f>IF($P102="","",$C102&amp;"|"&amp;$P102)</f>
      </c>
      <c r="R102" s="20"/>
      <c r="S102" s="17">
        <f>IF($A102="","",IFERROR(VALUE(TRIM(LEFT($R102,FIND("x",LOWER($R102))-1)))*VALUE(TRIM(MID($R102,FIND("x",LOWER($R102))+1,20))),0))</f>
      </c>
      <c r="T102" s="17">
        <f>IF(OR($A102="",$D102&lt;&gt;"Activo"),"",SUMPRODUCT(($D$2:$D$201="Activo")*(($C$2:$C$201&lt;$C102)+(($C$2:$C$201=$C102)*($S$2:$S$201&lt;$S102))+(($C$2:$C$201=$C102)*($S$2:$S$201=$S102)*($B$2:$B$201&lt;$B102))))+1)</f>
      </c>
      <c r="U102" s="19">
        <f>IF($T102="","","TODAS|"&amp;$T102)</f>
      </c>
      <c r="V102" s="14">
        <f>IF($A102="","",IFERROR(IF(COUNTIF('Compras'!$B:$B,$A102)=0,"",MINIFS('Compras'!$A:$A,'Compras'!$B:$B,$A102)),""))</f>
      </c>
      <c r="W102" s="17">
        <f>IF(OR($A102="",$V102=""),"",TODAY()-$V102)</f>
      </c>
      <c r="X102" s="17">
        <f>IF($A102="","",SUMIF('Ventas'!$D:$D,$A102,'Ventas'!$F:$F))</f>
      </c>
      <c r="Y102" s="19">
        <f>IF($A102="","",IF(AND($X102&gt;=3,$W102&lt;&gt;"",$W102&lt;=15),"🔥 Se vende rápido — REABASTECE",IF($K102="Agotado","🔴 Agotado — reabastece",IF($K102="Stock bajo","🟠 Stock bajo","✅ Ok"))))</f>
      </c>
    </row>
    <row r="103">
      <c r="A103" s="20"/>
      <c r="B103" s="20"/>
      <c r="C103" s="20"/>
      <c r="D103" s="20"/>
      <c r="E103" s="21"/>
      <c r="F103" s="16">
        <f>IF($A103="","",IFERROR(SUMIF('Compras'!$B:$B,$A103,'Compras'!$F:$F)/SUMIF('Compras'!$B:$B,$A103,'Compras'!$D:$D),0))</f>
      </c>
      <c r="G103" s="17">
        <f>IF($A103="","",SUMIF('Compras'!$B:$B,$A103,'Compras'!$D:$D)+SUMIF('Traslados'!$H:$H,$A103&amp;"|Casa",'Traslados'!$D:$D)-SUMIF('Traslados'!$G:$G,$A103&amp;"|Casa",'Traslados'!$D:$D)-SUMIF('Ventas'!$M:$M,$A103&amp;"|Casa",'Ventas'!$F:$F)+SUMIF('Ajustes'!$H:$H,$A103&amp;"|Casa",'Ajustes'!$D:$D))</f>
      </c>
      <c r="H103" s="17">
        <f>IF($A103="","",SUMIF('Traslados'!$H:$H,$A103&amp;"|Mercado Libre",'Traslados'!$D:$D)-SUMIF('Traslados'!$G:$G,$A103&amp;"|Mercado Libre",'Traslados'!$D:$D)-SUMIF('Ventas'!$M:$M,$A103&amp;"|Mercado Libre",'Ventas'!$F:$F)+SUMIF('Ajustes'!$H:$H,$A103&amp;"|Mercado Libre",'Ajustes'!$D:$D))</f>
      </c>
      <c r="I103" s="17">
        <f>IF($A103="","",$G103+$H103)</f>
      </c>
      <c r="J103" s="16">
        <f>IF($A103="","",$I103*$F103)</f>
      </c>
      <c r="K103" s="19">
        <f>IF($A103="","",IF($I103&lt;=0,"Agotado",IF($I103&lt;=$E103,"Stock bajo","Disponible")))</f>
      </c>
      <c r="L103" s="17">
        <f>IF($A103="","",IFERROR(VLOOKUP($C103,'Config'!$D$2:$E$30,2,FALSE),0))</f>
      </c>
      <c r="M103" s="20"/>
      <c r="N103" s="22"/>
      <c r="O103" s="22"/>
      <c r="P103" s="17">
        <f>IF(OR($A103="",$D103&lt;&gt;"Activo"),"",SUMPRODUCT(($C$2:$C$201=$C103)*($D$2:$D$201="Activo")*(($S$2:$S$201&lt;$S103)+(($S$2:$S$201=$S103)*($B$2:$B$201&lt;$B103))))+1)</f>
      </c>
      <c r="Q103" s="19">
        <f>IF($P103="","",$C103&amp;"|"&amp;$P103)</f>
      </c>
      <c r="R103" s="20"/>
      <c r="S103" s="17">
        <f>IF($A103="","",IFERROR(VALUE(TRIM(LEFT($R103,FIND("x",LOWER($R103))-1)))*VALUE(TRIM(MID($R103,FIND("x",LOWER($R103))+1,20))),0))</f>
      </c>
      <c r="T103" s="17">
        <f>IF(OR($A103="",$D103&lt;&gt;"Activo"),"",SUMPRODUCT(($D$2:$D$201="Activo")*(($C$2:$C$201&lt;$C103)+(($C$2:$C$201=$C103)*($S$2:$S$201&lt;$S103))+(($C$2:$C$201=$C103)*($S$2:$S$201=$S103)*($B$2:$B$201&lt;$B103))))+1)</f>
      </c>
      <c r="U103" s="19">
        <f>IF($T103="","","TODAS|"&amp;$T103)</f>
      </c>
      <c r="V103" s="14">
        <f>IF($A103="","",IFERROR(IF(COUNTIF('Compras'!$B:$B,$A103)=0,"",MINIFS('Compras'!$A:$A,'Compras'!$B:$B,$A103)),""))</f>
      </c>
      <c r="W103" s="17">
        <f>IF(OR($A103="",$V103=""),"",TODAY()-$V103)</f>
      </c>
      <c r="X103" s="17">
        <f>IF($A103="","",SUMIF('Ventas'!$D:$D,$A103,'Ventas'!$F:$F))</f>
      </c>
      <c r="Y103" s="19">
        <f>IF($A103="","",IF(AND($X103&gt;=3,$W103&lt;&gt;"",$W103&lt;=15),"🔥 Se vende rápido — REABASTECE",IF($K103="Agotado","🔴 Agotado — reabastece",IF($K103="Stock bajo","🟠 Stock bajo","✅ Ok"))))</f>
      </c>
    </row>
    <row r="104">
      <c r="A104" s="20"/>
      <c r="B104" s="20"/>
      <c r="C104" s="20"/>
      <c r="D104" s="20"/>
      <c r="E104" s="21"/>
      <c r="F104" s="16">
        <f>IF($A104="","",IFERROR(SUMIF('Compras'!$B:$B,$A104,'Compras'!$F:$F)/SUMIF('Compras'!$B:$B,$A104,'Compras'!$D:$D),0))</f>
      </c>
      <c r="G104" s="17">
        <f>IF($A104="","",SUMIF('Compras'!$B:$B,$A104,'Compras'!$D:$D)+SUMIF('Traslados'!$H:$H,$A104&amp;"|Casa",'Traslados'!$D:$D)-SUMIF('Traslados'!$G:$G,$A104&amp;"|Casa",'Traslados'!$D:$D)-SUMIF('Ventas'!$M:$M,$A104&amp;"|Casa",'Ventas'!$F:$F)+SUMIF('Ajustes'!$H:$H,$A104&amp;"|Casa",'Ajustes'!$D:$D))</f>
      </c>
      <c r="H104" s="17">
        <f>IF($A104="","",SUMIF('Traslados'!$H:$H,$A104&amp;"|Mercado Libre",'Traslados'!$D:$D)-SUMIF('Traslados'!$G:$G,$A104&amp;"|Mercado Libre",'Traslados'!$D:$D)-SUMIF('Ventas'!$M:$M,$A104&amp;"|Mercado Libre",'Ventas'!$F:$F)+SUMIF('Ajustes'!$H:$H,$A104&amp;"|Mercado Libre",'Ajustes'!$D:$D))</f>
      </c>
      <c r="I104" s="17">
        <f>IF($A104="","",$G104+$H104)</f>
      </c>
      <c r="J104" s="16">
        <f>IF($A104="","",$I104*$F104)</f>
      </c>
      <c r="K104" s="19">
        <f>IF($A104="","",IF($I104&lt;=0,"Agotado",IF($I104&lt;=$E104,"Stock bajo","Disponible")))</f>
      </c>
      <c r="L104" s="17">
        <f>IF($A104="","",IFERROR(VLOOKUP($C104,'Config'!$D$2:$E$30,2,FALSE),0))</f>
      </c>
      <c r="M104" s="20"/>
      <c r="N104" s="22"/>
      <c r="O104" s="22"/>
      <c r="P104" s="17">
        <f>IF(OR($A104="",$D104&lt;&gt;"Activo"),"",SUMPRODUCT(($C$2:$C$201=$C104)*($D$2:$D$201="Activo")*(($S$2:$S$201&lt;$S104)+(($S$2:$S$201=$S104)*($B$2:$B$201&lt;$B104))))+1)</f>
      </c>
      <c r="Q104" s="19">
        <f>IF($P104="","",$C104&amp;"|"&amp;$P104)</f>
      </c>
      <c r="R104" s="20"/>
      <c r="S104" s="17">
        <f>IF($A104="","",IFERROR(VALUE(TRIM(LEFT($R104,FIND("x",LOWER($R104))-1)))*VALUE(TRIM(MID($R104,FIND("x",LOWER($R104))+1,20))),0))</f>
      </c>
      <c r="T104" s="17">
        <f>IF(OR($A104="",$D104&lt;&gt;"Activo"),"",SUMPRODUCT(($D$2:$D$201="Activo")*(($C$2:$C$201&lt;$C104)+(($C$2:$C$201=$C104)*($S$2:$S$201&lt;$S104))+(($C$2:$C$201=$C104)*($S$2:$S$201=$S104)*($B$2:$B$201&lt;$B104))))+1)</f>
      </c>
      <c r="U104" s="19">
        <f>IF($T104="","","TODAS|"&amp;$T104)</f>
      </c>
      <c r="V104" s="14">
        <f>IF($A104="","",IFERROR(IF(COUNTIF('Compras'!$B:$B,$A104)=0,"",MINIFS('Compras'!$A:$A,'Compras'!$B:$B,$A104)),""))</f>
      </c>
      <c r="W104" s="17">
        <f>IF(OR($A104="",$V104=""),"",TODAY()-$V104)</f>
      </c>
      <c r="X104" s="17">
        <f>IF($A104="","",SUMIF('Ventas'!$D:$D,$A104,'Ventas'!$F:$F))</f>
      </c>
      <c r="Y104" s="19">
        <f>IF($A104="","",IF(AND($X104&gt;=3,$W104&lt;&gt;"",$W104&lt;=15),"🔥 Se vende rápido — REABASTECE",IF($K104="Agotado","🔴 Agotado — reabastece",IF($K104="Stock bajo","🟠 Stock bajo","✅ Ok"))))</f>
      </c>
    </row>
    <row r="105">
      <c r="A105" s="20"/>
      <c r="B105" s="20"/>
      <c r="C105" s="20"/>
      <c r="D105" s="20"/>
      <c r="E105" s="21"/>
      <c r="F105" s="16">
        <f>IF($A105="","",IFERROR(SUMIF('Compras'!$B:$B,$A105,'Compras'!$F:$F)/SUMIF('Compras'!$B:$B,$A105,'Compras'!$D:$D),0))</f>
      </c>
      <c r="G105" s="17">
        <f>IF($A105="","",SUMIF('Compras'!$B:$B,$A105,'Compras'!$D:$D)+SUMIF('Traslados'!$H:$H,$A105&amp;"|Casa",'Traslados'!$D:$D)-SUMIF('Traslados'!$G:$G,$A105&amp;"|Casa",'Traslados'!$D:$D)-SUMIF('Ventas'!$M:$M,$A105&amp;"|Casa",'Ventas'!$F:$F)+SUMIF('Ajustes'!$H:$H,$A105&amp;"|Casa",'Ajustes'!$D:$D))</f>
      </c>
      <c r="H105" s="17">
        <f>IF($A105="","",SUMIF('Traslados'!$H:$H,$A105&amp;"|Mercado Libre",'Traslados'!$D:$D)-SUMIF('Traslados'!$G:$G,$A105&amp;"|Mercado Libre",'Traslados'!$D:$D)-SUMIF('Ventas'!$M:$M,$A105&amp;"|Mercado Libre",'Ventas'!$F:$F)+SUMIF('Ajustes'!$H:$H,$A105&amp;"|Mercado Libre",'Ajustes'!$D:$D))</f>
      </c>
      <c r="I105" s="17">
        <f>IF($A105="","",$G105+$H105)</f>
      </c>
      <c r="J105" s="16">
        <f>IF($A105="","",$I105*$F105)</f>
      </c>
      <c r="K105" s="19">
        <f>IF($A105="","",IF($I105&lt;=0,"Agotado",IF($I105&lt;=$E105,"Stock bajo","Disponible")))</f>
      </c>
      <c r="L105" s="17">
        <f>IF($A105="","",IFERROR(VLOOKUP($C105,'Config'!$D$2:$E$30,2,FALSE),0))</f>
      </c>
      <c r="M105" s="20"/>
      <c r="N105" s="22"/>
      <c r="O105" s="22"/>
      <c r="P105" s="17">
        <f>IF(OR($A105="",$D105&lt;&gt;"Activo"),"",SUMPRODUCT(($C$2:$C$201=$C105)*($D$2:$D$201="Activo")*(($S$2:$S$201&lt;$S105)+(($S$2:$S$201=$S105)*($B$2:$B$201&lt;$B105))))+1)</f>
      </c>
      <c r="Q105" s="19">
        <f>IF($P105="","",$C105&amp;"|"&amp;$P105)</f>
      </c>
      <c r="R105" s="20"/>
      <c r="S105" s="17">
        <f>IF($A105="","",IFERROR(VALUE(TRIM(LEFT($R105,FIND("x",LOWER($R105))-1)))*VALUE(TRIM(MID($R105,FIND("x",LOWER($R105))+1,20))),0))</f>
      </c>
      <c r="T105" s="17">
        <f>IF(OR($A105="",$D105&lt;&gt;"Activo"),"",SUMPRODUCT(($D$2:$D$201="Activo")*(($C$2:$C$201&lt;$C105)+(($C$2:$C$201=$C105)*($S$2:$S$201&lt;$S105))+(($C$2:$C$201=$C105)*($S$2:$S$201=$S105)*($B$2:$B$201&lt;$B105))))+1)</f>
      </c>
      <c r="U105" s="19">
        <f>IF($T105="","","TODAS|"&amp;$T105)</f>
      </c>
      <c r="V105" s="14">
        <f>IF($A105="","",IFERROR(IF(COUNTIF('Compras'!$B:$B,$A105)=0,"",MINIFS('Compras'!$A:$A,'Compras'!$B:$B,$A105)),""))</f>
      </c>
      <c r="W105" s="17">
        <f>IF(OR($A105="",$V105=""),"",TODAY()-$V105)</f>
      </c>
      <c r="X105" s="17">
        <f>IF($A105="","",SUMIF('Ventas'!$D:$D,$A105,'Ventas'!$F:$F))</f>
      </c>
      <c r="Y105" s="19">
        <f>IF($A105="","",IF(AND($X105&gt;=3,$W105&lt;&gt;"",$W105&lt;=15),"🔥 Se vende rápido — REABASTECE",IF($K105="Agotado","🔴 Agotado — reabastece",IF($K105="Stock bajo","🟠 Stock bajo","✅ Ok"))))</f>
      </c>
    </row>
    <row r="106">
      <c r="A106" s="20"/>
      <c r="B106" s="20"/>
      <c r="C106" s="20"/>
      <c r="D106" s="20"/>
      <c r="E106" s="21"/>
      <c r="F106" s="16">
        <f>IF($A106="","",IFERROR(SUMIF('Compras'!$B:$B,$A106,'Compras'!$F:$F)/SUMIF('Compras'!$B:$B,$A106,'Compras'!$D:$D),0))</f>
      </c>
      <c r="G106" s="17">
        <f>IF($A106="","",SUMIF('Compras'!$B:$B,$A106,'Compras'!$D:$D)+SUMIF('Traslados'!$H:$H,$A106&amp;"|Casa",'Traslados'!$D:$D)-SUMIF('Traslados'!$G:$G,$A106&amp;"|Casa",'Traslados'!$D:$D)-SUMIF('Ventas'!$M:$M,$A106&amp;"|Casa",'Ventas'!$F:$F)+SUMIF('Ajustes'!$H:$H,$A106&amp;"|Casa",'Ajustes'!$D:$D))</f>
      </c>
      <c r="H106" s="17">
        <f>IF($A106="","",SUMIF('Traslados'!$H:$H,$A106&amp;"|Mercado Libre",'Traslados'!$D:$D)-SUMIF('Traslados'!$G:$G,$A106&amp;"|Mercado Libre",'Traslados'!$D:$D)-SUMIF('Ventas'!$M:$M,$A106&amp;"|Mercado Libre",'Ventas'!$F:$F)+SUMIF('Ajustes'!$H:$H,$A106&amp;"|Mercado Libre",'Ajustes'!$D:$D))</f>
      </c>
      <c r="I106" s="17">
        <f>IF($A106="","",$G106+$H106)</f>
      </c>
      <c r="J106" s="16">
        <f>IF($A106="","",$I106*$F106)</f>
      </c>
      <c r="K106" s="19">
        <f>IF($A106="","",IF($I106&lt;=0,"Agotado",IF($I106&lt;=$E106,"Stock bajo","Disponible")))</f>
      </c>
      <c r="L106" s="17">
        <f>IF($A106="","",IFERROR(VLOOKUP($C106,'Config'!$D$2:$E$30,2,FALSE),0))</f>
      </c>
      <c r="M106" s="20"/>
      <c r="N106" s="22"/>
      <c r="O106" s="22"/>
      <c r="P106" s="17">
        <f>IF(OR($A106="",$D106&lt;&gt;"Activo"),"",SUMPRODUCT(($C$2:$C$201=$C106)*($D$2:$D$201="Activo")*(($S$2:$S$201&lt;$S106)+(($S$2:$S$201=$S106)*($B$2:$B$201&lt;$B106))))+1)</f>
      </c>
      <c r="Q106" s="19">
        <f>IF($P106="","",$C106&amp;"|"&amp;$P106)</f>
      </c>
      <c r="R106" s="20"/>
      <c r="S106" s="17">
        <f>IF($A106="","",IFERROR(VALUE(TRIM(LEFT($R106,FIND("x",LOWER($R106))-1)))*VALUE(TRIM(MID($R106,FIND("x",LOWER($R106))+1,20))),0))</f>
      </c>
      <c r="T106" s="17">
        <f>IF(OR($A106="",$D106&lt;&gt;"Activo"),"",SUMPRODUCT(($D$2:$D$201="Activo")*(($C$2:$C$201&lt;$C106)+(($C$2:$C$201=$C106)*($S$2:$S$201&lt;$S106))+(($C$2:$C$201=$C106)*($S$2:$S$201=$S106)*($B$2:$B$201&lt;$B106))))+1)</f>
      </c>
      <c r="U106" s="19">
        <f>IF($T106="","","TODAS|"&amp;$T106)</f>
      </c>
      <c r="V106" s="14">
        <f>IF($A106="","",IFERROR(IF(COUNTIF('Compras'!$B:$B,$A106)=0,"",MINIFS('Compras'!$A:$A,'Compras'!$B:$B,$A106)),""))</f>
      </c>
      <c r="W106" s="17">
        <f>IF(OR($A106="",$V106=""),"",TODAY()-$V106)</f>
      </c>
      <c r="X106" s="17">
        <f>IF($A106="","",SUMIF('Ventas'!$D:$D,$A106,'Ventas'!$F:$F))</f>
      </c>
      <c r="Y106" s="19">
        <f>IF($A106="","",IF(AND($X106&gt;=3,$W106&lt;&gt;"",$W106&lt;=15),"🔥 Se vende rápido — REABASTECE",IF($K106="Agotado","🔴 Agotado — reabastece",IF($K106="Stock bajo","🟠 Stock bajo","✅ Ok"))))</f>
      </c>
    </row>
    <row r="107">
      <c r="A107" s="20"/>
      <c r="B107" s="20"/>
      <c r="C107" s="20"/>
      <c r="D107" s="20"/>
      <c r="E107" s="21"/>
      <c r="F107" s="16">
        <f>IF($A107="","",IFERROR(SUMIF('Compras'!$B:$B,$A107,'Compras'!$F:$F)/SUMIF('Compras'!$B:$B,$A107,'Compras'!$D:$D),0))</f>
      </c>
      <c r="G107" s="17">
        <f>IF($A107="","",SUMIF('Compras'!$B:$B,$A107,'Compras'!$D:$D)+SUMIF('Traslados'!$H:$H,$A107&amp;"|Casa",'Traslados'!$D:$D)-SUMIF('Traslados'!$G:$G,$A107&amp;"|Casa",'Traslados'!$D:$D)-SUMIF('Ventas'!$M:$M,$A107&amp;"|Casa",'Ventas'!$F:$F)+SUMIF('Ajustes'!$H:$H,$A107&amp;"|Casa",'Ajustes'!$D:$D))</f>
      </c>
      <c r="H107" s="17">
        <f>IF($A107="","",SUMIF('Traslados'!$H:$H,$A107&amp;"|Mercado Libre",'Traslados'!$D:$D)-SUMIF('Traslados'!$G:$G,$A107&amp;"|Mercado Libre",'Traslados'!$D:$D)-SUMIF('Ventas'!$M:$M,$A107&amp;"|Mercado Libre",'Ventas'!$F:$F)+SUMIF('Ajustes'!$H:$H,$A107&amp;"|Mercado Libre",'Ajustes'!$D:$D))</f>
      </c>
      <c r="I107" s="17">
        <f>IF($A107="","",$G107+$H107)</f>
      </c>
      <c r="J107" s="16">
        <f>IF($A107="","",$I107*$F107)</f>
      </c>
      <c r="K107" s="19">
        <f>IF($A107="","",IF($I107&lt;=0,"Agotado",IF($I107&lt;=$E107,"Stock bajo","Disponible")))</f>
      </c>
      <c r="L107" s="17">
        <f>IF($A107="","",IFERROR(VLOOKUP($C107,'Config'!$D$2:$E$30,2,FALSE),0))</f>
      </c>
      <c r="M107" s="20"/>
      <c r="N107" s="22"/>
      <c r="O107" s="22"/>
      <c r="P107" s="17">
        <f>IF(OR($A107="",$D107&lt;&gt;"Activo"),"",SUMPRODUCT(($C$2:$C$201=$C107)*($D$2:$D$201="Activo")*(($S$2:$S$201&lt;$S107)+(($S$2:$S$201=$S107)*($B$2:$B$201&lt;$B107))))+1)</f>
      </c>
      <c r="Q107" s="19">
        <f>IF($P107="","",$C107&amp;"|"&amp;$P107)</f>
      </c>
      <c r="R107" s="20"/>
      <c r="S107" s="17">
        <f>IF($A107="","",IFERROR(VALUE(TRIM(LEFT($R107,FIND("x",LOWER($R107))-1)))*VALUE(TRIM(MID($R107,FIND("x",LOWER($R107))+1,20))),0))</f>
      </c>
      <c r="T107" s="17">
        <f>IF(OR($A107="",$D107&lt;&gt;"Activo"),"",SUMPRODUCT(($D$2:$D$201="Activo")*(($C$2:$C$201&lt;$C107)+(($C$2:$C$201=$C107)*($S$2:$S$201&lt;$S107))+(($C$2:$C$201=$C107)*($S$2:$S$201=$S107)*($B$2:$B$201&lt;$B107))))+1)</f>
      </c>
      <c r="U107" s="19">
        <f>IF($T107="","","TODAS|"&amp;$T107)</f>
      </c>
      <c r="V107" s="14">
        <f>IF($A107="","",IFERROR(IF(COUNTIF('Compras'!$B:$B,$A107)=0,"",MINIFS('Compras'!$A:$A,'Compras'!$B:$B,$A107)),""))</f>
      </c>
      <c r="W107" s="17">
        <f>IF(OR($A107="",$V107=""),"",TODAY()-$V107)</f>
      </c>
      <c r="X107" s="17">
        <f>IF($A107="","",SUMIF('Ventas'!$D:$D,$A107,'Ventas'!$F:$F))</f>
      </c>
      <c r="Y107" s="19">
        <f>IF($A107="","",IF(AND($X107&gt;=3,$W107&lt;&gt;"",$W107&lt;=15),"🔥 Se vende rápido — REABASTECE",IF($K107="Agotado","🔴 Agotado — reabastece",IF($K107="Stock bajo","🟠 Stock bajo","✅ Ok"))))</f>
      </c>
    </row>
    <row r="108">
      <c r="A108" s="20"/>
      <c r="B108" s="20"/>
      <c r="C108" s="20"/>
      <c r="D108" s="20"/>
      <c r="E108" s="21"/>
      <c r="F108" s="16">
        <f>IF($A108="","",IFERROR(SUMIF('Compras'!$B:$B,$A108,'Compras'!$F:$F)/SUMIF('Compras'!$B:$B,$A108,'Compras'!$D:$D),0))</f>
      </c>
      <c r="G108" s="17">
        <f>IF($A108="","",SUMIF('Compras'!$B:$B,$A108,'Compras'!$D:$D)+SUMIF('Traslados'!$H:$H,$A108&amp;"|Casa",'Traslados'!$D:$D)-SUMIF('Traslados'!$G:$G,$A108&amp;"|Casa",'Traslados'!$D:$D)-SUMIF('Ventas'!$M:$M,$A108&amp;"|Casa",'Ventas'!$F:$F)+SUMIF('Ajustes'!$H:$H,$A108&amp;"|Casa",'Ajustes'!$D:$D))</f>
      </c>
      <c r="H108" s="17">
        <f>IF($A108="","",SUMIF('Traslados'!$H:$H,$A108&amp;"|Mercado Libre",'Traslados'!$D:$D)-SUMIF('Traslados'!$G:$G,$A108&amp;"|Mercado Libre",'Traslados'!$D:$D)-SUMIF('Ventas'!$M:$M,$A108&amp;"|Mercado Libre",'Ventas'!$F:$F)+SUMIF('Ajustes'!$H:$H,$A108&amp;"|Mercado Libre",'Ajustes'!$D:$D))</f>
      </c>
      <c r="I108" s="17">
        <f>IF($A108="","",$G108+$H108)</f>
      </c>
      <c r="J108" s="16">
        <f>IF($A108="","",$I108*$F108)</f>
      </c>
      <c r="K108" s="19">
        <f>IF($A108="","",IF($I108&lt;=0,"Agotado",IF($I108&lt;=$E108,"Stock bajo","Disponible")))</f>
      </c>
      <c r="L108" s="17">
        <f>IF($A108="","",IFERROR(VLOOKUP($C108,'Config'!$D$2:$E$30,2,FALSE),0))</f>
      </c>
      <c r="M108" s="20"/>
      <c r="N108" s="22"/>
      <c r="O108" s="22"/>
      <c r="P108" s="17">
        <f>IF(OR($A108="",$D108&lt;&gt;"Activo"),"",SUMPRODUCT(($C$2:$C$201=$C108)*($D$2:$D$201="Activo")*(($S$2:$S$201&lt;$S108)+(($S$2:$S$201=$S108)*($B$2:$B$201&lt;$B108))))+1)</f>
      </c>
      <c r="Q108" s="19">
        <f>IF($P108="","",$C108&amp;"|"&amp;$P108)</f>
      </c>
      <c r="R108" s="20"/>
      <c r="S108" s="17">
        <f>IF($A108="","",IFERROR(VALUE(TRIM(LEFT($R108,FIND("x",LOWER($R108))-1)))*VALUE(TRIM(MID($R108,FIND("x",LOWER($R108))+1,20))),0))</f>
      </c>
      <c r="T108" s="17">
        <f>IF(OR($A108="",$D108&lt;&gt;"Activo"),"",SUMPRODUCT(($D$2:$D$201="Activo")*(($C$2:$C$201&lt;$C108)+(($C$2:$C$201=$C108)*($S$2:$S$201&lt;$S108))+(($C$2:$C$201=$C108)*($S$2:$S$201=$S108)*($B$2:$B$201&lt;$B108))))+1)</f>
      </c>
      <c r="U108" s="19">
        <f>IF($T108="","","TODAS|"&amp;$T108)</f>
      </c>
      <c r="V108" s="14">
        <f>IF($A108="","",IFERROR(IF(COUNTIF('Compras'!$B:$B,$A108)=0,"",MINIFS('Compras'!$A:$A,'Compras'!$B:$B,$A108)),""))</f>
      </c>
      <c r="W108" s="17">
        <f>IF(OR($A108="",$V108=""),"",TODAY()-$V108)</f>
      </c>
      <c r="X108" s="17">
        <f>IF($A108="","",SUMIF('Ventas'!$D:$D,$A108,'Ventas'!$F:$F))</f>
      </c>
      <c r="Y108" s="19">
        <f>IF($A108="","",IF(AND($X108&gt;=3,$W108&lt;&gt;"",$W108&lt;=15),"🔥 Se vende rápido — REABASTECE",IF($K108="Agotado","🔴 Agotado — reabastece",IF($K108="Stock bajo","🟠 Stock bajo","✅ Ok"))))</f>
      </c>
    </row>
    <row r="109">
      <c r="A109" s="20"/>
      <c r="B109" s="20"/>
      <c r="C109" s="20"/>
      <c r="D109" s="20"/>
      <c r="E109" s="21"/>
      <c r="F109" s="16">
        <f>IF($A109="","",IFERROR(SUMIF('Compras'!$B:$B,$A109,'Compras'!$F:$F)/SUMIF('Compras'!$B:$B,$A109,'Compras'!$D:$D),0))</f>
      </c>
      <c r="G109" s="17">
        <f>IF($A109="","",SUMIF('Compras'!$B:$B,$A109,'Compras'!$D:$D)+SUMIF('Traslados'!$H:$H,$A109&amp;"|Casa",'Traslados'!$D:$D)-SUMIF('Traslados'!$G:$G,$A109&amp;"|Casa",'Traslados'!$D:$D)-SUMIF('Ventas'!$M:$M,$A109&amp;"|Casa",'Ventas'!$F:$F)+SUMIF('Ajustes'!$H:$H,$A109&amp;"|Casa",'Ajustes'!$D:$D))</f>
      </c>
      <c r="H109" s="17">
        <f>IF($A109="","",SUMIF('Traslados'!$H:$H,$A109&amp;"|Mercado Libre",'Traslados'!$D:$D)-SUMIF('Traslados'!$G:$G,$A109&amp;"|Mercado Libre",'Traslados'!$D:$D)-SUMIF('Ventas'!$M:$M,$A109&amp;"|Mercado Libre",'Ventas'!$F:$F)+SUMIF('Ajustes'!$H:$H,$A109&amp;"|Mercado Libre",'Ajustes'!$D:$D))</f>
      </c>
      <c r="I109" s="17">
        <f>IF($A109="","",$G109+$H109)</f>
      </c>
      <c r="J109" s="16">
        <f>IF($A109="","",$I109*$F109)</f>
      </c>
      <c r="K109" s="19">
        <f>IF($A109="","",IF($I109&lt;=0,"Agotado",IF($I109&lt;=$E109,"Stock bajo","Disponible")))</f>
      </c>
      <c r="L109" s="17">
        <f>IF($A109="","",IFERROR(VLOOKUP($C109,'Config'!$D$2:$E$30,2,FALSE),0))</f>
      </c>
      <c r="M109" s="20"/>
      <c r="N109" s="22"/>
      <c r="O109" s="22"/>
      <c r="P109" s="17">
        <f>IF(OR($A109="",$D109&lt;&gt;"Activo"),"",SUMPRODUCT(($C$2:$C$201=$C109)*($D$2:$D$201="Activo")*(($S$2:$S$201&lt;$S109)+(($S$2:$S$201=$S109)*($B$2:$B$201&lt;$B109))))+1)</f>
      </c>
      <c r="Q109" s="19">
        <f>IF($P109="","",$C109&amp;"|"&amp;$P109)</f>
      </c>
      <c r="R109" s="20"/>
      <c r="S109" s="17">
        <f>IF($A109="","",IFERROR(VALUE(TRIM(LEFT($R109,FIND("x",LOWER($R109))-1)))*VALUE(TRIM(MID($R109,FIND("x",LOWER($R109))+1,20))),0))</f>
      </c>
      <c r="T109" s="17">
        <f>IF(OR($A109="",$D109&lt;&gt;"Activo"),"",SUMPRODUCT(($D$2:$D$201="Activo")*(($C$2:$C$201&lt;$C109)+(($C$2:$C$201=$C109)*($S$2:$S$201&lt;$S109))+(($C$2:$C$201=$C109)*($S$2:$S$201=$S109)*($B$2:$B$201&lt;$B109))))+1)</f>
      </c>
      <c r="U109" s="19">
        <f>IF($T109="","","TODAS|"&amp;$T109)</f>
      </c>
      <c r="V109" s="14">
        <f>IF($A109="","",IFERROR(IF(COUNTIF('Compras'!$B:$B,$A109)=0,"",MINIFS('Compras'!$A:$A,'Compras'!$B:$B,$A109)),""))</f>
      </c>
      <c r="W109" s="17">
        <f>IF(OR($A109="",$V109=""),"",TODAY()-$V109)</f>
      </c>
      <c r="X109" s="17">
        <f>IF($A109="","",SUMIF('Ventas'!$D:$D,$A109,'Ventas'!$F:$F))</f>
      </c>
      <c r="Y109" s="19">
        <f>IF($A109="","",IF(AND($X109&gt;=3,$W109&lt;&gt;"",$W109&lt;=15),"🔥 Se vende rápido — REABASTECE",IF($K109="Agotado","🔴 Agotado — reabastece",IF($K109="Stock bajo","🟠 Stock bajo","✅ Ok"))))</f>
      </c>
    </row>
    <row r="110">
      <c r="A110" s="20"/>
      <c r="B110" s="20"/>
      <c r="C110" s="20"/>
      <c r="D110" s="20"/>
      <c r="E110" s="21"/>
      <c r="F110" s="16">
        <f>IF($A110="","",IFERROR(SUMIF('Compras'!$B:$B,$A110,'Compras'!$F:$F)/SUMIF('Compras'!$B:$B,$A110,'Compras'!$D:$D),0))</f>
      </c>
      <c r="G110" s="17">
        <f>IF($A110="","",SUMIF('Compras'!$B:$B,$A110,'Compras'!$D:$D)+SUMIF('Traslados'!$H:$H,$A110&amp;"|Casa",'Traslados'!$D:$D)-SUMIF('Traslados'!$G:$G,$A110&amp;"|Casa",'Traslados'!$D:$D)-SUMIF('Ventas'!$M:$M,$A110&amp;"|Casa",'Ventas'!$F:$F)+SUMIF('Ajustes'!$H:$H,$A110&amp;"|Casa",'Ajustes'!$D:$D))</f>
      </c>
      <c r="H110" s="17">
        <f>IF($A110="","",SUMIF('Traslados'!$H:$H,$A110&amp;"|Mercado Libre",'Traslados'!$D:$D)-SUMIF('Traslados'!$G:$G,$A110&amp;"|Mercado Libre",'Traslados'!$D:$D)-SUMIF('Ventas'!$M:$M,$A110&amp;"|Mercado Libre",'Ventas'!$F:$F)+SUMIF('Ajustes'!$H:$H,$A110&amp;"|Mercado Libre",'Ajustes'!$D:$D))</f>
      </c>
      <c r="I110" s="17">
        <f>IF($A110="","",$G110+$H110)</f>
      </c>
      <c r="J110" s="16">
        <f>IF($A110="","",$I110*$F110)</f>
      </c>
      <c r="K110" s="19">
        <f>IF($A110="","",IF($I110&lt;=0,"Agotado",IF($I110&lt;=$E110,"Stock bajo","Disponible")))</f>
      </c>
      <c r="L110" s="17">
        <f>IF($A110="","",IFERROR(VLOOKUP($C110,'Config'!$D$2:$E$30,2,FALSE),0))</f>
      </c>
      <c r="M110" s="20"/>
      <c r="N110" s="22"/>
      <c r="O110" s="22"/>
      <c r="P110" s="17">
        <f>IF(OR($A110="",$D110&lt;&gt;"Activo"),"",SUMPRODUCT(($C$2:$C$201=$C110)*($D$2:$D$201="Activo")*(($S$2:$S$201&lt;$S110)+(($S$2:$S$201=$S110)*($B$2:$B$201&lt;$B110))))+1)</f>
      </c>
      <c r="Q110" s="19">
        <f>IF($P110="","",$C110&amp;"|"&amp;$P110)</f>
      </c>
      <c r="R110" s="20"/>
      <c r="S110" s="17">
        <f>IF($A110="","",IFERROR(VALUE(TRIM(LEFT($R110,FIND("x",LOWER($R110))-1)))*VALUE(TRIM(MID($R110,FIND("x",LOWER($R110))+1,20))),0))</f>
      </c>
      <c r="T110" s="17">
        <f>IF(OR($A110="",$D110&lt;&gt;"Activo"),"",SUMPRODUCT(($D$2:$D$201="Activo")*(($C$2:$C$201&lt;$C110)+(($C$2:$C$201=$C110)*($S$2:$S$201&lt;$S110))+(($C$2:$C$201=$C110)*($S$2:$S$201=$S110)*($B$2:$B$201&lt;$B110))))+1)</f>
      </c>
      <c r="U110" s="19">
        <f>IF($T110="","","TODAS|"&amp;$T110)</f>
      </c>
      <c r="V110" s="14">
        <f>IF($A110="","",IFERROR(IF(COUNTIF('Compras'!$B:$B,$A110)=0,"",MINIFS('Compras'!$A:$A,'Compras'!$B:$B,$A110)),""))</f>
      </c>
      <c r="W110" s="17">
        <f>IF(OR($A110="",$V110=""),"",TODAY()-$V110)</f>
      </c>
      <c r="X110" s="17">
        <f>IF($A110="","",SUMIF('Ventas'!$D:$D,$A110,'Ventas'!$F:$F))</f>
      </c>
      <c r="Y110" s="19">
        <f>IF($A110="","",IF(AND($X110&gt;=3,$W110&lt;&gt;"",$W110&lt;=15),"🔥 Se vende rápido — REABASTECE",IF($K110="Agotado","🔴 Agotado — reabastece",IF($K110="Stock bajo","🟠 Stock bajo","✅ Ok"))))</f>
      </c>
    </row>
    <row r="111">
      <c r="A111" s="20"/>
      <c r="B111" s="20"/>
      <c r="C111" s="20"/>
      <c r="D111" s="20"/>
      <c r="E111" s="21"/>
      <c r="F111" s="16">
        <f>IF($A111="","",IFERROR(SUMIF('Compras'!$B:$B,$A111,'Compras'!$F:$F)/SUMIF('Compras'!$B:$B,$A111,'Compras'!$D:$D),0))</f>
      </c>
      <c r="G111" s="17">
        <f>IF($A111="","",SUMIF('Compras'!$B:$B,$A111,'Compras'!$D:$D)+SUMIF('Traslados'!$H:$H,$A111&amp;"|Casa",'Traslados'!$D:$D)-SUMIF('Traslados'!$G:$G,$A111&amp;"|Casa",'Traslados'!$D:$D)-SUMIF('Ventas'!$M:$M,$A111&amp;"|Casa",'Ventas'!$F:$F)+SUMIF('Ajustes'!$H:$H,$A111&amp;"|Casa",'Ajustes'!$D:$D))</f>
      </c>
      <c r="H111" s="17">
        <f>IF($A111="","",SUMIF('Traslados'!$H:$H,$A111&amp;"|Mercado Libre",'Traslados'!$D:$D)-SUMIF('Traslados'!$G:$G,$A111&amp;"|Mercado Libre",'Traslados'!$D:$D)-SUMIF('Ventas'!$M:$M,$A111&amp;"|Mercado Libre",'Ventas'!$F:$F)+SUMIF('Ajustes'!$H:$H,$A111&amp;"|Mercado Libre",'Ajustes'!$D:$D))</f>
      </c>
      <c r="I111" s="17">
        <f>IF($A111="","",$G111+$H111)</f>
      </c>
      <c r="J111" s="16">
        <f>IF($A111="","",$I111*$F111)</f>
      </c>
      <c r="K111" s="19">
        <f>IF($A111="","",IF($I111&lt;=0,"Agotado",IF($I111&lt;=$E111,"Stock bajo","Disponible")))</f>
      </c>
      <c r="L111" s="17">
        <f>IF($A111="","",IFERROR(VLOOKUP($C111,'Config'!$D$2:$E$30,2,FALSE),0))</f>
      </c>
      <c r="M111" s="20"/>
      <c r="N111" s="22"/>
      <c r="O111" s="22"/>
      <c r="P111" s="17">
        <f>IF(OR($A111="",$D111&lt;&gt;"Activo"),"",SUMPRODUCT(($C$2:$C$201=$C111)*($D$2:$D$201="Activo")*(($S$2:$S$201&lt;$S111)+(($S$2:$S$201=$S111)*($B$2:$B$201&lt;$B111))))+1)</f>
      </c>
      <c r="Q111" s="19">
        <f>IF($P111="","",$C111&amp;"|"&amp;$P111)</f>
      </c>
      <c r="R111" s="20"/>
      <c r="S111" s="17">
        <f>IF($A111="","",IFERROR(VALUE(TRIM(LEFT($R111,FIND("x",LOWER($R111))-1)))*VALUE(TRIM(MID($R111,FIND("x",LOWER($R111))+1,20))),0))</f>
      </c>
      <c r="T111" s="17">
        <f>IF(OR($A111="",$D111&lt;&gt;"Activo"),"",SUMPRODUCT(($D$2:$D$201="Activo")*(($C$2:$C$201&lt;$C111)+(($C$2:$C$201=$C111)*($S$2:$S$201&lt;$S111))+(($C$2:$C$201=$C111)*($S$2:$S$201=$S111)*($B$2:$B$201&lt;$B111))))+1)</f>
      </c>
      <c r="U111" s="19">
        <f>IF($T111="","","TODAS|"&amp;$T111)</f>
      </c>
      <c r="V111" s="14">
        <f>IF($A111="","",IFERROR(IF(COUNTIF('Compras'!$B:$B,$A111)=0,"",MINIFS('Compras'!$A:$A,'Compras'!$B:$B,$A111)),""))</f>
      </c>
      <c r="W111" s="17">
        <f>IF(OR($A111="",$V111=""),"",TODAY()-$V111)</f>
      </c>
      <c r="X111" s="17">
        <f>IF($A111="","",SUMIF('Ventas'!$D:$D,$A111,'Ventas'!$F:$F))</f>
      </c>
      <c r="Y111" s="19">
        <f>IF($A111="","",IF(AND($X111&gt;=3,$W111&lt;&gt;"",$W111&lt;=15),"🔥 Se vende rápido — REABASTECE",IF($K111="Agotado","🔴 Agotado — reabastece",IF($K111="Stock bajo","🟠 Stock bajo","✅ Ok"))))</f>
      </c>
    </row>
    <row r="112">
      <c r="A112" s="20"/>
      <c r="B112" s="20"/>
      <c r="C112" s="20"/>
      <c r="D112" s="20"/>
      <c r="E112" s="21"/>
      <c r="F112" s="16">
        <f>IF($A112="","",IFERROR(SUMIF('Compras'!$B:$B,$A112,'Compras'!$F:$F)/SUMIF('Compras'!$B:$B,$A112,'Compras'!$D:$D),0))</f>
      </c>
      <c r="G112" s="17">
        <f>IF($A112="","",SUMIF('Compras'!$B:$B,$A112,'Compras'!$D:$D)+SUMIF('Traslados'!$H:$H,$A112&amp;"|Casa",'Traslados'!$D:$D)-SUMIF('Traslados'!$G:$G,$A112&amp;"|Casa",'Traslados'!$D:$D)-SUMIF('Ventas'!$M:$M,$A112&amp;"|Casa",'Ventas'!$F:$F)+SUMIF('Ajustes'!$H:$H,$A112&amp;"|Casa",'Ajustes'!$D:$D))</f>
      </c>
      <c r="H112" s="17">
        <f>IF($A112="","",SUMIF('Traslados'!$H:$H,$A112&amp;"|Mercado Libre",'Traslados'!$D:$D)-SUMIF('Traslados'!$G:$G,$A112&amp;"|Mercado Libre",'Traslados'!$D:$D)-SUMIF('Ventas'!$M:$M,$A112&amp;"|Mercado Libre",'Ventas'!$F:$F)+SUMIF('Ajustes'!$H:$H,$A112&amp;"|Mercado Libre",'Ajustes'!$D:$D))</f>
      </c>
      <c r="I112" s="17">
        <f>IF($A112="","",$G112+$H112)</f>
      </c>
      <c r="J112" s="16">
        <f>IF($A112="","",$I112*$F112)</f>
      </c>
      <c r="K112" s="19">
        <f>IF($A112="","",IF($I112&lt;=0,"Agotado",IF($I112&lt;=$E112,"Stock bajo","Disponible")))</f>
      </c>
      <c r="L112" s="17">
        <f>IF($A112="","",IFERROR(VLOOKUP($C112,'Config'!$D$2:$E$30,2,FALSE),0))</f>
      </c>
      <c r="M112" s="20"/>
      <c r="N112" s="22"/>
      <c r="O112" s="22"/>
      <c r="P112" s="17">
        <f>IF(OR($A112="",$D112&lt;&gt;"Activo"),"",SUMPRODUCT(($C$2:$C$201=$C112)*($D$2:$D$201="Activo")*(($S$2:$S$201&lt;$S112)+(($S$2:$S$201=$S112)*($B$2:$B$201&lt;$B112))))+1)</f>
      </c>
      <c r="Q112" s="19">
        <f>IF($P112="","",$C112&amp;"|"&amp;$P112)</f>
      </c>
      <c r="R112" s="20"/>
      <c r="S112" s="17">
        <f>IF($A112="","",IFERROR(VALUE(TRIM(LEFT($R112,FIND("x",LOWER($R112))-1)))*VALUE(TRIM(MID($R112,FIND("x",LOWER($R112))+1,20))),0))</f>
      </c>
      <c r="T112" s="17">
        <f>IF(OR($A112="",$D112&lt;&gt;"Activo"),"",SUMPRODUCT(($D$2:$D$201="Activo")*(($C$2:$C$201&lt;$C112)+(($C$2:$C$201=$C112)*($S$2:$S$201&lt;$S112))+(($C$2:$C$201=$C112)*($S$2:$S$201=$S112)*($B$2:$B$201&lt;$B112))))+1)</f>
      </c>
      <c r="U112" s="19">
        <f>IF($T112="","","TODAS|"&amp;$T112)</f>
      </c>
      <c r="V112" s="14">
        <f>IF($A112="","",IFERROR(IF(COUNTIF('Compras'!$B:$B,$A112)=0,"",MINIFS('Compras'!$A:$A,'Compras'!$B:$B,$A112)),""))</f>
      </c>
      <c r="W112" s="17">
        <f>IF(OR($A112="",$V112=""),"",TODAY()-$V112)</f>
      </c>
      <c r="X112" s="17">
        <f>IF($A112="","",SUMIF('Ventas'!$D:$D,$A112,'Ventas'!$F:$F))</f>
      </c>
      <c r="Y112" s="19">
        <f>IF($A112="","",IF(AND($X112&gt;=3,$W112&lt;&gt;"",$W112&lt;=15),"🔥 Se vende rápido — REABASTECE",IF($K112="Agotado","🔴 Agotado — reabastece",IF($K112="Stock bajo","🟠 Stock bajo","✅ Ok"))))</f>
      </c>
    </row>
    <row r="113">
      <c r="A113" s="20"/>
      <c r="B113" s="20"/>
      <c r="C113" s="20"/>
      <c r="D113" s="20"/>
      <c r="E113" s="21"/>
      <c r="F113" s="16">
        <f>IF($A113="","",IFERROR(SUMIF('Compras'!$B:$B,$A113,'Compras'!$F:$F)/SUMIF('Compras'!$B:$B,$A113,'Compras'!$D:$D),0))</f>
      </c>
      <c r="G113" s="17">
        <f>IF($A113="","",SUMIF('Compras'!$B:$B,$A113,'Compras'!$D:$D)+SUMIF('Traslados'!$H:$H,$A113&amp;"|Casa",'Traslados'!$D:$D)-SUMIF('Traslados'!$G:$G,$A113&amp;"|Casa",'Traslados'!$D:$D)-SUMIF('Ventas'!$M:$M,$A113&amp;"|Casa",'Ventas'!$F:$F)+SUMIF('Ajustes'!$H:$H,$A113&amp;"|Casa",'Ajustes'!$D:$D))</f>
      </c>
      <c r="H113" s="17">
        <f>IF($A113="","",SUMIF('Traslados'!$H:$H,$A113&amp;"|Mercado Libre",'Traslados'!$D:$D)-SUMIF('Traslados'!$G:$G,$A113&amp;"|Mercado Libre",'Traslados'!$D:$D)-SUMIF('Ventas'!$M:$M,$A113&amp;"|Mercado Libre",'Ventas'!$F:$F)+SUMIF('Ajustes'!$H:$H,$A113&amp;"|Mercado Libre",'Ajustes'!$D:$D))</f>
      </c>
      <c r="I113" s="17">
        <f>IF($A113="","",$G113+$H113)</f>
      </c>
      <c r="J113" s="16">
        <f>IF($A113="","",$I113*$F113)</f>
      </c>
      <c r="K113" s="19">
        <f>IF($A113="","",IF($I113&lt;=0,"Agotado",IF($I113&lt;=$E113,"Stock bajo","Disponible")))</f>
      </c>
      <c r="L113" s="17">
        <f>IF($A113="","",IFERROR(VLOOKUP($C113,'Config'!$D$2:$E$30,2,FALSE),0))</f>
      </c>
      <c r="M113" s="20"/>
      <c r="N113" s="22"/>
      <c r="O113" s="22"/>
      <c r="P113" s="17">
        <f>IF(OR($A113="",$D113&lt;&gt;"Activo"),"",SUMPRODUCT(($C$2:$C$201=$C113)*($D$2:$D$201="Activo")*(($S$2:$S$201&lt;$S113)+(($S$2:$S$201=$S113)*($B$2:$B$201&lt;$B113))))+1)</f>
      </c>
      <c r="Q113" s="19">
        <f>IF($P113="","",$C113&amp;"|"&amp;$P113)</f>
      </c>
      <c r="R113" s="20"/>
      <c r="S113" s="17">
        <f>IF($A113="","",IFERROR(VALUE(TRIM(LEFT($R113,FIND("x",LOWER($R113))-1)))*VALUE(TRIM(MID($R113,FIND("x",LOWER($R113))+1,20))),0))</f>
      </c>
      <c r="T113" s="17">
        <f>IF(OR($A113="",$D113&lt;&gt;"Activo"),"",SUMPRODUCT(($D$2:$D$201="Activo")*(($C$2:$C$201&lt;$C113)+(($C$2:$C$201=$C113)*($S$2:$S$201&lt;$S113))+(($C$2:$C$201=$C113)*($S$2:$S$201=$S113)*($B$2:$B$201&lt;$B113))))+1)</f>
      </c>
      <c r="U113" s="19">
        <f>IF($T113="","","TODAS|"&amp;$T113)</f>
      </c>
      <c r="V113" s="14">
        <f>IF($A113="","",IFERROR(IF(COUNTIF('Compras'!$B:$B,$A113)=0,"",MINIFS('Compras'!$A:$A,'Compras'!$B:$B,$A113)),""))</f>
      </c>
      <c r="W113" s="17">
        <f>IF(OR($A113="",$V113=""),"",TODAY()-$V113)</f>
      </c>
      <c r="X113" s="17">
        <f>IF($A113="","",SUMIF('Ventas'!$D:$D,$A113,'Ventas'!$F:$F))</f>
      </c>
      <c r="Y113" s="19">
        <f>IF($A113="","",IF(AND($X113&gt;=3,$W113&lt;&gt;"",$W113&lt;=15),"🔥 Se vende rápido — REABASTECE",IF($K113="Agotado","🔴 Agotado — reabastece",IF($K113="Stock bajo","🟠 Stock bajo","✅ Ok"))))</f>
      </c>
    </row>
    <row r="114">
      <c r="A114" s="20"/>
      <c r="B114" s="20"/>
      <c r="C114" s="20"/>
      <c r="D114" s="20"/>
      <c r="E114" s="21"/>
      <c r="F114" s="16">
        <f>IF($A114="","",IFERROR(SUMIF('Compras'!$B:$B,$A114,'Compras'!$F:$F)/SUMIF('Compras'!$B:$B,$A114,'Compras'!$D:$D),0))</f>
      </c>
      <c r="G114" s="17">
        <f>IF($A114="","",SUMIF('Compras'!$B:$B,$A114,'Compras'!$D:$D)+SUMIF('Traslados'!$H:$H,$A114&amp;"|Casa",'Traslados'!$D:$D)-SUMIF('Traslados'!$G:$G,$A114&amp;"|Casa",'Traslados'!$D:$D)-SUMIF('Ventas'!$M:$M,$A114&amp;"|Casa",'Ventas'!$F:$F)+SUMIF('Ajustes'!$H:$H,$A114&amp;"|Casa",'Ajustes'!$D:$D))</f>
      </c>
      <c r="H114" s="17">
        <f>IF($A114="","",SUMIF('Traslados'!$H:$H,$A114&amp;"|Mercado Libre",'Traslados'!$D:$D)-SUMIF('Traslados'!$G:$G,$A114&amp;"|Mercado Libre",'Traslados'!$D:$D)-SUMIF('Ventas'!$M:$M,$A114&amp;"|Mercado Libre",'Ventas'!$F:$F)+SUMIF('Ajustes'!$H:$H,$A114&amp;"|Mercado Libre",'Ajustes'!$D:$D))</f>
      </c>
      <c r="I114" s="17">
        <f>IF($A114="","",$G114+$H114)</f>
      </c>
      <c r="J114" s="16">
        <f>IF($A114="","",$I114*$F114)</f>
      </c>
      <c r="K114" s="19">
        <f>IF($A114="","",IF($I114&lt;=0,"Agotado",IF($I114&lt;=$E114,"Stock bajo","Disponible")))</f>
      </c>
      <c r="L114" s="17">
        <f>IF($A114="","",IFERROR(VLOOKUP($C114,'Config'!$D$2:$E$30,2,FALSE),0))</f>
      </c>
      <c r="M114" s="20"/>
      <c r="N114" s="22"/>
      <c r="O114" s="22"/>
      <c r="P114" s="17">
        <f>IF(OR($A114="",$D114&lt;&gt;"Activo"),"",SUMPRODUCT(($C$2:$C$201=$C114)*($D$2:$D$201="Activo")*(($S$2:$S$201&lt;$S114)+(($S$2:$S$201=$S114)*($B$2:$B$201&lt;$B114))))+1)</f>
      </c>
      <c r="Q114" s="19">
        <f>IF($P114="","",$C114&amp;"|"&amp;$P114)</f>
      </c>
      <c r="R114" s="20"/>
      <c r="S114" s="17">
        <f>IF($A114="","",IFERROR(VALUE(TRIM(LEFT($R114,FIND("x",LOWER($R114))-1)))*VALUE(TRIM(MID($R114,FIND("x",LOWER($R114))+1,20))),0))</f>
      </c>
      <c r="T114" s="17">
        <f>IF(OR($A114="",$D114&lt;&gt;"Activo"),"",SUMPRODUCT(($D$2:$D$201="Activo")*(($C$2:$C$201&lt;$C114)+(($C$2:$C$201=$C114)*($S$2:$S$201&lt;$S114))+(($C$2:$C$201=$C114)*($S$2:$S$201=$S114)*($B$2:$B$201&lt;$B114))))+1)</f>
      </c>
      <c r="U114" s="19">
        <f>IF($T114="","","TODAS|"&amp;$T114)</f>
      </c>
      <c r="V114" s="14">
        <f>IF($A114="","",IFERROR(IF(COUNTIF('Compras'!$B:$B,$A114)=0,"",MINIFS('Compras'!$A:$A,'Compras'!$B:$B,$A114)),""))</f>
      </c>
      <c r="W114" s="17">
        <f>IF(OR($A114="",$V114=""),"",TODAY()-$V114)</f>
      </c>
      <c r="X114" s="17">
        <f>IF($A114="","",SUMIF('Ventas'!$D:$D,$A114,'Ventas'!$F:$F))</f>
      </c>
      <c r="Y114" s="19">
        <f>IF($A114="","",IF(AND($X114&gt;=3,$W114&lt;&gt;"",$W114&lt;=15),"🔥 Se vende rápido — REABASTECE",IF($K114="Agotado","🔴 Agotado — reabastece",IF($K114="Stock bajo","🟠 Stock bajo","✅ Ok"))))</f>
      </c>
    </row>
    <row r="115">
      <c r="A115" s="20"/>
      <c r="B115" s="20"/>
      <c r="C115" s="20"/>
      <c r="D115" s="20"/>
      <c r="E115" s="21"/>
      <c r="F115" s="16">
        <f>IF($A115="","",IFERROR(SUMIF('Compras'!$B:$B,$A115,'Compras'!$F:$F)/SUMIF('Compras'!$B:$B,$A115,'Compras'!$D:$D),0))</f>
      </c>
      <c r="G115" s="17">
        <f>IF($A115="","",SUMIF('Compras'!$B:$B,$A115,'Compras'!$D:$D)+SUMIF('Traslados'!$H:$H,$A115&amp;"|Casa",'Traslados'!$D:$D)-SUMIF('Traslados'!$G:$G,$A115&amp;"|Casa",'Traslados'!$D:$D)-SUMIF('Ventas'!$M:$M,$A115&amp;"|Casa",'Ventas'!$F:$F)+SUMIF('Ajustes'!$H:$H,$A115&amp;"|Casa",'Ajustes'!$D:$D))</f>
      </c>
      <c r="H115" s="17">
        <f>IF($A115="","",SUMIF('Traslados'!$H:$H,$A115&amp;"|Mercado Libre",'Traslados'!$D:$D)-SUMIF('Traslados'!$G:$G,$A115&amp;"|Mercado Libre",'Traslados'!$D:$D)-SUMIF('Ventas'!$M:$M,$A115&amp;"|Mercado Libre",'Ventas'!$F:$F)+SUMIF('Ajustes'!$H:$H,$A115&amp;"|Mercado Libre",'Ajustes'!$D:$D))</f>
      </c>
      <c r="I115" s="17">
        <f>IF($A115="","",$G115+$H115)</f>
      </c>
      <c r="J115" s="16">
        <f>IF($A115="","",$I115*$F115)</f>
      </c>
      <c r="K115" s="19">
        <f>IF($A115="","",IF($I115&lt;=0,"Agotado",IF($I115&lt;=$E115,"Stock bajo","Disponible")))</f>
      </c>
      <c r="L115" s="17">
        <f>IF($A115="","",IFERROR(VLOOKUP($C115,'Config'!$D$2:$E$30,2,FALSE),0))</f>
      </c>
      <c r="M115" s="20"/>
      <c r="N115" s="22"/>
      <c r="O115" s="22"/>
      <c r="P115" s="17">
        <f>IF(OR($A115="",$D115&lt;&gt;"Activo"),"",SUMPRODUCT(($C$2:$C$201=$C115)*($D$2:$D$201="Activo")*(($S$2:$S$201&lt;$S115)+(($S$2:$S$201=$S115)*($B$2:$B$201&lt;$B115))))+1)</f>
      </c>
      <c r="Q115" s="19">
        <f>IF($P115="","",$C115&amp;"|"&amp;$P115)</f>
      </c>
      <c r="R115" s="20"/>
      <c r="S115" s="17">
        <f>IF($A115="","",IFERROR(VALUE(TRIM(LEFT($R115,FIND("x",LOWER($R115))-1)))*VALUE(TRIM(MID($R115,FIND("x",LOWER($R115))+1,20))),0))</f>
      </c>
      <c r="T115" s="17">
        <f>IF(OR($A115="",$D115&lt;&gt;"Activo"),"",SUMPRODUCT(($D$2:$D$201="Activo")*(($C$2:$C$201&lt;$C115)+(($C$2:$C$201=$C115)*($S$2:$S$201&lt;$S115))+(($C$2:$C$201=$C115)*($S$2:$S$201=$S115)*($B$2:$B$201&lt;$B115))))+1)</f>
      </c>
      <c r="U115" s="19">
        <f>IF($T115="","","TODAS|"&amp;$T115)</f>
      </c>
      <c r="V115" s="14">
        <f>IF($A115="","",IFERROR(IF(COUNTIF('Compras'!$B:$B,$A115)=0,"",MINIFS('Compras'!$A:$A,'Compras'!$B:$B,$A115)),""))</f>
      </c>
      <c r="W115" s="17">
        <f>IF(OR($A115="",$V115=""),"",TODAY()-$V115)</f>
      </c>
      <c r="X115" s="17">
        <f>IF($A115="","",SUMIF('Ventas'!$D:$D,$A115,'Ventas'!$F:$F))</f>
      </c>
      <c r="Y115" s="19">
        <f>IF($A115="","",IF(AND($X115&gt;=3,$W115&lt;&gt;"",$W115&lt;=15),"🔥 Se vende rápido — REABASTECE",IF($K115="Agotado","🔴 Agotado — reabastece",IF($K115="Stock bajo","🟠 Stock bajo","✅ Ok"))))</f>
      </c>
    </row>
    <row r="116">
      <c r="A116" s="20"/>
      <c r="B116" s="20"/>
      <c r="C116" s="20"/>
      <c r="D116" s="20"/>
      <c r="E116" s="21"/>
      <c r="F116" s="16">
        <f>IF($A116="","",IFERROR(SUMIF('Compras'!$B:$B,$A116,'Compras'!$F:$F)/SUMIF('Compras'!$B:$B,$A116,'Compras'!$D:$D),0))</f>
      </c>
      <c r="G116" s="17">
        <f>IF($A116="","",SUMIF('Compras'!$B:$B,$A116,'Compras'!$D:$D)+SUMIF('Traslados'!$H:$H,$A116&amp;"|Casa",'Traslados'!$D:$D)-SUMIF('Traslados'!$G:$G,$A116&amp;"|Casa",'Traslados'!$D:$D)-SUMIF('Ventas'!$M:$M,$A116&amp;"|Casa",'Ventas'!$F:$F)+SUMIF('Ajustes'!$H:$H,$A116&amp;"|Casa",'Ajustes'!$D:$D))</f>
      </c>
      <c r="H116" s="17">
        <f>IF($A116="","",SUMIF('Traslados'!$H:$H,$A116&amp;"|Mercado Libre",'Traslados'!$D:$D)-SUMIF('Traslados'!$G:$G,$A116&amp;"|Mercado Libre",'Traslados'!$D:$D)-SUMIF('Ventas'!$M:$M,$A116&amp;"|Mercado Libre",'Ventas'!$F:$F)+SUMIF('Ajustes'!$H:$H,$A116&amp;"|Mercado Libre",'Ajustes'!$D:$D))</f>
      </c>
      <c r="I116" s="17">
        <f>IF($A116="","",$G116+$H116)</f>
      </c>
      <c r="J116" s="16">
        <f>IF($A116="","",$I116*$F116)</f>
      </c>
      <c r="K116" s="19">
        <f>IF($A116="","",IF($I116&lt;=0,"Agotado",IF($I116&lt;=$E116,"Stock bajo","Disponible")))</f>
      </c>
      <c r="L116" s="17">
        <f>IF($A116="","",IFERROR(VLOOKUP($C116,'Config'!$D$2:$E$30,2,FALSE),0))</f>
      </c>
      <c r="M116" s="20"/>
      <c r="N116" s="22"/>
      <c r="O116" s="22"/>
      <c r="P116" s="17">
        <f>IF(OR($A116="",$D116&lt;&gt;"Activo"),"",SUMPRODUCT(($C$2:$C$201=$C116)*($D$2:$D$201="Activo")*(($S$2:$S$201&lt;$S116)+(($S$2:$S$201=$S116)*($B$2:$B$201&lt;$B116))))+1)</f>
      </c>
      <c r="Q116" s="19">
        <f>IF($P116="","",$C116&amp;"|"&amp;$P116)</f>
      </c>
      <c r="R116" s="20"/>
      <c r="S116" s="17">
        <f>IF($A116="","",IFERROR(VALUE(TRIM(LEFT($R116,FIND("x",LOWER($R116))-1)))*VALUE(TRIM(MID($R116,FIND("x",LOWER($R116))+1,20))),0))</f>
      </c>
      <c r="T116" s="17">
        <f>IF(OR($A116="",$D116&lt;&gt;"Activo"),"",SUMPRODUCT(($D$2:$D$201="Activo")*(($C$2:$C$201&lt;$C116)+(($C$2:$C$201=$C116)*($S$2:$S$201&lt;$S116))+(($C$2:$C$201=$C116)*($S$2:$S$201=$S116)*($B$2:$B$201&lt;$B116))))+1)</f>
      </c>
      <c r="U116" s="19">
        <f>IF($T116="","","TODAS|"&amp;$T116)</f>
      </c>
      <c r="V116" s="14">
        <f>IF($A116="","",IFERROR(IF(COUNTIF('Compras'!$B:$B,$A116)=0,"",MINIFS('Compras'!$A:$A,'Compras'!$B:$B,$A116)),""))</f>
      </c>
      <c r="W116" s="17">
        <f>IF(OR($A116="",$V116=""),"",TODAY()-$V116)</f>
      </c>
      <c r="X116" s="17">
        <f>IF($A116="","",SUMIF('Ventas'!$D:$D,$A116,'Ventas'!$F:$F))</f>
      </c>
      <c r="Y116" s="19">
        <f>IF($A116="","",IF(AND($X116&gt;=3,$W116&lt;&gt;"",$W116&lt;=15),"🔥 Se vende rápido — REABASTECE",IF($K116="Agotado","🔴 Agotado — reabastece",IF($K116="Stock bajo","🟠 Stock bajo","✅ Ok"))))</f>
      </c>
    </row>
    <row r="117">
      <c r="A117" s="20"/>
      <c r="B117" s="20"/>
      <c r="C117" s="20"/>
      <c r="D117" s="20"/>
      <c r="E117" s="21"/>
      <c r="F117" s="16">
        <f>IF($A117="","",IFERROR(SUMIF('Compras'!$B:$B,$A117,'Compras'!$F:$F)/SUMIF('Compras'!$B:$B,$A117,'Compras'!$D:$D),0))</f>
      </c>
      <c r="G117" s="17">
        <f>IF($A117="","",SUMIF('Compras'!$B:$B,$A117,'Compras'!$D:$D)+SUMIF('Traslados'!$H:$H,$A117&amp;"|Casa",'Traslados'!$D:$D)-SUMIF('Traslados'!$G:$G,$A117&amp;"|Casa",'Traslados'!$D:$D)-SUMIF('Ventas'!$M:$M,$A117&amp;"|Casa",'Ventas'!$F:$F)+SUMIF('Ajustes'!$H:$H,$A117&amp;"|Casa",'Ajustes'!$D:$D))</f>
      </c>
      <c r="H117" s="17">
        <f>IF($A117="","",SUMIF('Traslados'!$H:$H,$A117&amp;"|Mercado Libre",'Traslados'!$D:$D)-SUMIF('Traslados'!$G:$G,$A117&amp;"|Mercado Libre",'Traslados'!$D:$D)-SUMIF('Ventas'!$M:$M,$A117&amp;"|Mercado Libre",'Ventas'!$F:$F)+SUMIF('Ajustes'!$H:$H,$A117&amp;"|Mercado Libre",'Ajustes'!$D:$D))</f>
      </c>
      <c r="I117" s="17">
        <f>IF($A117="","",$G117+$H117)</f>
      </c>
      <c r="J117" s="16">
        <f>IF($A117="","",$I117*$F117)</f>
      </c>
      <c r="K117" s="19">
        <f>IF($A117="","",IF($I117&lt;=0,"Agotado",IF($I117&lt;=$E117,"Stock bajo","Disponible")))</f>
      </c>
      <c r="L117" s="17">
        <f>IF($A117="","",IFERROR(VLOOKUP($C117,'Config'!$D$2:$E$30,2,FALSE),0))</f>
      </c>
      <c r="M117" s="20"/>
      <c r="N117" s="22"/>
      <c r="O117" s="22"/>
      <c r="P117" s="17">
        <f>IF(OR($A117="",$D117&lt;&gt;"Activo"),"",SUMPRODUCT(($C$2:$C$201=$C117)*($D$2:$D$201="Activo")*(($S$2:$S$201&lt;$S117)+(($S$2:$S$201=$S117)*($B$2:$B$201&lt;$B117))))+1)</f>
      </c>
      <c r="Q117" s="19">
        <f>IF($P117="","",$C117&amp;"|"&amp;$P117)</f>
      </c>
      <c r="R117" s="20"/>
      <c r="S117" s="17">
        <f>IF($A117="","",IFERROR(VALUE(TRIM(LEFT($R117,FIND("x",LOWER($R117))-1)))*VALUE(TRIM(MID($R117,FIND("x",LOWER($R117))+1,20))),0))</f>
      </c>
      <c r="T117" s="17">
        <f>IF(OR($A117="",$D117&lt;&gt;"Activo"),"",SUMPRODUCT(($D$2:$D$201="Activo")*(($C$2:$C$201&lt;$C117)+(($C$2:$C$201=$C117)*($S$2:$S$201&lt;$S117))+(($C$2:$C$201=$C117)*($S$2:$S$201=$S117)*($B$2:$B$201&lt;$B117))))+1)</f>
      </c>
      <c r="U117" s="19">
        <f>IF($T117="","","TODAS|"&amp;$T117)</f>
      </c>
      <c r="V117" s="14">
        <f>IF($A117="","",IFERROR(IF(COUNTIF('Compras'!$B:$B,$A117)=0,"",MINIFS('Compras'!$A:$A,'Compras'!$B:$B,$A117)),""))</f>
      </c>
      <c r="W117" s="17">
        <f>IF(OR($A117="",$V117=""),"",TODAY()-$V117)</f>
      </c>
      <c r="X117" s="17">
        <f>IF($A117="","",SUMIF('Ventas'!$D:$D,$A117,'Ventas'!$F:$F))</f>
      </c>
      <c r="Y117" s="19">
        <f>IF($A117="","",IF(AND($X117&gt;=3,$W117&lt;&gt;"",$W117&lt;=15),"🔥 Se vende rápido — REABASTECE",IF($K117="Agotado","🔴 Agotado — reabastece",IF($K117="Stock bajo","🟠 Stock bajo","✅ Ok"))))</f>
      </c>
    </row>
    <row r="118">
      <c r="A118" s="20"/>
      <c r="B118" s="20"/>
      <c r="C118" s="20"/>
      <c r="D118" s="20"/>
      <c r="E118" s="21"/>
      <c r="F118" s="16">
        <f>IF($A118="","",IFERROR(SUMIF('Compras'!$B:$B,$A118,'Compras'!$F:$F)/SUMIF('Compras'!$B:$B,$A118,'Compras'!$D:$D),0))</f>
      </c>
      <c r="G118" s="17">
        <f>IF($A118="","",SUMIF('Compras'!$B:$B,$A118,'Compras'!$D:$D)+SUMIF('Traslados'!$H:$H,$A118&amp;"|Casa",'Traslados'!$D:$D)-SUMIF('Traslados'!$G:$G,$A118&amp;"|Casa",'Traslados'!$D:$D)-SUMIF('Ventas'!$M:$M,$A118&amp;"|Casa",'Ventas'!$F:$F)+SUMIF('Ajustes'!$H:$H,$A118&amp;"|Casa",'Ajustes'!$D:$D))</f>
      </c>
      <c r="H118" s="17">
        <f>IF($A118="","",SUMIF('Traslados'!$H:$H,$A118&amp;"|Mercado Libre",'Traslados'!$D:$D)-SUMIF('Traslados'!$G:$G,$A118&amp;"|Mercado Libre",'Traslados'!$D:$D)-SUMIF('Ventas'!$M:$M,$A118&amp;"|Mercado Libre",'Ventas'!$F:$F)+SUMIF('Ajustes'!$H:$H,$A118&amp;"|Mercado Libre",'Ajustes'!$D:$D))</f>
      </c>
      <c r="I118" s="17">
        <f>IF($A118="","",$G118+$H118)</f>
      </c>
      <c r="J118" s="16">
        <f>IF($A118="","",$I118*$F118)</f>
      </c>
      <c r="K118" s="19">
        <f>IF($A118="","",IF($I118&lt;=0,"Agotado",IF($I118&lt;=$E118,"Stock bajo","Disponible")))</f>
      </c>
      <c r="L118" s="17">
        <f>IF($A118="","",IFERROR(VLOOKUP($C118,'Config'!$D$2:$E$30,2,FALSE),0))</f>
      </c>
      <c r="M118" s="20"/>
      <c r="N118" s="22"/>
      <c r="O118" s="22"/>
      <c r="P118" s="17">
        <f>IF(OR($A118="",$D118&lt;&gt;"Activo"),"",SUMPRODUCT(($C$2:$C$201=$C118)*($D$2:$D$201="Activo")*(($S$2:$S$201&lt;$S118)+(($S$2:$S$201=$S118)*($B$2:$B$201&lt;$B118))))+1)</f>
      </c>
      <c r="Q118" s="19">
        <f>IF($P118="","",$C118&amp;"|"&amp;$P118)</f>
      </c>
      <c r="R118" s="20"/>
      <c r="S118" s="17">
        <f>IF($A118="","",IFERROR(VALUE(TRIM(LEFT($R118,FIND("x",LOWER($R118))-1)))*VALUE(TRIM(MID($R118,FIND("x",LOWER($R118))+1,20))),0))</f>
      </c>
      <c r="T118" s="17">
        <f>IF(OR($A118="",$D118&lt;&gt;"Activo"),"",SUMPRODUCT(($D$2:$D$201="Activo")*(($C$2:$C$201&lt;$C118)+(($C$2:$C$201=$C118)*($S$2:$S$201&lt;$S118))+(($C$2:$C$201=$C118)*($S$2:$S$201=$S118)*($B$2:$B$201&lt;$B118))))+1)</f>
      </c>
      <c r="U118" s="19">
        <f>IF($T118="","","TODAS|"&amp;$T118)</f>
      </c>
      <c r="V118" s="14">
        <f>IF($A118="","",IFERROR(IF(COUNTIF('Compras'!$B:$B,$A118)=0,"",MINIFS('Compras'!$A:$A,'Compras'!$B:$B,$A118)),""))</f>
      </c>
      <c r="W118" s="17">
        <f>IF(OR($A118="",$V118=""),"",TODAY()-$V118)</f>
      </c>
      <c r="X118" s="17">
        <f>IF($A118="","",SUMIF('Ventas'!$D:$D,$A118,'Ventas'!$F:$F))</f>
      </c>
      <c r="Y118" s="19">
        <f>IF($A118="","",IF(AND($X118&gt;=3,$W118&lt;&gt;"",$W118&lt;=15),"🔥 Se vende rápido — REABASTECE",IF($K118="Agotado","🔴 Agotado — reabastece",IF($K118="Stock bajo","🟠 Stock bajo","✅ Ok"))))</f>
      </c>
    </row>
    <row r="119">
      <c r="A119" s="20"/>
      <c r="B119" s="20"/>
      <c r="C119" s="20"/>
      <c r="D119" s="20"/>
      <c r="E119" s="21"/>
      <c r="F119" s="16">
        <f>IF($A119="","",IFERROR(SUMIF('Compras'!$B:$B,$A119,'Compras'!$F:$F)/SUMIF('Compras'!$B:$B,$A119,'Compras'!$D:$D),0))</f>
      </c>
      <c r="G119" s="17">
        <f>IF($A119="","",SUMIF('Compras'!$B:$B,$A119,'Compras'!$D:$D)+SUMIF('Traslados'!$H:$H,$A119&amp;"|Casa",'Traslados'!$D:$D)-SUMIF('Traslados'!$G:$G,$A119&amp;"|Casa",'Traslados'!$D:$D)-SUMIF('Ventas'!$M:$M,$A119&amp;"|Casa",'Ventas'!$F:$F)+SUMIF('Ajustes'!$H:$H,$A119&amp;"|Casa",'Ajustes'!$D:$D))</f>
      </c>
      <c r="H119" s="17">
        <f>IF($A119="","",SUMIF('Traslados'!$H:$H,$A119&amp;"|Mercado Libre",'Traslados'!$D:$D)-SUMIF('Traslados'!$G:$G,$A119&amp;"|Mercado Libre",'Traslados'!$D:$D)-SUMIF('Ventas'!$M:$M,$A119&amp;"|Mercado Libre",'Ventas'!$F:$F)+SUMIF('Ajustes'!$H:$H,$A119&amp;"|Mercado Libre",'Ajustes'!$D:$D))</f>
      </c>
      <c r="I119" s="17">
        <f>IF($A119="","",$G119+$H119)</f>
      </c>
      <c r="J119" s="16">
        <f>IF($A119="","",$I119*$F119)</f>
      </c>
      <c r="K119" s="19">
        <f>IF($A119="","",IF($I119&lt;=0,"Agotado",IF($I119&lt;=$E119,"Stock bajo","Disponible")))</f>
      </c>
      <c r="L119" s="17">
        <f>IF($A119="","",IFERROR(VLOOKUP($C119,'Config'!$D$2:$E$30,2,FALSE),0))</f>
      </c>
      <c r="M119" s="20"/>
      <c r="N119" s="22"/>
      <c r="O119" s="22"/>
      <c r="P119" s="17">
        <f>IF(OR($A119="",$D119&lt;&gt;"Activo"),"",SUMPRODUCT(($C$2:$C$201=$C119)*($D$2:$D$201="Activo")*(($S$2:$S$201&lt;$S119)+(($S$2:$S$201=$S119)*($B$2:$B$201&lt;$B119))))+1)</f>
      </c>
      <c r="Q119" s="19">
        <f>IF($P119="","",$C119&amp;"|"&amp;$P119)</f>
      </c>
      <c r="R119" s="20"/>
      <c r="S119" s="17">
        <f>IF($A119="","",IFERROR(VALUE(TRIM(LEFT($R119,FIND("x",LOWER($R119))-1)))*VALUE(TRIM(MID($R119,FIND("x",LOWER($R119))+1,20))),0))</f>
      </c>
      <c r="T119" s="17">
        <f>IF(OR($A119="",$D119&lt;&gt;"Activo"),"",SUMPRODUCT(($D$2:$D$201="Activo")*(($C$2:$C$201&lt;$C119)+(($C$2:$C$201=$C119)*($S$2:$S$201&lt;$S119))+(($C$2:$C$201=$C119)*($S$2:$S$201=$S119)*($B$2:$B$201&lt;$B119))))+1)</f>
      </c>
      <c r="U119" s="19">
        <f>IF($T119="","","TODAS|"&amp;$T119)</f>
      </c>
      <c r="V119" s="14">
        <f>IF($A119="","",IFERROR(IF(COUNTIF('Compras'!$B:$B,$A119)=0,"",MINIFS('Compras'!$A:$A,'Compras'!$B:$B,$A119)),""))</f>
      </c>
      <c r="W119" s="17">
        <f>IF(OR($A119="",$V119=""),"",TODAY()-$V119)</f>
      </c>
      <c r="X119" s="17">
        <f>IF($A119="","",SUMIF('Ventas'!$D:$D,$A119,'Ventas'!$F:$F))</f>
      </c>
      <c r="Y119" s="19">
        <f>IF($A119="","",IF(AND($X119&gt;=3,$W119&lt;&gt;"",$W119&lt;=15),"🔥 Se vende rápido — REABASTECE",IF($K119="Agotado","🔴 Agotado — reabastece",IF($K119="Stock bajo","🟠 Stock bajo","✅ Ok"))))</f>
      </c>
    </row>
    <row r="120">
      <c r="A120" s="20"/>
      <c r="B120" s="20"/>
      <c r="C120" s="20"/>
      <c r="D120" s="20"/>
      <c r="E120" s="21"/>
      <c r="F120" s="16">
        <f>IF($A120="","",IFERROR(SUMIF('Compras'!$B:$B,$A120,'Compras'!$F:$F)/SUMIF('Compras'!$B:$B,$A120,'Compras'!$D:$D),0))</f>
      </c>
      <c r="G120" s="17">
        <f>IF($A120="","",SUMIF('Compras'!$B:$B,$A120,'Compras'!$D:$D)+SUMIF('Traslados'!$H:$H,$A120&amp;"|Casa",'Traslados'!$D:$D)-SUMIF('Traslados'!$G:$G,$A120&amp;"|Casa",'Traslados'!$D:$D)-SUMIF('Ventas'!$M:$M,$A120&amp;"|Casa",'Ventas'!$F:$F)+SUMIF('Ajustes'!$H:$H,$A120&amp;"|Casa",'Ajustes'!$D:$D))</f>
      </c>
      <c r="H120" s="17">
        <f>IF($A120="","",SUMIF('Traslados'!$H:$H,$A120&amp;"|Mercado Libre",'Traslados'!$D:$D)-SUMIF('Traslados'!$G:$G,$A120&amp;"|Mercado Libre",'Traslados'!$D:$D)-SUMIF('Ventas'!$M:$M,$A120&amp;"|Mercado Libre",'Ventas'!$F:$F)+SUMIF('Ajustes'!$H:$H,$A120&amp;"|Mercado Libre",'Ajustes'!$D:$D))</f>
      </c>
      <c r="I120" s="17">
        <f>IF($A120="","",$G120+$H120)</f>
      </c>
      <c r="J120" s="16">
        <f>IF($A120="","",$I120*$F120)</f>
      </c>
      <c r="K120" s="19">
        <f>IF($A120="","",IF($I120&lt;=0,"Agotado",IF($I120&lt;=$E120,"Stock bajo","Disponible")))</f>
      </c>
      <c r="L120" s="17">
        <f>IF($A120="","",IFERROR(VLOOKUP($C120,'Config'!$D$2:$E$30,2,FALSE),0))</f>
      </c>
      <c r="M120" s="20"/>
      <c r="N120" s="22"/>
      <c r="O120" s="22"/>
      <c r="P120" s="17">
        <f>IF(OR($A120="",$D120&lt;&gt;"Activo"),"",SUMPRODUCT(($C$2:$C$201=$C120)*($D$2:$D$201="Activo")*(($S$2:$S$201&lt;$S120)+(($S$2:$S$201=$S120)*($B$2:$B$201&lt;$B120))))+1)</f>
      </c>
      <c r="Q120" s="19">
        <f>IF($P120="","",$C120&amp;"|"&amp;$P120)</f>
      </c>
      <c r="R120" s="20"/>
      <c r="S120" s="17">
        <f>IF($A120="","",IFERROR(VALUE(TRIM(LEFT($R120,FIND("x",LOWER($R120))-1)))*VALUE(TRIM(MID($R120,FIND("x",LOWER($R120))+1,20))),0))</f>
      </c>
      <c r="T120" s="17">
        <f>IF(OR($A120="",$D120&lt;&gt;"Activo"),"",SUMPRODUCT(($D$2:$D$201="Activo")*(($C$2:$C$201&lt;$C120)+(($C$2:$C$201=$C120)*($S$2:$S$201&lt;$S120))+(($C$2:$C$201=$C120)*($S$2:$S$201=$S120)*($B$2:$B$201&lt;$B120))))+1)</f>
      </c>
      <c r="U120" s="19">
        <f>IF($T120="","","TODAS|"&amp;$T120)</f>
      </c>
      <c r="V120" s="14">
        <f>IF($A120="","",IFERROR(IF(COUNTIF('Compras'!$B:$B,$A120)=0,"",MINIFS('Compras'!$A:$A,'Compras'!$B:$B,$A120)),""))</f>
      </c>
      <c r="W120" s="17">
        <f>IF(OR($A120="",$V120=""),"",TODAY()-$V120)</f>
      </c>
      <c r="X120" s="17">
        <f>IF($A120="","",SUMIF('Ventas'!$D:$D,$A120,'Ventas'!$F:$F))</f>
      </c>
      <c r="Y120" s="19">
        <f>IF($A120="","",IF(AND($X120&gt;=3,$W120&lt;&gt;"",$W120&lt;=15),"🔥 Se vende rápido — REABASTECE",IF($K120="Agotado","🔴 Agotado — reabastece",IF($K120="Stock bajo","🟠 Stock bajo","✅ Ok"))))</f>
      </c>
    </row>
    <row r="121">
      <c r="A121" s="20"/>
      <c r="B121" s="20"/>
      <c r="C121" s="20"/>
      <c r="D121" s="20"/>
      <c r="E121" s="21"/>
      <c r="F121" s="16">
        <f>IF($A121="","",IFERROR(SUMIF('Compras'!$B:$B,$A121,'Compras'!$F:$F)/SUMIF('Compras'!$B:$B,$A121,'Compras'!$D:$D),0))</f>
      </c>
      <c r="G121" s="17">
        <f>IF($A121="","",SUMIF('Compras'!$B:$B,$A121,'Compras'!$D:$D)+SUMIF('Traslados'!$H:$H,$A121&amp;"|Casa",'Traslados'!$D:$D)-SUMIF('Traslados'!$G:$G,$A121&amp;"|Casa",'Traslados'!$D:$D)-SUMIF('Ventas'!$M:$M,$A121&amp;"|Casa",'Ventas'!$F:$F)+SUMIF('Ajustes'!$H:$H,$A121&amp;"|Casa",'Ajustes'!$D:$D))</f>
      </c>
      <c r="H121" s="17">
        <f>IF($A121="","",SUMIF('Traslados'!$H:$H,$A121&amp;"|Mercado Libre",'Traslados'!$D:$D)-SUMIF('Traslados'!$G:$G,$A121&amp;"|Mercado Libre",'Traslados'!$D:$D)-SUMIF('Ventas'!$M:$M,$A121&amp;"|Mercado Libre",'Ventas'!$F:$F)+SUMIF('Ajustes'!$H:$H,$A121&amp;"|Mercado Libre",'Ajustes'!$D:$D))</f>
      </c>
      <c r="I121" s="17">
        <f>IF($A121="","",$G121+$H121)</f>
      </c>
      <c r="J121" s="16">
        <f>IF($A121="","",$I121*$F121)</f>
      </c>
      <c r="K121" s="19">
        <f>IF($A121="","",IF($I121&lt;=0,"Agotado",IF($I121&lt;=$E121,"Stock bajo","Disponible")))</f>
      </c>
      <c r="L121" s="17">
        <f>IF($A121="","",IFERROR(VLOOKUP($C121,'Config'!$D$2:$E$30,2,FALSE),0))</f>
      </c>
      <c r="M121" s="20"/>
      <c r="N121" s="22"/>
      <c r="O121" s="22"/>
      <c r="P121" s="17">
        <f>IF(OR($A121="",$D121&lt;&gt;"Activo"),"",SUMPRODUCT(($C$2:$C$201=$C121)*($D$2:$D$201="Activo")*(($S$2:$S$201&lt;$S121)+(($S$2:$S$201=$S121)*($B$2:$B$201&lt;$B121))))+1)</f>
      </c>
      <c r="Q121" s="19">
        <f>IF($P121="","",$C121&amp;"|"&amp;$P121)</f>
      </c>
      <c r="R121" s="20"/>
      <c r="S121" s="17">
        <f>IF($A121="","",IFERROR(VALUE(TRIM(LEFT($R121,FIND("x",LOWER($R121))-1)))*VALUE(TRIM(MID($R121,FIND("x",LOWER($R121))+1,20))),0))</f>
      </c>
      <c r="T121" s="17">
        <f>IF(OR($A121="",$D121&lt;&gt;"Activo"),"",SUMPRODUCT(($D$2:$D$201="Activo")*(($C$2:$C$201&lt;$C121)+(($C$2:$C$201=$C121)*($S$2:$S$201&lt;$S121))+(($C$2:$C$201=$C121)*($S$2:$S$201=$S121)*($B$2:$B$201&lt;$B121))))+1)</f>
      </c>
      <c r="U121" s="19">
        <f>IF($T121="","","TODAS|"&amp;$T121)</f>
      </c>
      <c r="V121" s="14">
        <f>IF($A121="","",IFERROR(IF(COUNTIF('Compras'!$B:$B,$A121)=0,"",MINIFS('Compras'!$A:$A,'Compras'!$B:$B,$A121)),""))</f>
      </c>
      <c r="W121" s="17">
        <f>IF(OR($A121="",$V121=""),"",TODAY()-$V121)</f>
      </c>
      <c r="X121" s="17">
        <f>IF($A121="","",SUMIF('Ventas'!$D:$D,$A121,'Ventas'!$F:$F))</f>
      </c>
      <c r="Y121" s="19">
        <f>IF($A121="","",IF(AND($X121&gt;=3,$W121&lt;&gt;"",$W121&lt;=15),"🔥 Se vende rápido — REABASTECE",IF($K121="Agotado","🔴 Agotado — reabastece",IF($K121="Stock bajo","🟠 Stock bajo","✅ Ok"))))</f>
      </c>
    </row>
    <row r="122">
      <c r="A122" s="20"/>
      <c r="B122" s="20"/>
      <c r="C122" s="20"/>
      <c r="D122" s="20"/>
      <c r="E122" s="21"/>
      <c r="F122" s="16">
        <f>IF($A122="","",IFERROR(SUMIF('Compras'!$B:$B,$A122,'Compras'!$F:$F)/SUMIF('Compras'!$B:$B,$A122,'Compras'!$D:$D),0))</f>
      </c>
      <c r="G122" s="17">
        <f>IF($A122="","",SUMIF('Compras'!$B:$B,$A122,'Compras'!$D:$D)+SUMIF('Traslados'!$H:$H,$A122&amp;"|Casa",'Traslados'!$D:$D)-SUMIF('Traslados'!$G:$G,$A122&amp;"|Casa",'Traslados'!$D:$D)-SUMIF('Ventas'!$M:$M,$A122&amp;"|Casa",'Ventas'!$F:$F)+SUMIF('Ajustes'!$H:$H,$A122&amp;"|Casa",'Ajustes'!$D:$D))</f>
      </c>
      <c r="H122" s="17">
        <f>IF($A122="","",SUMIF('Traslados'!$H:$H,$A122&amp;"|Mercado Libre",'Traslados'!$D:$D)-SUMIF('Traslados'!$G:$G,$A122&amp;"|Mercado Libre",'Traslados'!$D:$D)-SUMIF('Ventas'!$M:$M,$A122&amp;"|Mercado Libre",'Ventas'!$F:$F)+SUMIF('Ajustes'!$H:$H,$A122&amp;"|Mercado Libre",'Ajustes'!$D:$D))</f>
      </c>
      <c r="I122" s="17">
        <f>IF($A122="","",$G122+$H122)</f>
      </c>
      <c r="J122" s="16">
        <f>IF($A122="","",$I122*$F122)</f>
      </c>
      <c r="K122" s="19">
        <f>IF($A122="","",IF($I122&lt;=0,"Agotado",IF($I122&lt;=$E122,"Stock bajo","Disponible")))</f>
      </c>
      <c r="L122" s="17">
        <f>IF($A122="","",IFERROR(VLOOKUP($C122,'Config'!$D$2:$E$30,2,FALSE),0))</f>
      </c>
      <c r="M122" s="20"/>
      <c r="N122" s="22"/>
      <c r="O122" s="22"/>
      <c r="P122" s="17">
        <f>IF(OR($A122="",$D122&lt;&gt;"Activo"),"",SUMPRODUCT(($C$2:$C$201=$C122)*($D$2:$D$201="Activo")*(($S$2:$S$201&lt;$S122)+(($S$2:$S$201=$S122)*($B$2:$B$201&lt;$B122))))+1)</f>
      </c>
      <c r="Q122" s="19">
        <f>IF($P122="","",$C122&amp;"|"&amp;$P122)</f>
      </c>
      <c r="R122" s="20"/>
      <c r="S122" s="17">
        <f>IF($A122="","",IFERROR(VALUE(TRIM(LEFT($R122,FIND("x",LOWER($R122))-1)))*VALUE(TRIM(MID($R122,FIND("x",LOWER($R122))+1,20))),0))</f>
      </c>
      <c r="T122" s="17">
        <f>IF(OR($A122="",$D122&lt;&gt;"Activo"),"",SUMPRODUCT(($D$2:$D$201="Activo")*(($C$2:$C$201&lt;$C122)+(($C$2:$C$201=$C122)*($S$2:$S$201&lt;$S122))+(($C$2:$C$201=$C122)*($S$2:$S$201=$S122)*($B$2:$B$201&lt;$B122))))+1)</f>
      </c>
      <c r="U122" s="19">
        <f>IF($T122="","","TODAS|"&amp;$T122)</f>
      </c>
      <c r="V122" s="14">
        <f>IF($A122="","",IFERROR(IF(COUNTIF('Compras'!$B:$B,$A122)=0,"",MINIFS('Compras'!$A:$A,'Compras'!$B:$B,$A122)),""))</f>
      </c>
      <c r="W122" s="17">
        <f>IF(OR($A122="",$V122=""),"",TODAY()-$V122)</f>
      </c>
      <c r="X122" s="17">
        <f>IF($A122="","",SUMIF('Ventas'!$D:$D,$A122,'Ventas'!$F:$F))</f>
      </c>
      <c r="Y122" s="19">
        <f>IF($A122="","",IF(AND($X122&gt;=3,$W122&lt;&gt;"",$W122&lt;=15),"🔥 Se vende rápido — REABASTECE",IF($K122="Agotado","🔴 Agotado — reabastece",IF($K122="Stock bajo","🟠 Stock bajo","✅ Ok"))))</f>
      </c>
    </row>
    <row r="123">
      <c r="A123" s="20"/>
      <c r="B123" s="20"/>
      <c r="C123" s="20"/>
      <c r="D123" s="20"/>
      <c r="E123" s="21"/>
      <c r="F123" s="16">
        <f>IF($A123="","",IFERROR(SUMIF('Compras'!$B:$B,$A123,'Compras'!$F:$F)/SUMIF('Compras'!$B:$B,$A123,'Compras'!$D:$D),0))</f>
      </c>
      <c r="G123" s="17">
        <f>IF($A123="","",SUMIF('Compras'!$B:$B,$A123,'Compras'!$D:$D)+SUMIF('Traslados'!$H:$H,$A123&amp;"|Casa",'Traslados'!$D:$D)-SUMIF('Traslados'!$G:$G,$A123&amp;"|Casa",'Traslados'!$D:$D)-SUMIF('Ventas'!$M:$M,$A123&amp;"|Casa",'Ventas'!$F:$F)+SUMIF('Ajustes'!$H:$H,$A123&amp;"|Casa",'Ajustes'!$D:$D))</f>
      </c>
      <c r="H123" s="17">
        <f>IF($A123="","",SUMIF('Traslados'!$H:$H,$A123&amp;"|Mercado Libre",'Traslados'!$D:$D)-SUMIF('Traslados'!$G:$G,$A123&amp;"|Mercado Libre",'Traslados'!$D:$D)-SUMIF('Ventas'!$M:$M,$A123&amp;"|Mercado Libre",'Ventas'!$F:$F)+SUMIF('Ajustes'!$H:$H,$A123&amp;"|Mercado Libre",'Ajustes'!$D:$D))</f>
      </c>
      <c r="I123" s="17">
        <f>IF($A123="","",$G123+$H123)</f>
      </c>
      <c r="J123" s="16">
        <f>IF($A123="","",$I123*$F123)</f>
      </c>
      <c r="K123" s="19">
        <f>IF($A123="","",IF($I123&lt;=0,"Agotado",IF($I123&lt;=$E123,"Stock bajo","Disponible")))</f>
      </c>
      <c r="L123" s="17">
        <f>IF($A123="","",IFERROR(VLOOKUP($C123,'Config'!$D$2:$E$30,2,FALSE),0))</f>
      </c>
      <c r="M123" s="20"/>
      <c r="N123" s="22"/>
      <c r="O123" s="22"/>
      <c r="P123" s="17">
        <f>IF(OR($A123="",$D123&lt;&gt;"Activo"),"",SUMPRODUCT(($C$2:$C$201=$C123)*($D$2:$D$201="Activo")*(($S$2:$S$201&lt;$S123)+(($S$2:$S$201=$S123)*($B$2:$B$201&lt;$B123))))+1)</f>
      </c>
      <c r="Q123" s="19">
        <f>IF($P123="","",$C123&amp;"|"&amp;$P123)</f>
      </c>
      <c r="R123" s="20"/>
      <c r="S123" s="17">
        <f>IF($A123="","",IFERROR(VALUE(TRIM(LEFT($R123,FIND("x",LOWER($R123))-1)))*VALUE(TRIM(MID($R123,FIND("x",LOWER($R123))+1,20))),0))</f>
      </c>
      <c r="T123" s="17">
        <f>IF(OR($A123="",$D123&lt;&gt;"Activo"),"",SUMPRODUCT(($D$2:$D$201="Activo")*(($C$2:$C$201&lt;$C123)+(($C$2:$C$201=$C123)*($S$2:$S$201&lt;$S123))+(($C$2:$C$201=$C123)*($S$2:$S$201=$S123)*($B$2:$B$201&lt;$B123))))+1)</f>
      </c>
      <c r="U123" s="19">
        <f>IF($T123="","","TODAS|"&amp;$T123)</f>
      </c>
      <c r="V123" s="14">
        <f>IF($A123="","",IFERROR(IF(COUNTIF('Compras'!$B:$B,$A123)=0,"",MINIFS('Compras'!$A:$A,'Compras'!$B:$B,$A123)),""))</f>
      </c>
      <c r="W123" s="17">
        <f>IF(OR($A123="",$V123=""),"",TODAY()-$V123)</f>
      </c>
      <c r="X123" s="17">
        <f>IF($A123="","",SUMIF('Ventas'!$D:$D,$A123,'Ventas'!$F:$F))</f>
      </c>
      <c r="Y123" s="19">
        <f>IF($A123="","",IF(AND($X123&gt;=3,$W123&lt;&gt;"",$W123&lt;=15),"🔥 Se vende rápido — REABASTECE",IF($K123="Agotado","🔴 Agotado — reabastece",IF($K123="Stock bajo","🟠 Stock bajo","✅ Ok"))))</f>
      </c>
    </row>
    <row r="124">
      <c r="A124" s="20"/>
      <c r="B124" s="20"/>
      <c r="C124" s="20"/>
      <c r="D124" s="20"/>
      <c r="E124" s="21"/>
      <c r="F124" s="16">
        <f>IF($A124="","",IFERROR(SUMIF('Compras'!$B:$B,$A124,'Compras'!$F:$F)/SUMIF('Compras'!$B:$B,$A124,'Compras'!$D:$D),0))</f>
      </c>
      <c r="G124" s="17">
        <f>IF($A124="","",SUMIF('Compras'!$B:$B,$A124,'Compras'!$D:$D)+SUMIF('Traslados'!$H:$H,$A124&amp;"|Casa",'Traslados'!$D:$D)-SUMIF('Traslados'!$G:$G,$A124&amp;"|Casa",'Traslados'!$D:$D)-SUMIF('Ventas'!$M:$M,$A124&amp;"|Casa",'Ventas'!$F:$F)+SUMIF('Ajustes'!$H:$H,$A124&amp;"|Casa",'Ajustes'!$D:$D))</f>
      </c>
      <c r="H124" s="17">
        <f>IF($A124="","",SUMIF('Traslados'!$H:$H,$A124&amp;"|Mercado Libre",'Traslados'!$D:$D)-SUMIF('Traslados'!$G:$G,$A124&amp;"|Mercado Libre",'Traslados'!$D:$D)-SUMIF('Ventas'!$M:$M,$A124&amp;"|Mercado Libre",'Ventas'!$F:$F)+SUMIF('Ajustes'!$H:$H,$A124&amp;"|Mercado Libre",'Ajustes'!$D:$D))</f>
      </c>
      <c r="I124" s="17">
        <f>IF($A124="","",$G124+$H124)</f>
      </c>
      <c r="J124" s="16">
        <f>IF($A124="","",$I124*$F124)</f>
      </c>
      <c r="K124" s="19">
        <f>IF($A124="","",IF($I124&lt;=0,"Agotado",IF($I124&lt;=$E124,"Stock bajo","Disponible")))</f>
      </c>
      <c r="L124" s="17">
        <f>IF($A124="","",IFERROR(VLOOKUP($C124,'Config'!$D$2:$E$30,2,FALSE),0))</f>
      </c>
      <c r="M124" s="20"/>
      <c r="N124" s="22"/>
      <c r="O124" s="22"/>
      <c r="P124" s="17">
        <f>IF(OR($A124="",$D124&lt;&gt;"Activo"),"",SUMPRODUCT(($C$2:$C$201=$C124)*($D$2:$D$201="Activo")*(($S$2:$S$201&lt;$S124)+(($S$2:$S$201=$S124)*($B$2:$B$201&lt;$B124))))+1)</f>
      </c>
      <c r="Q124" s="19">
        <f>IF($P124="","",$C124&amp;"|"&amp;$P124)</f>
      </c>
      <c r="R124" s="20"/>
      <c r="S124" s="17">
        <f>IF($A124="","",IFERROR(VALUE(TRIM(LEFT($R124,FIND("x",LOWER($R124))-1)))*VALUE(TRIM(MID($R124,FIND("x",LOWER($R124))+1,20))),0))</f>
      </c>
      <c r="T124" s="17">
        <f>IF(OR($A124="",$D124&lt;&gt;"Activo"),"",SUMPRODUCT(($D$2:$D$201="Activo")*(($C$2:$C$201&lt;$C124)+(($C$2:$C$201=$C124)*($S$2:$S$201&lt;$S124))+(($C$2:$C$201=$C124)*($S$2:$S$201=$S124)*($B$2:$B$201&lt;$B124))))+1)</f>
      </c>
      <c r="U124" s="19">
        <f>IF($T124="","","TODAS|"&amp;$T124)</f>
      </c>
      <c r="V124" s="14">
        <f>IF($A124="","",IFERROR(IF(COUNTIF('Compras'!$B:$B,$A124)=0,"",MINIFS('Compras'!$A:$A,'Compras'!$B:$B,$A124)),""))</f>
      </c>
      <c r="W124" s="17">
        <f>IF(OR($A124="",$V124=""),"",TODAY()-$V124)</f>
      </c>
      <c r="X124" s="17">
        <f>IF($A124="","",SUMIF('Ventas'!$D:$D,$A124,'Ventas'!$F:$F))</f>
      </c>
      <c r="Y124" s="19">
        <f>IF($A124="","",IF(AND($X124&gt;=3,$W124&lt;&gt;"",$W124&lt;=15),"🔥 Se vende rápido — REABASTECE",IF($K124="Agotado","🔴 Agotado — reabastece",IF($K124="Stock bajo","🟠 Stock bajo","✅ Ok"))))</f>
      </c>
    </row>
    <row r="125">
      <c r="A125" s="20"/>
      <c r="B125" s="20"/>
      <c r="C125" s="20"/>
      <c r="D125" s="20"/>
      <c r="E125" s="21"/>
      <c r="F125" s="16">
        <f>IF($A125="","",IFERROR(SUMIF('Compras'!$B:$B,$A125,'Compras'!$F:$F)/SUMIF('Compras'!$B:$B,$A125,'Compras'!$D:$D),0))</f>
      </c>
      <c r="G125" s="17">
        <f>IF($A125="","",SUMIF('Compras'!$B:$B,$A125,'Compras'!$D:$D)+SUMIF('Traslados'!$H:$H,$A125&amp;"|Casa",'Traslados'!$D:$D)-SUMIF('Traslados'!$G:$G,$A125&amp;"|Casa",'Traslados'!$D:$D)-SUMIF('Ventas'!$M:$M,$A125&amp;"|Casa",'Ventas'!$F:$F)+SUMIF('Ajustes'!$H:$H,$A125&amp;"|Casa",'Ajustes'!$D:$D))</f>
      </c>
      <c r="H125" s="17">
        <f>IF($A125="","",SUMIF('Traslados'!$H:$H,$A125&amp;"|Mercado Libre",'Traslados'!$D:$D)-SUMIF('Traslados'!$G:$G,$A125&amp;"|Mercado Libre",'Traslados'!$D:$D)-SUMIF('Ventas'!$M:$M,$A125&amp;"|Mercado Libre",'Ventas'!$F:$F)+SUMIF('Ajustes'!$H:$H,$A125&amp;"|Mercado Libre",'Ajustes'!$D:$D))</f>
      </c>
      <c r="I125" s="17">
        <f>IF($A125="","",$G125+$H125)</f>
      </c>
      <c r="J125" s="16">
        <f>IF($A125="","",$I125*$F125)</f>
      </c>
      <c r="K125" s="19">
        <f>IF($A125="","",IF($I125&lt;=0,"Agotado",IF($I125&lt;=$E125,"Stock bajo","Disponible")))</f>
      </c>
      <c r="L125" s="17">
        <f>IF($A125="","",IFERROR(VLOOKUP($C125,'Config'!$D$2:$E$30,2,FALSE),0))</f>
      </c>
      <c r="M125" s="20"/>
      <c r="N125" s="22"/>
      <c r="O125" s="22"/>
      <c r="P125" s="17">
        <f>IF(OR($A125="",$D125&lt;&gt;"Activo"),"",SUMPRODUCT(($C$2:$C$201=$C125)*($D$2:$D$201="Activo")*(($S$2:$S$201&lt;$S125)+(($S$2:$S$201=$S125)*($B$2:$B$201&lt;$B125))))+1)</f>
      </c>
      <c r="Q125" s="19">
        <f>IF($P125="","",$C125&amp;"|"&amp;$P125)</f>
      </c>
      <c r="R125" s="20"/>
      <c r="S125" s="17">
        <f>IF($A125="","",IFERROR(VALUE(TRIM(LEFT($R125,FIND("x",LOWER($R125))-1)))*VALUE(TRIM(MID($R125,FIND("x",LOWER($R125))+1,20))),0))</f>
      </c>
      <c r="T125" s="17">
        <f>IF(OR($A125="",$D125&lt;&gt;"Activo"),"",SUMPRODUCT(($D$2:$D$201="Activo")*(($C$2:$C$201&lt;$C125)+(($C$2:$C$201=$C125)*($S$2:$S$201&lt;$S125))+(($C$2:$C$201=$C125)*($S$2:$S$201=$S125)*($B$2:$B$201&lt;$B125))))+1)</f>
      </c>
      <c r="U125" s="19">
        <f>IF($T125="","","TODAS|"&amp;$T125)</f>
      </c>
      <c r="V125" s="14">
        <f>IF($A125="","",IFERROR(IF(COUNTIF('Compras'!$B:$B,$A125)=0,"",MINIFS('Compras'!$A:$A,'Compras'!$B:$B,$A125)),""))</f>
      </c>
      <c r="W125" s="17">
        <f>IF(OR($A125="",$V125=""),"",TODAY()-$V125)</f>
      </c>
      <c r="X125" s="17">
        <f>IF($A125="","",SUMIF('Ventas'!$D:$D,$A125,'Ventas'!$F:$F))</f>
      </c>
      <c r="Y125" s="19">
        <f>IF($A125="","",IF(AND($X125&gt;=3,$W125&lt;&gt;"",$W125&lt;=15),"🔥 Se vende rápido — REABASTECE",IF($K125="Agotado","🔴 Agotado — reabastece",IF($K125="Stock bajo","🟠 Stock bajo","✅ Ok"))))</f>
      </c>
    </row>
    <row r="126">
      <c r="A126" s="20"/>
      <c r="B126" s="20"/>
      <c r="C126" s="20"/>
      <c r="D126" s="20"/>
      <c r="E126" s="21"/>
      <c r="F126" s="16">
        <f>IF($A126="","",IFERROR(SUMIF('Compras'!$B:$B,$A126,'Compras'!$F:$F)/SUMIF('Compras'!$B:$B,$A126,'Compras'!$D:$D),0))</f>
      </c>
      <c r="G126" s="17">
        <f>IF($A126="","",SUMIF('Compras'!$B:$B,$A126,'Compras'!$D:$D)+SUMIF('Traslados'!$H:$H,$A126&amp;"|Casa",'Traslados'!$D:$D)-SUMIF('Traslados'!$G:$G,$A126&amp;"|Casa",'Traslados'!$D:$D)-SUMIF('Ventas'!$M:$M,$A126&amp;"|Casa",'Ventas'!$F:$F)+SUMIF('Ajustes'!$H:$H,$A126&amp;"|Casa",'Ajustes'!$D:$D))</f>
      </c>
      <c r="H126" s="17">
        <f>IF($A126="","",SUMIF('Traslados'!$H:$H,$A126&amp;"|Mercado Libre",'Traslados'!$D:$D)-SUMIF('Traslados'!$G:$G,$A126&amp;"|Mercado Libre",'Traslados'!$D:$D)-SUMIF('Ventas'!$M:$M,$A126&amp;"|Mercado Libre",'Ventas'!$F:$F)+SUMIF('Ajustes'!$H:$H,$A126&amp;"|Mercado Libre",'Ajustes'!$D:$D))</f>
      </c>
      <c r="I126" s="17">
        <f>IF($A126="","",$G126+$H126)</f>
      </c>
      <c r="J126" s="16">
        <f>IF($A126="","",$I126*$F126)</f>
      </c>
      <c r="K126" s="19">
        <f>IF($A126="","",IF($I126&lt;=0,"Agotado",IF($I126&lt;=$E126,"Stock bajo","Disponible")))</f>
      </c>
      <c r="L126" s="17">
        <f>IF($A126="","",IFERROR(VLOOKUP($C126,'Config'!$D$2:$E$30,2,FALSE),0))</f>
      </c>
      <c r="M126" s="20"/>
      <c r="N126" s="22"/>
      <c r="O126" s="22"/>
      <c r="P126" s="17">
        <f>IF(OR($A126="",$D126&lt;&gt;"Activo"),"",SUMPRODUCT(($C$2:$C$201=$C126)*($D$2:$D$201="Activo")*(($S$2:$S$201&lt;$S126)+(($S$2:$S$201=$S126)*($B$2:$B$201&lt;$B126))))+1)</f>
      </c>
      <c r="Q126" s="19">
        <f>IF($P126="","",$C126&amp;"|"&amp;$P126)</f>
      </c>
      <c r="R126" s="20"/>
      <c r="S126" s="17">
        <f>IF($A126="","",IFERROR(VALUE(TRIM(LEFT($R126,FIND("x",LOWER($R126))-1)))*VALUE(TRIM(MID($R126,FIND("x",LOWER($R126))+1,20))),0))</f>
      </c>
      <c r="T126" s="17">
        <f>IF(OR($A126="",$D126&lt;&gt;"Activo"),"",SUMPRODUCT(($D$2:$D$201="Activo")*(($C$2:$C$201&lt;$C126)+(($C$2:$C$201=$C126)*($S$2:$S$201&lt;$S126))+(($C$2:$C$201=$C126)*($S$2:$S$201=$S126)*($B$2:$B$201&lt;$B126))))+1)</f>
      </c>
      <c r="U126" s="19">
        <f>IF($T126="","","TODAS|"&amp;$T126)</f>
      </c>
      <c r="V126" s="14">
        <f>IF($A126="","",IFERROR(IF(COUNTIF('Compras'!$B:$B,$A126)=0,"",MINIFS('Compras'!$A:$A,'Compras'!$B:$B,$A126)),""))</f>
      </c>
      <c r="W126" s="17">
        <f>IF(OR($A126="",$V126=""),"",TODAY()-$V126)</f>
      </c>
      <c r="X126" s="17">
        <f>IF($A126="","",SUMIF('Ventas'!$D:$D,$A126,'Ventas'!$F:$F))</f>
      </c>
      <c r="Y126" s="19">
        <f>IF($A126="","",IF(AND($X126&gt;=3,$W126&lt;&gt;"",$W126&lt;=15),"🔥 Se vende rápido — REABASTECE",IF($K126="Agotado","🔴 Agotado — reabastece",IF($K126="Stock bajo","🟠 Stock bajo","✅ Ok"))))</f>
      </c>
    </row>
    <row r="127">
      <c r="A127" s="20"/>
      <c r="B127" s="20"/>
      <c r="C127" s="20"/>
      <c r="D127" s="20"/>
      <c r="E127" s="21"/>
      <c r="F127" s="16">
        <f>IF($A127="","",IFERROR(SUMIF('Compras'!$B:$B,$A127,'Compras'!$F:$F)/SUMIF('Compras'!$B:$B,$A127,'Compras'!$D:$D),0))</f>
      </c>
      <c r="G127" s="17">
        <f>IF($A127="","",SUMIF('Compras'!$B:$B,$A127,'Compras'!$D:$D)+SUMIF('Traslados'!$H:$H,$A127&amp;"|Casa",'Traslados'!$D:$D)-SUMIF('Traslados'!$G:$G,$A127&amp;"|Casa",'Traslados'!$D:$D)-SUMIF('Ventas'!$M:$M,$A127&amp;"|Casa",'Ventas'!$F:$F)+SUMIF('Ajustes'!$H:$H,$A127&amp;"|Casa",'Ajustes'!$D:$D))</f>
      </c>
      <c r="H127" s="17">
        <f>IF($A127="","",SUMIF('Traslados'!$H:$H,$A127&amp;"|Mercado Libre",'Traslados'!$D:$D)-SUMIF('Traslados'!$G:$G,$A127&amp;"|Mercado Libre",'Traslados'!$D:$D)-SUMIF('Ventas'!$M:$M,$A127&amp;"|Mercado Libre",'Ventas'!$F:$F)+SUMIF('Ajustes'!$H:$H,$A127&amp;"|Mercado Libre",'Ajustes'!$D:$D))</f>
      </c>
      <c r="I127" s="17">
        <f>IF($A127="","",$G127+$H127)</f>
      </c>
      <c r="J127" s="16">
        <f>IF($A127="","",$I127*$F127)</f>
      </c>
      <c r="K127" s="19">
        <f>IF($A127="","",IF($I127&lt;=0,"Agotado",IF($I127&lt;=$E127,"Stock bajo","Disponible")))</f>
      </c>
      <c r="L127" s="17">
        <f>IF($A127="","",IFERROR(VLOOKUP($C127,'Config'!$D$2:$E$30,2,FALSE),0))</f>
      </c>
      <c r="M127" s="20"/>
      <c r="N127" s="22"/>
      <c r="O127" s="22"/>
      <c r="P127" s="17">
        <f>IF(OR($A127="",$D127&lt;&gt;"Activo"),"",SUMPRODUCT(($C$2:$C$201=$C127)*($D$2:$D$201="Activo")*(($S$2:$S$201&lt;$S127)+(($S$2:$S$201=$S127)*($B$2:$B$201&lt;$B127))))+1)</f>
      </c>
      <c r="Q127" s="19">
        <f>IF($P127="","",$C127&amp;"|"&amp;$P127)</f>
      </c>
      <c r="R127" s="20"/>
      <c r="S127" s="17">
        <f>IF($A127="","",IFERROR(VALUE(TRIM(LEFT($R127,FIND("x",LOWER($R127))-1)))*VALUE(TRIM(MID($R127,FIND("x",LOWER($R127))+1,20))),0))</f>
      </c>
      <c r="T127" s="17">
        <f>IF(OR($A127="",$D127&lt;&gt;"Activo"),"",SUMPRODUCT(($D$2:$D$201="Activo")*(($C$2:$C$201&lt;$C127)+(($C$2:$C$201=$C127)*($S$2:$S$201&lt;$S127))+(($C$2:$C$201=$C127)*($S$2:$S$201=$S127)*($B$2:$B$201&lt;$B127))))+1)</f>
      </c>
      <c r="U127" s="19">
        <f>IF($T127="","","TODAS|"&amp;$T127)</f>
      </c>
      <c r="V127" s="14">
        <f>IF($A127="","",IFERROR(IF(COUNTIF('Compras'!$B:$B,$A127)=0,"",MINIFS('Compras'!$A:$A,'Compras'!$B:$B,$A127)),""))</f>
      </c>
      <c r="W127" s="17">
        <f>IF(OR($A127="",$V127=""),"",TODAY()-$V127)</f>
      </c>
      <c r="X127" s="17">
        <f>IF($A127="","",SUMIF('Ventas'!$D:$D,$A127,'Ventas'!$F:$F))</f>
      </c>
      <c r="Y127" s="19">
        <f>IF($A127="","",IF(AND($X127&gt;=3,$W127&lt;&gt;"",$W127&lt;=15),"🔥 Se vende rápido — REABASTECE",IF($K127="Agotado","🔴 Agotado — reabastece",IF($K127="Stock bajo","🟠 Stock bajo","✅ Ok"))))</f>
      </c>
    </row>
    <row r="128">
      <c r="A128" s="20"/>
      <c r="B128" s="20"/>
      <c r="C128" s="20"/>
      <c r="D128" s="20"/>
      <c r="E128" s="21"/>
      <c r="F128" s="16">
        <f>IF($A128="","",IFERROR(SUMIF('Compras'!$B:$B,$A128,'Compras'!$F:$F)/SUMIF('Compras'!$B:$B,$A128,'Compras'!$D:$D),0))</f>
      </c>
      <c r="G128" s="17">
        <f>IF($A128="","",SUMIF('Compras'!$B:$B,$A128,'Compras'!$D:$D)+SUMIF('Traslados'!$H:$H,$A128&amp;"|Casa",'Traslados'!$D:$D)-SUMIF('Traslados'!$G:$G,$A128&amp;"|Casa",'Traslados'!$D:$D)-SUMIF('Ventas'!$M:$M,$A128&amp;"|Casa",'Ventas'!$F:$F)+SUMIF('Ajustes'!$H:$H,$A128&amp;"|Casa",'Ajustes'!$D:$D))</f>
      </c>
      <c r="H128" s="17">
        <f>IF($A128="","",SUMIF('Traslados'!$H:$H,$A128&amp;"|Mercado Libre",'Traslados'!$D:$D)-SUMIF('Traslados'!$G:$G,$A128&amp;"|Mercado Libre",'Traslados'!$D:$D)-SUMIF('Ventas'!$M:$M,$A128&amp;"|Mercado Libre",'Ventas'!$F:$F)+SUMIF('Ajustes'!$H:$H,$A128&amp;"|Mercado Libre",'Ajustes'!$D:$D))</f>
      </c>
      <c r="I128" s="17">
        <f>IF($A128="","",$G128+$H128)</f>
      </c>
      <c r="J128" s="16">
        <f>IF($A128="","",$I128*$F128)</f>
      </c>
      <c r="K128" s="19">
        <f>IF($A128="","",IF($I128&lt;=0,"Agotado",IF($I128&lt;=$E128,"Stock bajo","Disponible")))</f>
      </c>
      <c r="L128" s="17">
        <f>IF($A128="","",IFERROR(VLOOKUP($C128,'Config'!$D$2:$E$30,2,FALSE),0))</f>
      </c>
      <c r="M128" s="20"/>
      <c r="N128" s="22"/>
      <c r="O128" s="22"/>
      <c r="P128" s="17">
        <f>IF(OR($A128="",$D128&lt;&gt;"Activo"),"",SUMPRODUCT(($C$2:$C$201=$C128)*($D$2:$D$201="Activo")*(($S$2:$S$201&lt;$S128)+(($S$2:$S$201=$S128)*($B$2:$B$201&lt;$B128))))+1)</f>
      </c>
      <c r="Q128" s="19">
        <f>IF($P128="","",$C128&amp;"|"&amp;$P128)</f>
      </c>
      <c r="R128" s="20"/>
      <c r="S128" s="17">
        <f>IF($A128="","",IFERROR(VALUE(TRIM(LEFT($R128,FIND("x",LOWER($R128))-1)))*VALUE(TRIM(MID($R128,FIND("x",LOWER($R128))+1,20))),0))</f>
      </c>
      <c r="T128" s="17">
        <f>IF(OR($A128="",$D128&lt;&gt;"Activo"),"",SUMPRODUCT(($D$2:$D$201="Activo")*(($C$2:$C$201&lt;$C128)+(($C$2:$C$201=$C128)*($S$2:$S$201&lt;$S128))+(($C$2:$C$201=$C128)*($S$2:$S$201=$S128)*($B$2:$B$201&lt;$B128))))+1)</f>
      </c>
      <c r="U128" s="19">
        <f>IF($T128="","","TODAS|"&amp;$T128)</f>
      </c>
      <c r="V128" s="14">
        <f>IF($A128="","",IFERROR(IF(COUNTIF('Compras'!$B:$B,$A128)=0,"",MINIFS('Compras'!$A:$A,'Compras'!$B:$B,$A128)),""))</f>
      </c>
      <c r="W128" s="17">
        <f>IF(OR($A128="",$V128=""),"",TODAY()-$V128)</f>
      </c>
      <c r="X128" s="17">
        <f>IF($A128="","",SUMIF('Ventas'!$D:$D,$A128,'Ventas'!$F:$F))</f>
      </c>
      <c r="Y128" s="19">
        <f>IF($A128="","",IF(AND($X128&gt;=3,$W128&lt;&gt;"",$W128&lt;=15),"🔥 Se vende rápido — REABASTECE",IF($K128="Agotado","🔴 Agotado — reabastece",IF($K128="Stock bajo","🟠 Stock bajo","✅ Ok"))))</f>
      </c>
    </row>
    <row r="129">
      <c r="A129" s="20"/>
      <c r="B129" s="20"/>
      <c r="C129" s="20"/>
      <c r="D129" s="20"/>
      <c r="E129" s="21"/>
      <c r="F129" s="16">
        <f>IF($A129="","",IFERROR(SUMIF('Compras'!$B:$B,$A129,'Compras'!$F:$F)/SUMIF('Compras'!$B:$B,$A129,'Compras'!$D:$D),0))</f>
      </c>
      <c r="G129" s="17">
        <f>IF($A129="","",SUMIF('Compras'!$B:$B,$A129,'Compras'!$D:$D)+SUMIF('Traslados'!$H:$H,$A129&amp;"|Casa",'Traslados'!$D:$D)-SUMIF('Traslados'!$G:$G,$A129&amp;"|Casa",'Traslados'!$D:$D)-SUMIF('Ventas'!$M:$M,$A129&amp;"|Casa",'Ventas'!$F:$F)+SUMIF('Ajustes'!$H:$H,$A129&amp;"|Casa",'Ajustes'!$D:$D))</f>
      </c>
      <c r="H129" s="17">
        <f>IF($A129="","",SUMIF('Traslados'!$H:$H,$A129&amp;"|Mercado Libre",'Traslados'!$D:$D)-SUMIF('Traslados'!$G:$G,$A129&amp;"|Mercado Libre",'Traslados'!$D:$D)-SUMIF('Ventas'!$M:$M,$A129&amp;"|Mercado Libre",'Ventas'!$F:$F)+SUMIF('Ajustes'!$H:$H,$A129&amp;"|Mercado Libre",'Ajustes'!$D:$D))</f>
      </c>
      <c r="I129" s="17">
        <f>IF($A129="","",$G129+$H129)</f>
      </c>
      <c r="J129" s="16">
        <f>IF($A129="","",$I129*$F129)</f>
      </c>
      <c r="K129" s="19">
        <f>IF($A129="","",IF($I129&lt;=0,"Agotado",IF($I129&lt;=$E129,"Stock bajo","Disponible")))</f>
      </c>
      <c r="L129" s="17">
        <f>IF($A129="","",IFERROR(VLOOKUP($C129,'Config'!$D$2:$E$30,2,FALSE),0))</f>
      </c>
      <c r="M129" s="20"/>
      <c r="N129" s="22"/>
      <c r="O129" s="22"/>
      <c r="P129" s="17">
        <f>IF(OR($A129="",$D129&lt;&gt;"Activo"),"",SUMPRODUCT(($C$2:$C$201=$C129)*($D$2:$D$201="Activo")*(($S$2:$S$201&lt;$S129)+(($S$2:$S$201=$S129)*($B$2:$B$201&lt;$B129))))+1)</f>
      </c>
      <c r="Q129" s="19">
        <f>IF($P129="","",$C129&amp;"|"&amp;$P129)</f>
      </c>
      <c r="R129" s="20"/>
      <c r="S129" s="17">
        <f>IF($A129="","",IFERROR(VALUE(TRIM(LEFT($R129,FIND("x",LOWER($R129))-1)))*VALUE(TRIM(MID($R129,FIND("x",LOWER($R129))+1,20))),0))</f>
      </c>
      <c r="T129" s="17">
        <f>IF(OR($A129="",$D129&lt;&gt;"Activo"),"",SUMPRODUCT(($D$2:$D$201="Activo")*(($C$2:$C$201&lt;$C129)+(($C$2:$C$201=$C129)*($S$2:$S$201&lt;$S129))+(($C$2:$C$201=$C129)*($S$2:$S$201=$S129)*($B$2:$B$201&lt;$B129))))+1)</f>
      </c>
      <c r="U129" s="19">
        <f>IF($T129="","","TODAS|"&amp;$T129)</f>
      </c>
      <c r="V129" s="14">
        <f>IF($A129="","",IFERROR(IF(COUNTIF('Compras'!$B:$B,$A129)=0,"",MINIFS('Compras'!$A:$A,'Compras'!$B:$B,$A129)),""))</f>
      </c>
      <c r="W129" s="17">
        <f>IF(OR($A129="",$V129=""),"",TODAY()-$V129)</f>
      </c>
      <c r="X129" s="17">
        <f>IF($A129="","",SUMIF('Ventas'!$D:$D,$A129,'Ventas'!$F:$F))</f>
      </c>
      <c r="Y129" s="19">
        <f>IF($A129="","",IF(AND($X129&gt;=3,$W129&lt;&gt;"",$W129&lt;=15),"🔥 Se vende rápido — REABASTECE",IF($K129="Agotado","🔴 Agotado — reabastece",IF($K129="Stock bajo","🟠 Stock bajo","✅ Ok"))))</f>
      </c>
    </row>
    <row r="130">
      <c r="A130" s="20"/>
      <c r="B130" s="20"/>
      <c r="C130" s="20"/>
      <c r="D130" s="20"/>
      <c r="E130" s="21"/>
      <c r="F130" s="16">
        <f>IF($A130="","",IFERROR(SUMIF('Compras'!$B:$B,$A130,'Compras'!$F:$F)/SUMIF('Compras'!$B:$B,$A130,'Compras'!$D:$D),0))</f>
      </c>
      <c r="G130" s="17">
        <f>IF($A130="","",SUMIF('Compras'!$B:$B,$A130,'Compras'!$D:$D)+SUMIF('Traslados'!$H:$H,$A130&amp;"|Casa",'Traslados'!$D:$D)-SUMIF('Traslados'!$G:$G,$A130&amp;"|Casa",'Traslados'!$D:$D)-SUMIF('Ventas'!$M:$M,$A130&amp;"|Casa",'Ventas'!$F:$F)+SUMIF('Ajustes'!$H:$H,$A130&amp;"|Casa",'Ajustes'!$D:$D))</f>
      </c>
      <c r="H130" s="17">
        <f>IF($A130="","",SUMIF('Traslados'!$H:$H,$A130&amp;"|Mercado Libre",'Traslados'!$D:$D)-SUMIF('Traslados'!$G:$G,$A130&amp;"|Mercado Libre",'Traslados'!$D:$D)-SUMIF('Ventas'!$M:$M,$A130&amp;"|Mercado Libre",'Ventas'!$F:$F)+SUMIF('Ajustes'!$H:$H,$A130&amp;"|Mercado Libre",'Ajustes'!$D:$D))</f>
      </c>
      <c r="I130" s="17">
        <f>IF($A130="","",$G130+$H130)</f>
      </c>
      <c r="J130" s="16">
        <f>IF($A130="","",$I130*$F130)</f>
      </c>
      <c r="K130" s="19">
        <f>IF($A130="","",IF($I130&lt;=0,"Agotado",IF($I130&lt;=$E130,"Stock bajo","Disponible")))</f>
      </c>
      <c r="L130" s="17">
        <f>IF($A130="","",IFERROR(VLOOKUP($C130,'Config'!$D$2:$E$30,2,FALSE),0))</f>
      </c>
      <c r="M130" s="20"/>
      <c r="N130" s="22"/>
      <c r="O130" s="22"/>
      <c r="P130" s="17">
        <f>IF(OR($A130="",$D130&lt;&gt;"Activo"),"",SUMPRODUCT(($C$2:$C$201=$C130)*($D$2:$D$201="Activo")*(($S$2:$S$201&lt;$S130)+(($S$2:$S$201=$S130)*($B$2:$B$201&lt;$B130))))+1)</f>
      </c>
      <c r="Q130" s="19">
        <f>IF($P130="","",$C130&amp;"|"&amp;$P130)</f>
      </c>
      <c r="R130" s="20"/>
      <c r="S130" s="17">
        <f>IF($A130="","",IFERROR(VALUE(TRIM(LEFT($R130,FIND("x",LOWER($R130))-1)))*VALUE(TRIM(MID($R130,FIND("x",LOWER($R130))+1,20))),0))</f>
      </c>
      <c r="T130" s="17">
        <f>IF(OR($A130="",$D130&lt;&gt;"Activo"),"",SUMPRODUCT(($D$2:$D$201="Activo")*(($C$2:$C$201&lt;$C130)+(($C$2:$C$201=$C130)*($S$2:$S$201&lt;$S130))+(($C$2:$C$201=$C130)*($S$2:$S$201=$S130)*($B$2:$B$201&lt;$B130))))+1)</f>
      </c>
      <c r="U130" s="19">
        <f>IF($T130="","","TODAS|"&amp;$T130)</f>
      </c>
      <c r="V130" s="14">
        <f>IF($A130="","",IFERROR(IF(COUNTIF('Compras'!$B:$B,$A130)=0,"",MINIFS('Compras'!$A:$A,'Compras'!$B:$B,$A130)),""))</f>
      </c>
      <c r="W130" s="17">
        <f>IF(OR($A130="",$V130=""),"",TODAY()-$V130)</f>
      </c>
      <c r="X130" s="17">
        <f>IF($A130="","",SUMIF('Ventas'!$D:$D,$A130,'Ventas'!$F:$F))</f>
      </c>
      <c r="Y130" s="19">
        <f>IF($A130="","",IF(AND($X130&gt;=3,$W130&lt;&gt;"",$W130&lt;=15),"🔥 Se vende rápido — REABASTECE",IF($K130="Agotado","🔴 Agotado — reabastece",IF($K130="Stock bajo","🟠 Stock bajo","✅ Ok"))))</f>
      </c>
    </row>
    <row r="131">
      <c r="A131" s="20"/>
      <c r="B131" s="20"/>
      <c r="C131" s="20"/>
      <c r="D131" s="20"/>
      <c r="E131" s="21"/>
      <c r="F131" s="16">
        <f>IF($A131="","",IFERROR(SUMIF('Compras'!$B:$B,$A131,'Compras'!$F:$F)/SUMIF('Compras'!$B:$B,$A131,'Compras'!$D:$D),0))</f>
      </c>
      <c r="G131" s="17">
        <f>IF($A131="","",SUMIF('Compras'!$B:$B,$A131,'Compras'!$D:$D)+SUMIF('Traslados'!$H:$H,$A131&amp;"|Casa",'Traslados'!$D:$D)-SUMIF('Traslados'!$G:$G,$A131&amp;"|Casa",'Traslados'!$D:$D)-SUMIF('Ventas'!$M:$M,$A131&amp;"|Casa",'Ventas'!$F:$F)+SUMIF('Ajustes'!$H:$H,$A131&amp;"|Casa",'Ajustes'!$D:$D))</f>
      </c>
      <c r="H131" s="17">
        <f>IF($A131="","",SUMIF('Traslados'!$H:$H,$A131&amp;"|Mercado Libre",'Traslados'!$D:$D)-SUMIF('Traslados'!$G:$G,$A131&amp;"|Mercado Libre",'Traslados'!$D:$D)-SUMIF('Ventas'!$M:$M,$A131&amp;"|Mercado Libre",'Ventas'!$F:$F)+SUMIF('Ajustes'!$H:$H,$A131&amp;"|Mercado Libre",'Ajustes'!$D:$D))</f>
      </c>
      <c r="I131" s="17">
        <f>IF($A131="","",$G131+$H131)</f>
      </c>
      <c r="J131" s="16">
        <f>IF($A131="","",$I131*$F131)</f>
      </c>
      <c r="K131" s="19">
        <f>IF($A131="","",IF($I131&lt;=0,"Agotado",IF($I131&lt;=$E131,"Stock bajo","Disponible")))</f>
      </c>
      <c r="L131" s="17">
        <f>IF($A131="","",IFERROR(VLOOKUP($C131,'Config'!$D$2:$E$30,2,FALSE),0))</f>
      </c>
      <c r="M131" s="20"/>
      <c r="N131" s="22"/>
      <c r="O131" s="22"/>
      <c r="P131" s="17">
        <f>IF(OR($A131="",$D131&lt;&gt;"Activo"),"",SUMPRODUCT(($C$2:$C$201=$C131)*($D$2:$D$201="Activo")*(($S$2:$S$201&lt;$S131)+(($S$2:$S$201=$S131)*($B$2:$B$201&lt;$B131))))+1)</f>
      </c>
      <c r="Q131" s="19">
        <f>IF($P131="","",$C131&amp;"|"&amp;$P131)</f>
      </c>
      <c r="R131" s="20"/>
      <c r="S131" s="17">
        <f>IF($A131="","",IFERROR(VALUE(TRIM(LEFT($R131,FIND("x",LOWER($R131))-1)))*VALUE(TRIM(MID($R131,FIND("x",LOWER($R131))+1,20))),0))</f>
      </c>
      <c r="T131" s="17">
        <f>IF(OR($A131="",$D131&lt;&gt;"Activo"),"",SUMPRODUCT(($D$2:$D$201="Activo")*(($C$2:$C$201&lt;$C131)+(($C$2:$C$201=$C131)*($S$2:$S$201&lt;$S131))+(($C$2:$C$201=$C131)*($S$2:$S$201=$S131)*($B$2:$B$201&lt;$B131))))+1)</f>
      </c>
      <c r="U131" s="19">
        <f>IF($T131="","","TODAS|"&amp;$T131)</f>
      </c>
      <c r="V131" s="14">
        <f>IF($A131="","",IFERROR(IF(COUNTIF('Compras'!$B:$B,$A131)=0,"",MINIFS('Compras'!$A:$A,'Compras'!$B:$B,$A131)),""))</f>
      </c>
      <c r="W131" s="17">
        <f>IF(OR($A131="",$V131=""),"",TODAY()-$V131)</f>
      </c>
      <c r="X131" s="17">
        <f>IF($A131="","",SUMIF('Ventas'!$D:$D,$A131,'Ventas'!$F:$F))</f>
      </c>
      <c r="Y131" s="19">
        <f>IF($A131="","",IF(AND($X131&gt;=3,$W131&lt;&gt;"",$W131&lt;=15),"🔥 Se vende rápido — REABASTECE",IF($K131="Agotado","🔴 Agotado — reabastece",IF($K131="Stock bajo","🟠 Stock bajo","✅ Ok"))))</f>
      </c>
    </row>
    <row r="132">
      <c r="A132" s="20"/>
      <c r="B132" s="20"/>
      <c r="C132" s="20"/>
      <c r="D132" s="20"/>
      <c r="E132" s="21"/>
      <c r="F132" s="16">
        <f>IF($A132="","",IFERROR(SUMIF('Compras'!$B:$B,$A132,'Compras'!$F:$F)/SUMIF('Compras'!$B:$B,$A132,'Compras'!$D:$D),0))</f>
      </c>
      <c r="G132" s="17">
        <f>IF($A132="","",SUMIF('Compras'!$B:$B,$A132,'Compras'!$D:$D)+SUMIF('Traslados'!$H:$H,$A132&amp;"|Casa",'Traslados'!$D:$D)-SUMIF('Traslados'!$G:$G,$A132&amp;"|Casa",'Traslados'!$D:$D)-SUMIF('Ventas'!$M:$M,$A132&amp;"|Casa",'Ventas'!$F:$F)+SUMIF('Ajustes'!$H:$H,$A132&amp;"|Casa",'Ajustes'!$D:$D))</f>
      </c>
      <c r="H132" s="17">
        <f>IF($A132="","",SUMIF('Traslados'!$H:$H,$A132&amp;"|Mercado Libre",'Traslados'!$D:$D)-SUMIF('Traslados'!$G:$G,$A132&amp;"|Mercado Libre",'Traslados'!$D:$D)-SUMIF('Ventas'!$M:$M,$A132&amp;"|Mercado Libre",'Ventas'!$F:$F)+SUMIF('Ajustes'!$H:$H,$A132&amp;"|Mercado Libre",'Ajustes'!$D:$D))</f>
      </c>
      <c r="I132" s="17">
        <f>IF($A132="","",$G132+$H132)</f>
      </c>
      <c r="J132" s="16">
        <f>IF($A132="","",$I132*$F132)</f>
      </c>
      <c r="K132" s="19">
        <f>IF($A132="","",IF($I132&lt;=0,"Agotado",IF($I132&lt;=$E132,"Stock bajo","Disponible")))</f>
      </c>
      <c r="L132" s="17">
        <f>IF($A132="","",IFERROR(VLOOKUP($C132,'Config'!$D$2:$E$30,2,FALSE),0))</f>
      </c>
      <c r="M132" s="20"/>
      <c r="N132" s="22"/>
      <c r="O132" s="22"/>
      <c r="P132" s="17">
        <f>IF(OR($A132="",$D132&lt;&gt;"Activo"),"",SUMPRODUCT(($C$2:$C$201=$C132)*($D$2:$D$201="Activo")*(($S$2:$S$201&lt;$S132)+(($S$2:$S$201=$S132)*($B$2:$B$201&lt;$B132))))+1)</f>
      </c>
      <c r="Q132" s="19">
        <f>IF($P132="","",$C132&amp;"|"&amp;$P132)</f>
      </c>
      <c r="R132" s="20"/>
      <c r="S132" s="17">
        <f>IF($A132="","",IFERROR(VALUE(TRIM(LEFT($R132,FIND("x",LOWER($R132))-1)))*VALUE(TRIM(MID($R132,FIND("x",LOWER($R132))+1,20))),0))</f>
      </c>
      <c r="T132" s="17">
        <f>IF(OR($A132="",$D132&lt;&gt;"Activo"),"",SUMPRODUCT(($D$2:$D$201="Activo")*(($C$2:$C$201&lt;$C132)+(($C$2:$C$201=$C132)*($S$2:$S$201&lt;$S132))+(($C$2:$C$201=$C132)*($S$2:$S$201=$S132)*($B$2:$B$201&lt;$B132))))+1)</f>
      </c>
      <c r="U132" s="19">
        <f>IF($T132="","","TODAS|"&amp;$T132)</f>
      </c>
      <c r="V132" s="14">
        <f>IF($A132="","",IFERROR(IF(COUNTIF('Compras'!$B:$B,$A132)=0,"",MINIFS('Compras'!$A:$A,'Compras'!$B:$B,$A132)),""))</f>
      </c>
      <c r="W132" s="17">
        <f>IF(OR($A132="",$V132=""),"",TODAY()-$V132)</f>
      </c>
      <c r="X132" s="17">
        <f>IF($A132="","",SUMIF('Ventas'!$D:$D,$A132,'Ventas'!$F:$F))</f>
      </c>
      <c r="Y132" s="19">
        <f>IF($A132="","",IF(AND($X132&gt;=3,$W132&lt;&gt;"",$W132&lt;=15),"🔥 Se vende rápido — REABASTECE",IF($K132="Agotado","🔴 Agotado — reabastece",IF($K132="Stock bajo","🟠 Stock bajo","✅ Ok"))))</f>
      </c>
    </row>
    <row r="133">
      <c r="A133" s="20"/>
      <c r="B133" s="20"/>
      <c r="C133" s="20"/>
      <c r="D133" s="20"/>
      <c r="E133" s="21"/>
      <c r="F133" s="16">
        <f>IF($A133="","",IFERROR(SUMIF('Compras'!$B:$B,$A133,'Compras'!$F:$F)/SUMIF('Compras'!$B:$B,$A133,'Compras'!$D:$D),0))</f>
      </c>
      <c r="G133" s="17">
        <f>IF($A133="","",SUMIF('Compras'!$B:$B,$A133,'Compras'!$D:$D)+SUMIF('Traslados'!$H:$H,$A133&amp;"|Casa",'Traslados'!$D:$D)-SUMIF('Traslados'!$G:$G,$A133&amp;"|Casa",'Traslados'!$D:$D)-SUMIF('Ventas'!$M:$M,$A133&amp;"|Casa",'Ventas'!$F:$F)+SUMIF('Ajustes'!$H:$H,$A133&amp;"|Casa",'Ajustes'!$D:$D))</f>
      </c>
      <c r="H133" s="17">
        <f>IF($A133="","",SUMIF('Traslados'!$H:$H,$A133&amp;"|Mercado Libre",'Traslados'!$D:$D)-SUMIF('Traslados'!$G:$G,$A133&amp;"|Mercado Libre",'Traslados'!$D:$D)-SUMIF('Ventas'!$M:$M,$A133&amp;"|Mercado Libre",'Ventas'!$F:$F)+SUMIF('Ajustes'!$H:$H,$A133&amp;"|Mercado Libre",'Ajustes'!$D:$D))</f>
      </c>
      <c r="I133" s="17">
        <f>IF($A133="","",$G133+$H133)</f>
      </c>
      <c r="J133" s="16">
        <f>IF($A133="","",$I133*$F133)</f>
      </c>
      <c r="K133" s="19">
        <f>IF($A133="","",IF($I133&lt;=0,"Agotado",IF($I133&lt;=$E133,"Stock bajo","Disponible")))</f>
      </c>
      <c r="L133" s="17">
        <f>IF($A133="","",IFERROR(VLOOKUP($C133,'Config'!$D$2:$E$30,2,FALSE),0))</f>
      </c>
      <c r="M133" s="20"/>
      <c r="N133" s="22"/>
      <c r="O133" s="22"/>
      <c r="P133" s="17">
        <f>IF(OR($A133="",$D133&lt;&gt;"Activo"),"",SUMPRODUCT(($C$2:$C$201=$C133)*($D$2:$D$201="Activo")*(($S$2:$S$201&lt;$S133)+(($S$2:$S$201=$S133)*($B$2:$B$201&lt;$B133))))+1)</f>
      </c>
      <c r="Q133" s="19">
        <f>IF($P133="","",$C133&amp;"|"&amp;$P133)</f>
      </c>
      <c r="R133" s="20"/>
      <c r="S133" s="17">
        <f>IF($A133="","",IFERROR(VALUE(TRIM(LEFT($R133,FIND("x",LOWER($R133))-1)))*VALUE(TRIM(MID($R133,FIND("x",LOWER($R133))+1,20))),0))</f>
      </c>
      <c r="T133" s="17">
        <f>IF(OR($A133="",$D133&lt;&gt;"Activo"),"",SUMPRODUCT(($D$2:$D$201="Activo")*(($C$2:$C$201&lt;$C133)+(($C$2:$C$201=$C133)*($S$2:$S$201&lt;$S133))+(($C$2:$C$201=$C133)*($S$2:$S$201=$S133)*($B$2:$B$201&lt;$B133))))+1)</f>
      </c>
      <c r="U133" s="19">
        <f>IF($T133="","","TODAS|"&amp;$T133)</f>
      </c>
      <c r="V133" s="14">
        <f>IF($A133="","",IFERROR(IF(COUNTIF('Compras'!$B:$B,$A133)=0,"",MINIFS('Compras'!$A:$A,'Compras'!$B:$B,$A133)),""))</f>
      </c>
      <c r="W133" s="17">
        <f>IF(OR($A133="",$V133=""),"",TODAY()-$V133)</f>
      </c>
      <c r="X133" s="17">
        <f>IF($A133="","",SUMIF('Ventas'!$D:$D,$A133,'Ventas'!$F:$F))</f>
      </c>
      <c r="Y133" s="19">
        <f>IF($A133="","",IF(AND($X133&gt;=3,$W133&lt;&gt;"",$W133&lt;=15),"🔥 Se vende rápido — REABASTECE",IF($K133="Agotado","🔴 Agotado — reabastece",IF($K133="Stock bajo","🟠 Stock bajo","✅ Ok"))))</f>
      </c>
    </row>
    <row r="134">
      <c r="A134" s="20"/>
      <c r="B134" s="20"/>
      <c r="C134" s="20"/>
      <c r="D134" s="20"/>
      <c r="E134" s="21"/>
      <c r="F134" s="16">
        <f>IF($A134="","",IFERROR(SUMIF('Compras'!$B:$B,$A134,'Compras'!$F:$F)/SUMIF('Compras'!$B:$B,$A134,'Compras'!$D:$D),0))</f>
      </c>
      <c r="G134" s="17">
        <f>IF($A134="","",SUMIF('Compras'!$B:$B,$A134,'Compras'!$D:$D)+SUMIF('Traslados'!$H:$H,$A134&amp;"|Casa",'Traslados'!$D:$D)-SUMIF('Traslados'!$G:$G,$A134&amp;"|Casa",'Traslados'!$D:$D)-SUMIF('Ventas'!$M:$M,$A134&amp;"|Casa",'Ventas'!$F:$F)+SUMIF('Ajustes'!$H:$H,$A134&amp;"|Casa",'Ajustes'!$D:$D))</f>
      </c>
      <c r="H134" s="17">
        <f>IF($A134="","",SUMIF('Traslados'!$H:$H,$A134&amp;"|Mercado Libre",'Traslados'!$D:$D)-SUMIF('Traslados'!$G:$G,$A134&amp;"|Mercado Libre",'Traslados'!$D:$D)-SUMIF('Ventas'!$M:$M,$A134&amp;"|Mercado Libre",'Ventas'!$F:$F)+SUMIF('Ajustes'!$H:$H,$A134&amp;"|Mercado Libre",'Ajustes'!$D:$D))</f>
      </c>
      <c r="I134" s="17">
        <f>IF($A134="","",$G134+$H134)</f>
      </c>
      <c r="J134" s="16">
        <f>IF($A134="","",$I134*$F134)</f>
      </c>
      <c r="K134" s="19">
        <f>IF($A134="","",IF($I134&lt;=0,"Agotado",IF($I134&lt;=$E134,"Stock bajo","Disponible")))</f>
      </c>
      <c r="L134" s="17">
        <f>IF($A134="","",IFERROR(VLOOKUP($C134,'Config'!$D$2:$E$30,2,FALSE),0))</f>
      </c>
      <c r="M134" s="20"/>
      <c r="N134" s="22"/>
      <c r="O134" s="22"/>
      <c r="P134" s="17">
        <f>IF(OR($A134="",$D134&lt;&gt;"Activo"),"",SUMPRODUCT(($C$2:$C$201=$C134)*($D$2:$D$201="Activo")*(($S$2:$S$201&lt;$S134)+(($S$2:$S$201=$S134)*($B$2:$B$201&lt;$B134))))+1)</f>
      </c>
      <c r="Q134" s="19">
        <f>IF($P134="","",$C134&amp;"|"&amp;$P134)</f>
      </c>
      <c r="R134" s="20"/>
      <c r="S134" s="17">
        <f>IF($A134="","",IFERROR(VALUE(TRIM(LEFT($R134,FIND("x",LOWER($R134))-1)))*VALUE(TRIM(MID($R134,FIND("x",LOWER($R134))+1,20))),0))</f>
      </c>
      <c r="T134" s="17">
        <f>IF(OR($A134="",$D134&lt;&gt;"Activo"),"",SUMPRODUCT(($D$2:$D$201="Activo")*(($C$2:$C$201&lt;$C134)+(($C$2:$C$201=$C134)*($S$2:$S$201&lt;$S134))+(($C$2:$C$201=$C134)*($S$2:$S$201=$S134)*($B$2:$B$201&lt;$B134))))+1)</f>
      </c>
      <c r="U134" s="19">
        <f>IF($T134="","","TODAS|"&amp;$T134)</f>
      </c>
      <c r="V134" s="14">
        <f>IF($A134="","",IFERROR(IF(COUNTIF('Compras'!$B:$B,$A134)=0,"",MINIFS('Compras'!$A:$A,'Compras'!$B:$B,$A134)),""))</f>
      </c>
      <c r="W134" s="17">
        <f>IF(OR($A134="",$V134=""),"",TODAY()-$V134)</f>
      </c>
      <c r="X134" s="17">
        <f>IF($A134="","",SUMIF('Ventas'!$D:$D,$A134,'Ventas'!$F:$F))</f>
      </c>
      <c r="Y134" s="19">
        <f>IF($A134="","",IF(AND($X134&gt;=3,$W134&lt;&gt;"",$W134&lt;=15),"🔥 Se vende rápido — REABASTECE",IF($K134="Agotado","🔴 Agotado — reabastece",IF($K134="Stock bajo","🟠 Stock bajo","✅ Ok"))))</f>
      </c>
    </row>
    <row r="135">
      <c r="A135" s="20"/>
      <c r="B135" s="20"/>
      <c r="C135" s="20"/>
      <c r="D135" s="20"/>
      <c r="E135" s="21"/>
      <c r="F135" s="16">
        <f>IF($A135="","",IFERROR(SUMIF('Compras'!$B:$B,$A135,'Compras'!$F:$F)/SUMIF('Compras'!$B:$B,$A135,'Compras'!$D:$D),0))</f>
      </c>
      <c r="G135" s="17">
        <f>IF($A135="","",SUMIF('Compras'!$B:$B,$A135,'Compras'!$D:$D)+SUMIF('Traslados'!$H:$H,$A135&amp;"|Casa",'Traslados'!$D:$D)-SUMIF('Traslados'!$G:$G,$A135&amp;"|Casa",'Traslados'!$D:$D)-SUMIF('Ventas'!$M:$M,$A135&amp;"|Casa",'Ventas'!$F:$F)+SUMIF('Ajustes'!$H:$H,$A135&amp;"|Casa",'Ajustes'!$D:$D))</f>
      </c>
      <c r="H135" s="17">
        <f>IF($A135="","",SUMIF('Traslados'!$H:$H,$A135&amp;"|Mercado Libre",'Traslados'!$D:$D)-SUMIF('Traslados'!$G:$G,$A135&amp;"|Mercado Libre",'Traslados'!$D:$D)-SUMIF('Ventas'!$M:$M,$A135&amp;"|Mercado Libre",'Ventas'!$F:$F)+SUMIF('Ajustes'!$H:$H,$A135&amp;"|Mercado Libre",'Ajustes'!$D:$D))</f>
      </c>
      <c r="I135" s="17">
        <f>IF($A135="","",$G135+$H135)</f>
      </c>
      <c r="J135" s="16">
        <f>IF($A135="","",$I135*$F135)</f>
      </c>
      <c r="K135" s="19">
        <f>IF($A135="","",IF($I135&lt;=0,"Agotado",IF($I135&lt;=$E135,"Stock bajo","Disponible")))</f>
      </c>
      <c r="L135" s="17">
        <f>IF($A135="","",IFERROR(VLOOKUP($C135,'Config'!$D$2:$E$30,2,FALSE),0))</f>
      </c>
      <c r="M135" s="20"/>
      <c r="N135" s="22"/>
      <c r="O135" s="22"/>
      <c r="P135" s="17">
        <f>IF(OR($A135="",$D135&lt;&gt;"Activo"),"",SUMPRODUCT(($C$2:$C$201=$C135)*($D$2:$D$201="Activo")*(($S$2:$S$201&lt;$S135)+(($S$2:$S$201=$S135)*($B$2:$B$201&lt;$B135))))+1)</f>
      </c>
      <c r="Q135" s="19">
        <f>IF($P135="","",$C135&amp;"|"&amp;$P135)</f>
      </c>
      <c r="R135" s="20"/>
      <c r="S135" s="17">
        <f>IF($A135="","",IFERROR(VALUE(TRIM(LEFT($R135,FIND("x",LOWER($R135))-1)))*VALUE(TRIM(MID($R135,FIND("x",LOWER($R135))+1,20))),0))</f>
      </c>
      <c r="T135" s="17">
        <f>IF(OR($A135="",$D135&lt;&gt;"Activo"),"",SUMPRODUCT(($D$2:$D$201="Activo")*(($C$2:$C$201&lt;$C135)+(($C$2:$C$201=$C135)*($S$2:$S$201&lt;$S135))+(($C$2:$C$201=$C135)*($S$2:$S$201=$S135)*($B$2:$B$201&lt;$B135))))+1)</f>
      </c>
      <c r="U135" s="19">
        <f>IF($T135="","","TODAS|"&amp;$T135)</f>
      </c>
      <c r="V135" s="14">
        <f>IF($A135="","",IFERROR(IF(COUNTIF('Compras'!$B:$B,$A135)=0,"",MINIFS('Compras'!$A:$A,'Compras'!$B:$B,$A135)),""))</f>
      </c>
      <c r="W135" s="17">
        <f>IF(OR($A135="",$V135=""),"",TODAY()-$V135)</f>
      </c>
      <c r="X135" s="17">
        <f>IF($A135="","",SUMIF('Ventas'!$D:$D,$A135,'Ventas'!$F:$F))</f>
      </c>
      <c r="Y135" s="19">
        <f>IF($A135="","",IF(AND($X135&gt;=3,$W135&lt;&gt;"",$W135&lt;=15),"🔥 Se vende rápido — REABASTECE",IF($K135="Agotado","🔴 Agotado — reabastece",IF($K135="Stock bajo","🟠 Stock bajo","✅ Ok"))))</f>
      </c>
    </row>
    <row r="136">
      <c r="A136" s="20"/>
      <c r="B136" s="20"/>
      <c r="C136" s="20"/>
      <c r="D136" s="20"/>
      <c r="E136" s="21"/>
      <c r="F136" s="16">
        <f>IF($A136="","",IFERROR(SUMIF('Compras'!$B:$B,$A136,'Compras'!$F:$F)/SUMIF('Compras'!$B:$B,$A136,'Compras'!$D:$D),0))</f>
      </c>
      <c r="G136" s="17">
        <f>IF($A136="","",SUMIF('Compras'!$B:$B,$A136,'Compras'!$D:$D)+SUMIF('Traslados'!$H:$H,$A136&amp;"|Casa",'Traslados'!$D:$D)-SUMIF('Traslados'!$G:$G,$A136&amp;"|Casa",'Traslados'!$D:$D)-SUMIF('Ventas'!$M:$M,$A136&amp;"|Casa",'Ventas'!$F:$F)+SUMIF('Ajustes'!$H:$H,$A136&amp;"|Casa",'Ajustes'!$D:$D))</f>
      </c>
      <c r="H136" s="17">
        <f>IF($A136="","",SUMIF('Traslados'!$H:$H,$A136&amp;"|Mercado Libre",'Traslados'!$D:$D)-SUMIF('Traslados'!$G:$G,$A136&amp;"|Mercado Libre",'Traslados'!$D:$D)-SUMIF('Ventas'!$M:$M,$A136&amp;"|Mercado Libre",'Ventas'!$F:$F)+SUMIF('Ajustes'!$H:$H,$A136&amp;"|Mercado Libre",'Ajustes'!$D:$D))</f>
      </c>
      <c r="I136" s="17">
        <f>IF($A136="","",$G136+$H136)</f>
      </c>
      <c r="J136" s="16">
        <f>IF($A136="","",$I136*$F136)</f>
      </c>
      <c r="K136" s="19">
        <f>IF($A136="","",IF($I136&lt;=0,"Agotado",IF($I136&lt;=$E136,"Stock bajo","Disponible")))</f>
      </c>
      <c r="L136" s="17">
        <f>IF($A136="","",IFERROR(VLOOKUP($C136,'Config'!$D$2:$E$30,2,FALSE),0))</f>
      </c>
      <c r="M136" s="20"/>
      <c r="N136" s="22"/>
      <c r="O136" s="22"/>
      <c r="P136" s="17">
        <f>IF(OR($A136="",$D136&lt;&gt;"Activo"),"",SUMPRODUCT(($C$2:$C$201=$C136)*($D$2:$D$201="Activo")*(($S$2:$S$201&lt;$S136)+(($S$2:$S$201=$S136)*($B$2:$B$201&lt;$B136))))+1)</f>
      </c>
      <c r="Q136" s="19">
        <f>IF($P136="","",$C136&amp;"|"&amp;$P136)</f>
      </c>
      <c r="R136" s="20"/>
      <c r="S136" s="17">
        <f>IF($A136="","",IFERROR(VALUE(TRIM(LEFT($R136,FIND("x",LOWER($R136))-1)))*VALUE(TRIM(MID($R136,FIND("x",LOWER($R136))+1,20))),0))</f>
      </c>
      <c r="T136" s="17">
        <f>IF(OR($A136="",$D136&lt;&gt;"Activo"),"",SUMPRODUCT(($D$2:$D$201="Activo")*(($C$2:$C$201&lt;$C136)+(($C$2:$C$201=$C136)*($S$2:$S$201&lt;$S136))+(($C$2:$C$201=$C136)*($S$2:$S$201=$S136)*($B$2:$B$201&lt;$B136))))+1)</f>
      </c>
      <c r="U136" s="19">
        <f>IF($T136="","","TODAS|"&amp;$T136)</f>
      </c>
      <c r="V136" s="14">
        <f>IF($A136="","",IFERROR(IF(COUNTIF('Compras'!$B:$B,$A136)=0,"",MINIFS('Compras'!$A:$A,'Compras'!$B:$B,$A136)),""))</f>
      </c>
      <c r="W136" s="17">
        <f>IF(OR($A136="",$V136=""),"",TODAY()-$V136)</f>
      </c>
      <c r="X136" s="17">
        <f>IF($A136="","",SUMIF('Ventas'!$D:$D,$A136,'Ventas'!$F:$F))</f>
      </c>
      <c r="Y136" s="19">
        <f>IF($A136="","",IF(AND($X136&gt;=3,$W136&lt;&gt;"",$W136&lt;=15),"🔥 Se vende rápido — REABASTECE",IF($K136="Agotado","🔴 Agotado — reabastece",IF($K136="Stock bajo","🟠 Stock bajo","✅ Ok"))))</f>
      </c>
    </row>
    <row r="137">
      <c r="A137" s="20"/>
      <c r="B137" s="20"/>
      <c r="C137" s="20"/>
      <c r="D137" s="20"/>
      <c r="E137" s="21"/>
      <c r="F137" s="16">
        <f>IF($A137="","",IFERROR(SUMIF('Compras'!$B:$B,$A137,'Compras'!$F:$F)/SUMIF('Compras'!$B:$B,$A137,'Compras'!$D:$D),0))</f>
      </c>
      <c r="G137" s="17">
        <f>IF($A137="","",SUMIF('Compras'!$B:$B,$A137,'Compras'!$D:$D)+SUMIF('Traslados'!$H:$H,$A137&amp;"|Casa",'Traslados'!$D:$D)-SUMIF('Traslados'!$G:$G,$A137&amp;"|Casa",'Traslados'!$D:$D)-SUMIF('Ventas'!$M:$M,$A137&amp;"|Casa",'Ventas'!$F:$F)+SUMIF('Ajustes'!$H:$H,$A137&amp;"|Casa",'Ajustes'!$D:$D))</f>
      </c>
      <c r="H137" s="17">
        <f>IF($A137="","",SUMIF('Traslados'!$H:$H,$A137&amp;"|Mercado Libre",'Traslados'!$D:$D)-SUMIF('Traslados'!$G:$G,$A137&amp;"|Mercado Libre",'Traslados'!$D:$D)-SUMIF('Ventas'!$M:$M,$A137&amp;"|Mercado Libre",'Ventas'!$F:$F)+SUMIF('Ajustes'!$H:$H,$A137&amp;"|Mercado Libre",'Ajustes'!$D:$D))</f>
      </c>
      <c r="I137" s="17">
        <f>IF($A137="","",$G137+$H137)</f>
      </c>
      <c r="J137" s="16">
        <f>IF($A137="","",$I137*$F137)</f>
      </c>
      <c r="K137" s="19">
        <f>IF($A137="","",IF($I137&lt;=0,"Agotado",IF($I137&lt;=$E137,"Stock bajo","Disponible")))</f>
      </c>
      <c r="L137" s="17">
        <f>IF($A137="","",IFERROR(VLOOKUP($C137,'Config'!$D$2:$E$30,2,FALSE),0))</f>
      </c>
      <c r="M137" s="20"/>
      <c r="N137" s="22"/>
      <c r="O137" s="22"/>
      <c r="P137" s="17">
        <f>IF(OR($A137="",$D137&lt;&gt;"Activo"),"",SUMPRODUCT(($C$2:$C$201=$C137)*($D$2:$D$201="Activo")*(($S$2:$S$201&lt;$S137)+(($S$2:$S$201=$S137)*($B$2:$B$201&lt;$B137))))+1)</f>
      </c>
      <c r="Q137" s="19">
        <f>IF($P137="","",$C137&amp;"|"&amp;$P137)</f>
      </c>
      <c r="R137" s="20"/>
      <c r="S137" s="17">
        <f>IF($A137="","",IFERROR(VALUE(TRIM(LEFT($R137,FIND("x",LOWER($R137))-1)))*VALUE(TRIM(MID($R137,FIND("x",LOWER($R137))+1,20))),0))</f>
      </c>
      <c r="T137" s="17">
        <f>IF(OR($A137="",$D137&lt;&gt;"Activo"),"",SUMPRODUCT(($D$2:$D$201="Activo")*(($C$2:$C$201&lt;$C137)+(($C$2:$C$201=$C137)*($S$2:$S$201&lt;$S137))+(($C$2:$C$201=$C137)*($S$2:$S$201=$S137)*($B$2:$B$201&lt;$B137))))+1)</f>
      </c>
      <c r="U137" s="19">
        <f>IF($T137="","","TODAS|"&amp;$T137)</f>
      </c>
      <c r="V137" s="14">
        <f>IF($A137="","",IFERROR(IF(COUNTIF('Compras'!$B:$B,$A137)=0,"",MINIFS('Compras'!$A:$A,'Compras'!$B:$B,$A137)),""))</f>
      </c>
      <c r="W137" s="17">
        <f>IF(OR($A137="",$V137=""),"",TODAY()-$V137)</f>
      </c>
      <c r="X137" s="17">
        <f>IF($A137="","",SUMIF('Ventas'!$D:$D,$A137,'Ventas'!$F:$F))</f>
      </c>
      <c r="Y137" s="19">
        <f>IF($A137="","",IF(AND($X137&gt;=3,$W137&lt;&gt;"",$W137&lt;=15),"🔥 Se vende rápido — REABASTECE",IF($K137="Agotado","🔴 Agotado — reabastece",IF($K137="Stock bajo","🟠 Stock bajo","✅ Ok"))))</f>
      </c>
    </row>
    <row r="138">
      <c r="A138" s="20"/>
      <c r="B138" s="20"/>
      <c r="C138" s="20"/>
      <c r="D138" s="20"/>
      <c r="E138" s="21"/>
      <c r="F138" s="16">
        <f>IF($A138="","",IFERROR(SUMIF('Compras'!$B:$B,$A138,'Compras'!$F:$F)/SUMIF('Compras'!$B:$B,$A138,'Compras'!$D:$D),0))</f>
      </c>
      <c r="G138" s="17">
        <f>IF($A138="","",SUMIF('Compras'!$B:$B,$A138,'Compras'!$D:$D)+SUMIF('Traslados'!$H:$H,$A138&amp;"|Casa",'Traslados'!$D:$D)-SUMIF('Traslados'!$G:$G,$A138&amp;"|Casa",'Traslados'!$D:$D)-SUMIF('Ventas'!$M:$M,$A138&amp;"|Casa",'Ventas'!$F:$F)+SUMIF('Ajustes'!$H:$H,$A138&amp;"|Casa",'Ajustes'!$D:$D))</f>
      </c>
      <c r="H138" s="17">
        <f>IF($A138="","",SUMIF('Traslados'!$H:$H,$A138&amp;"|Mercado Libre",'Traslados'!$D:$D)-SUMIF('Traslados'!$G:$G,$A138&amp;"|Mercado Libre",'Traslados'!$D:$D)-SUMIF('Ventas'!$M:$M,$A138&amp;"|Mercado Libre",'Ventas'!$F:$F)+SUMIF('Ajustes'!$H:$H,$A138&amp;"|Mercado Libre",'Ajustes'!$D:$D))</f>
      </c>
      <c r="I138" s="17">
        <f>IF($A138="","",$G138+$H138)</f>
      </c>
      <c r="J138" s="16">
        <f>IF($A138="","",$I138*$F138)</f>
      </c>
      <c r="K138" s="19">
        <f>IF($A138="","",IF($I138&lt;=0,"Agotado",IF($I138&lt;=$E138,"Stock bajo","Disponible")))</f>
      </c>
      <c r="L138" s="17">
        <f>IF($A138="","",IFERROR(VLOOKUP($C138,'Config'!$D$2:$E$30,2,FALSE),0))</f>
      </c>
      <c r="M138" s="20"/>
      <c r="N138" s="22"/>
      <c r="O138" s="22"/>
      <c r="P138" s="17">
        <f>IF(OR($A138="",$D138&lt;&gt;"Activo"),"",SUMPRODUCT(($C$2:$C$201=$C138)*($D$2:$D$201="Activo")*(($S$2:$S$201&lt;$S138)+(($S$2:$S$201=$S138)*($B$2:$B$201&lt;$B138))))+1)</f>
      </c>
      <c r="Q138" s="19">
        <f>IF($P138="","",$C138&amp;"|"&amp;$P138)</f>
      </c>
      <c r="R138" s="20"/>
      <c r="S138" s="17">
        <f>IF($A138="","",IFERROR(VALUE(TRIM(LEFT($R138,FIND("x",LOWER($R138))-1)))*VALUE(TRIM(MID($R138,FIND("x",LOWER($R138))+1,20))),0))</f>
      </c>
      <c r="T138" s="17">
        <f>IF(OR($A138="",$D138&lt;&gt;"Activo"),"",SUMPRODUCT(($D$2:$D$201="Activo")*(($C$2:$C$201&lt;$C138)+(($C$2:$C$201=$C138)*($S$2:$S$201&lt;$S138))+(($C$2:$C$201=$C138)*($S$2:$S$201=$S138)*($B$2:$B$201&lt;$B138))))+1)</f>
      </c>
      <c r="U138" s="19">
        <f>IF($T138="","","TODAS|"&amp;$T138)</f>
      </c>
      <c r="V138" s="14">
        <f>IF($A138="","",IFERROR(IF(COUNTIF('Compras'!$B:$B,$A138)=0,"",MINIFS('Compras'!$A:$A,'Compras'!$B:$B,$A138)),""))</f>
      </c>
      <c r="W138" s="17">
        <f>IF(OR($A138="",$V138=""),"",TODAY()-$V138)</f>
      </c>
      <c r="X138" s="17">
        <f>IF($A138="","",SUMIF('Ventas'!$D:$D,$A138,'Ventas'!$F:$F))</f>
      </c>
      <c r="Y138" s="19">
        <f>IF($A138="","",IF(AND($X138&gt;=3,$W138&lt;&gt;"",$W138&lt;=15),"🔥 Se vende rápido — REABASTECE",IF($K138="Agotado","🔴 Agotado — reabastece",IF($K138="Stock bajo","🟠 Stock bajo","✅ Ok"))))</f>
      </c>
    </row>
    <row r="139">
      <c r="A139" s="20"/>
      <c r="B139" s="20"/>
      <c r="C139" s="20"/>
      <c r="D139" s="20"/>
      <c r="E139" s="21"/>
      <c r="F139" s="16">
        <f>IF($A139="","",IFERROR(SUMIF('Compras'!$B:$B,$A139,'Compras'!$F:$F)/SUMIF('Compras'!$B:$B,$A139,'Compras'!$D:$D),0))</f>
      </c>
      <c r="G139" s="17">
        <f>IF($A139="","",SUMIF('Compras'!$B:$B,$A139,'Compras'!$D:$D)+SUMIF('Traslados'!$H:$H,$A139&amp;"|Casa",'Traslados'!$D:$D)-SUMIF('Traslados'!$G:$G,$A139&amp;"|Casa",'Traslados'!$D:$D)-SUMIF('Ventas'!$M:$M,$A139&amp;"|Casa",'Ventas'!$F:$F)+SUMIF('Ajustes'!$H:$H,$A139&amp;"|Casa",'Ajustes'!$D:$D))</f>
      </c>
      <c r="H139" s="17">
        <f>IF($A139="","",SUMIF('Traslados'!$H:$H,$A139&amp;"|Mercado Libre",'Traslados'!$D:$D)-SUMIF('Traslados'!$G:$G,$A139&amp;"|Mercado Libre",'Traslados'!$D:$D)-SUMIF('Ventas'!$M:$M,$A139&amp;"|Mercado Libre",'Ventas'!$F:$F)+SUMIF('Ajustes'!$H:$H,$A139&amp;"|Mercado Libre",'Ajustes'!$D:$D))</f>
      </c>
      <c r="I139" s="17">
        <f>IF($A139="","",$G139+$H139)</f>
      </c>
      <c r="J139" s="16">
        <f>IF($A139="","",$I139*$F139)</f>
      </c>
      <c r="K139" s="19">
        <f>IF($A139="","",IF($I139&lt;=0,"Agotado",IF($I139&lt;=$E139,"Stock bajo","Disponible")))</f>
      </c>
      <c r="L139" s="17">
        <f>IF($A139="","",IFERROR(VLOOKUP($C139,'Config'!$D$2:$E$30,2,FALSE),0))</f>
      </c>
      <c r="M139" s="20"/>
      <c r="N139" s="22"/>
      <c r="O139" s="22"/>
      <c r="P139" s="17">
        <f>IF(OR($A139="",$D139&lt;&gt;"Activo"),"",SUMPRODUCT(($C$2:$C$201=$C139)*($D$2:$D$201="Activo")*(($S$2:$S$201&lt;$S139)+(($S$2:$S$201=$S139)*($B$2:$B$201&lt;$B139))))+1)</f>
      </c>
      <c r="Q139" s="19">
        <f>IF($P139="","",$C139&amp;"|"&amp;$P139)</f>
      </c>
      <c r="R139" s="20"/>
      <c r="S139" s="17">
        <f>IF($A139="","",IFERROR(VALUE(TRIM(LEFT($R139,FIND("x",LOWER($R139))-1)))*VALUE(TRIM(MID($R139,FIND("x",LOWER($R139))+1,20))),0))</f>
      </c>
      <c r="T139" s="17">
        <f>IF(OR($A139="",$D139&lt;&gt;"Activo"),"",SUMPRODUCT(($D$2:$D$201="Activo")*(($C$2:$C$201&lt;$C139)+(($C$2:$C$201=$C139)*($S$2:$S$201&lt;$S139))+(($C$2:$C$201=$C139)*($S$2:$S$201=$S139)*($B$2:$B$201&lt;$B139))))+1)</f>
      </c>
      <c r="U139" s="19">
        <f>IF($T139="","","TODAS|"&amp;$T139)</f>
      </c>
      <c r="V139" s="14">
        <f>IF($A139="","",IFERROR(IF(COUNTIF('Compras'!$B:$B,$A139)=0,"",MINIFS('Compras'!$A:$A,'Compras'!$B:$B,$A139)),""))</f>
      </c>
      <c r="W139" s="17">
        <f>IF(OR($A139="",$V139=""),"",TODAY()-$V139)</f>
      </c>
      <c r="X139" s="17">
        <f>IF($A139="","",SUMIF('Ventas'!$D:$D,$A139,'Ventas'!$F:$F))</f>
      </c>
      <c r="Y139" s="19">
        <f>IF($A139="","",IF(AND($X139&gt;=3,$W139&lt;&gt;"",$W139&lt;=15),"🔥 Se vende rápido — REABASTECE",IF($K139="Agotado","🔴 Agotado — reabastece",IF($K139="Stock bajo","🟠 Stock bajo","✅ Ok"))))</f>
      </c>
    </row>
    <row r="140">
      <c r="A140" s="20"/>
      <c r="B140" s="20"/>
      <c r="C140" s="20"/>
      <c r="D140" s="20"/>
      <c r="E140" s="21"/>
      <c r="F140" s="16">
        <f>IF($A140="","",IFERROR(SUMIF('Compras'!$B:$B,$A140,'Compras'!$F:$F)/SUMIF('Compras'!$B:$B,$A140,'Compras'!$D:$D),0))</f>
      </c>
      <c r="G140" s="17">
        <f>IF($A140="","",SUMIF('Compras'!$B:$B,$A140,'Compras'!$D:$D)+SUMIF('Traslados'!$H:$H,$A140&amp;"|Casa",'Traslados'!$D:$D)-SUMIF('Traslados'!$G:$G,$A140&amp;"|Casa",'Traslados'!$D:$D)-SUMIF('Ventas'!$M:$M,$A140&amp;"|Casa",'Ventas'!$F:$F)+SUMIF('Ajustes'!$H:$H,$A140&amp;"|Casa",'Ajustes'!$D:$D))</f>
      </c>
      <c r="H140" s="17">
        <f>IF($A140="","",SUMIF('Traslados'!$H:$H,$A140&amp;"|Mercado Libre",'Traslados'!$D:$D)-SUMIF('Traslados'!$G:$G,$A140&amp;"|Mercado Libre",'Traslados'!$D:$D)-SUMIF('Ventas'!$M:$M,$A140&amp;"|Mercado Libre",'Ventas'!$F:$F)+SUMIF('Ajustes'!$H:$H,$A140&amp;"|Mercado Libre",'Ajustes'!$D:$D))</f>
      </c>
      <c r="I140" s="17">
        <f>IF($A140="","",$G140+$H140)</f>
      </c>
      <c r="J140" s="16">
        <f>IF($A140="","",$I140*$F140)</f>
      </c>
      <c r="K140" s="19">
        <f>IF($A140="","",IF($I140&lt;=0,"Agotado",IF($I140&lt;=$E140,"Stock bajo","Disponible")))</f>
      </c>
      <c r="L140" s="17">
        <f>IF($A140="","",IFERROR(VLOOKUP($C140,'Config'!$D$2:$E$30,2,FALSE),0))</f>
      </c>
      <c r="M140" s="20"/>
      <c r="N140" s="22"/>
      <c r="O140" s="22"/>
      <c r="P140" s="17">
        <f>IF(OR($A140="",$D140&lt;&gt;"Activo"),"",SUMPRODUCT(($C$2:$C$201=$C140)*($D$2:$D$201="Activo")*(($S$2:$S$201&lt;$S140)+(($S$2:$S$201=$S140)*($B$2:$B$201&lt;$B140))))+1)</f>
      </c>
      <c r="Q140" s="19">
        <f>IF($P140="","",$C140&amp;"|"&amp;$P140)</f>
      </c>
      <c r="R140" s="20"/>
      <c r="S140" s="17">
        <f>IF($A140="","",IFERROR(VALUE(TRIM(LEFT($R140,FIND("x",LOWER($R140))-1)))*VALUE(TRIM(MID($R140,FIND("x",LOWER($R140))+1,20))),0))</f>
      </c>
      <c r="T140" s="17">
        <f>IF(OR($A140="",$D140&lt;&gt;"Activo"),"",SUMPRODUCT(($D$2:$D$201="Activo")*(($C$2:$C$201&lt;$C140)+(($C$2:$C$201=$C140)*($S$2:$S$201&lt;$S140))+(($C$2:$C$201=$C140)*($S$2:$S$201=$S140)*($B$2:$B$201&lt;$B140))))+1)</f>
      </c>
      <c r="U140" s="19">
        <f>IF($T140="","","TODAS|"&amp;$T140)</f>
      </c>
      <c r="V140" s="14">
        <f>IF($A140="","",IFERROR(IF(COUNTIF('Compras'!$B:$B,$A140)=0,"",MINIFS('Compras'!$A:$A,'Compras'!$B:$B,$A140)),""))</f>
      </c>
      <c r="W140" s="17">
        <f>IF(OR($A140="",$V140=""),"",TODAY()-$V140)</f>
      </c>
      <c r="X140" s="17">
        <f>IF($A140="","",SUMIF('Ventas'!$D:$D,$A140,'Ventas'!$F:$F))</f>
      </c>
      <c r="Y140" s="19">
        <f>IF($A140="","",IF(AND($X140&gt;=3,$W140&lt;&gt;"",$W140&lt;=15),"🔥 Se vende rápido — REABASTECE",IF($K140="Agotado","🔴 Agotado — reabastece",IF($K140="Stock bajo","🟠 Stock bajo","✅ Ok"))))</f>
      </c>
    </row>
    <row r="141">
      <c r="A141" s="20"/>
      <c r="B141" s="20"/>
      <c r="C141" s="20"/>
      <c r="D141" s="20"/>
      <c r="E141" s="21"/>
      <c r="F141" s="16">
        <f>IF($A141="","",IFERROR(SUMIF('Compras'!$B:$B,$A141,'Compras'!$F:$F)/SUMIF('Compras'!$B:$B,$A141,'Compras'!$D:$D),0))</f>
      </c>
      <c r="G141" s="17">
        <f>IF($A141="","",SUMIF('Compras'!$B:$B,$A141,'Compras'!$D:$D)+SUMIF('Traslados'!$H:$H,$A141&amp;"|Casa",'Traslados'!$D:$D)-SUMIF('Traslados'!$G:$G,$A141&amp;"|Casa",'Traslados'!$D:$D)-SUMIF('Ventas'!$M:$M,$A141&amp;"|Casa",'Ventas'!$F:$F)+SUMIF('Ajustes'!$H:$H,$A141&amp;"|Casa",'Ajustes'!$D:$D))</f>
      </c>
      <c r="H141" s="17">
        <f>IF($A141="","",SUMIF('Traslados'!$H:$H,$A141&amp;"|Mercado Libre",'Traslados'!$D:$D)-SUMIF('Traslados'!$G:$G,$A141&amp;"|Mercado Libre",'Traslados'!$D:$D)-SUMIF('Ventas'!$M:$M,$A141&amp;"|Mercado Libre",'Ventas'!$F:$F)+SUMIF('Ajustes'!$H:$H,$A141&amp;"|Mercado Libre",'Ajustes'!$D:$D))</f>
      </c>
      <c r="I141" s="17">
        <f>IF($A141="","",$G141+$H141)</f>
      </c>
      <c r="J141" s="16">
        <f>IF($A141="","",$I141*$F141)</f>
      </c>
      <c r="K141" s="19">
        <f>IF($A141="","",IF($I141&lt;=0,"Agotado",IF($I141&lt;=$E141,"Stock bajo","Disponible")))</f>
      </c>
      <c r="L141" s="17">
        <f>IF($A141="","",IFERROR(VLOOKUP($C141,'Config'!$D$2:$E$30,2,FALSE),0))</f>
      </c>
      <c r="M141" s="20"/>
      <c r="N141" s="22"/>
      <c r="O141" s="22"/>
      <c r="P141" s="17">
        <f>IF(OR($A141="",$D141&lt;&gt;"Activo"),"",SUMPRODUCT(($C$2:$C$201=$C141)*($D$2:$D$201="Activo")*(($S$2:$S$201&lt;$S141)+(($S$2:$S$201=$S141)*($B$2:$B$201&lt;$B141))))+1)</f>
      </c>
      <c r="Q141" s="19">
        <f>IF($P141="","",$C141&amp;"|"&amp;$P141)</f>
      </c>
      <c r="R141" s="20"/>
      <c r="S141" s="17">
        <f>IF($A141="","",IFERROR(VALUE(TRIM(LEFT($R141,FIND("x",LOWER($R141))-1)))*VALUE(TRIM(MID($R141,FIND("x",LOWER($R141))+1,20))),0))</f>
      </c>
      <c r="T141" s="17">
        <f>IF(OR($A141="",$D141&lt;&gt;"Activo"),"",SUMPRODUCT(($D$2:$D$201="Activo")*(($C$2:$C$201&lt;$C141)+(($C$2:$C$201=$C141)*($S$2:$S$201&lt;$S141))+(($C$2:$C$201=$C141)*($S$2:$S$201=$S141)*($B$2:$B$201&lt;$B141))))+1)</f>
      </c>
      <c r="U141" s="19">
        <f>IF($T141="","","TODAS|"&amp;$T141)</f>
      </c>
      <c r="V141" s="14">
        <f>IF($A141="","",IFERROR(IF(COUNTIF('Compras'!$B:$B,$A141)=0,"",MINIFS('Compras'!$A:$A,'Compras'!$B:$B,$A141)),""))</f>
      </c>
      <c r="W141" s="17">
        <f>IF(OR($A141="",$V141=""),"",TODAY()-$V141)</f>
      </c>
      <c r="X141" s="17">
        <f>IF($A141="","",SUMIF('Ventas'!$D:$D,$A141,'Ventas'!$F:$F))</f>
      </c>
      <c r="Y141" s="19">
        <f>IF($A141="","",IF(AND($X141&gt;=3,$W141&lt;&gt;"",$W141&lt;=15),"🔥 Se vende rápido — REABASTECE",IF($K141="Agotado","🔴 Agotado — reabastece",IF($K141="Stock bajo","🟠 Stock bajo","✅ Ok"))))</f>
      </c>
    </row>
    <row r="142">
      <c r="A142" s="20"/>
      <c r="B142" s="20"/>
      <c r="C142" s="20"/>
      <c r="D142" s="20"/>
      <c r="E142" s="21"/>
      <c r="F142" s="16">
        <f>IF($A142="","",IFERROR(SUMIF('Compras'!$B:$B,$A142,'Compras'!$F:$F)/SUMIF('Compras'!$B:$B,$A142,'Compras'!$D:$D),0))</f>
      </c>
      <c r="G142" s="17">
        <f>IF($A142="","",SUMIF('Compras'!$B:$B,$A142,'Compras'!$D:$D)+SUMIF('Traslados'!$H:$H,$A142&amp;"|Casa",'Traslados'!$D:$D)-SUMIF('Traslados'!$G:$G,$A142&amp;"|Casa",'Traslados'!$D:$D)-SUMIF('Ventas'!$M:$M,$A142&amp;"|Casa",'Ventas'!$F:$F)+SUMIF('Ajustes'!$H:$H,$A142&amp;"|Casa",'Ajustes'!$D:$D))</f>
      </c>
      <c r="H142" s="17">
        <f>IF($A142="","",SUMIF('Traslados'!$H:$H,$A142&amp;"|Mercado Libre",'Traslados'!$D:$D)-SUMIF('Traslados'!$G:$G,$A142&amp;"|Mercado Libre",'Traslados'!$D:$D)-SUMIF('Ventas'!$M:$M,$A142&amp;"|Mercado Libre",'Ventas'!$F:$F)+SUMIF('Ajustes'!$H:$H,$A142&amp;"|Mercado Libre",'Ajustes'!$D:$D))</f>
      </c>
      <c r="I142" s="17">
        <f>IF($A142="","",$G142+$H142)</f>
      </c>
      <c r="J142" s="16">
        <f>IF($A142="","",$I142*$F142)</f>
      </c>
      <c r="K142" s="19">
        <f>IF($A142="","",IF($I142&lt;=0,"Agotado",IF($I142&lt;=$E142,"Stock bajo","Disponible")))</f>
      </c>
      <c r="L142" s="17">
        <f>IF($A142="","",IFERROR(VLOOKUP($C142,'Config'!$D$2:$E$30,2,FALSE),0))</f>
      </c>
      <c r="M142" s="20"/>
      <c r="N142" s="22"/>
      <c r="O142" s="22"/>
      <c r="P142" s="17">
        <f>IF(OR($A142="",$D142&lt;&gt;"Activo"),"",SUMPRODUCT(($C$2:$C$201=$C142)*($D$2:$D$201="Activo")*(($S$2:$S$201&lt;$S142)+(($S$2:$S$201=$S142)*($B$2:$B$201&lt;$B142))))+1)</f>
      </c>
      <c r="Q142" s="19">
        <f>IF($P142="","",$C142&amp;"|"&amp;$P142)</f>
      </c>
      <c r="R142" s="20"/>
      <c r="S142" s="17">
        <f>IF($A142="","",IFERROR(VALUE(TRIM(LEFT($R142,FIND("x",LOWER($R142))-1)))*VALUE(TRIM(MID($R142,FIND("x",LOWER($R142))+1,20))),0))</f>
      </c>
      <c r="T142" s="17">
        <f>IF(OR($A142="",$D142&lt;&gt;"Activo"),"",SUMPRODUCT(($D$2:$D$201="Activo")*(($C$2:$C$201&lt;$C142)+(($C$2:$C$201=$C142)*($S$2:$S$201&lt;$S142))+(($C$2:$C$201=$C142)*($S$2:$S$201=$S142)*($B$2:$B$201&lt;$B142))))+1)</f>
      </c>
      <c r="U142" s="19">
        <f>IF($T142="","","TODAS|"&amp;$T142)</f>
      </c>
      <c r="V142" s="14">
        <f>IF($A142="","",IFERROR(IF(COUNTIF('Compras'!$B:$B,$A142)=0,"",MINIFS('Compras'!$A:$A,'Compras'!$B:$B,$A142)),""))</f>
      </c>
      <c r="W142" s="17">
        <f>IF(OR($A142="",$V142=""),"",TODAY()-$V142)</f>
      </c>
      <c r="X142" s="17">
        <f>IF($A142="","",SUMIF('Ventas'!$D:$D,$A142,'Ventas'!$F:$F))</f>
      </c>
      <c r="Y142" s="19">
        <f>IF($A142="","",IF(AND($X142&gt;=3,$W142&lt;&gt;"",$W142&lt;=15),"🔥 Se vende rápido — REABASTECE",IF($K142="Agotado","🔴 Agotado — reabastece",IF($K142="Stock bajo","🟠 Stock bajo","✅ Ok"))))</f>
      </c>
    </row>
    <row r="143">
      <c r="A143" s="20"/>
      <c r="B143" s="20"/>
      <c r="C143" s="20"/>
      <c r="D143" s="20"/>
      <c r="E143" s="21"/>
      <c r="F143" s="16">
        <f>IF($A143="","",IFERROR(SUMIF('Compras'!$B:$B,$A143,'Compras'!$F:$F)/SUMIF('Compras'!$B:$B,$A143,'Compras'!$D:$D),0))</f>
      </c>
      <c r="G143" s="17">
        <f>IF($A143="","",SUMIF('Compras'!$B:$B,$A143,'Compras'!$D:$D)+SUMIF('Traslados'!$H:$H,$A143&amp;"|Casa",'Traslados'!$D:$D)-SUMIF('Traslados'!$G:$G,$A143&amp;"|Casa",'Traslados'!$D:$D)-SUMIF('Ventas'!$M:$M,$A143&amp;"|Casa",'Ventas'!$F:$F)+SUMIF('Ajustes'!$H:$H,$A143&amp;"|Casa",'Ajustes'!$D:$D))</f>
      </c>
      <c r="H143" s="17">
        <f>IF($A143="","",SUMIF('Traslados'!$H:$H,$A143&amp;"|Mercado Libre",'Traslados'!$D:$D)-SUMIF('Traslados'!$G:$G,$A143&amp;"|Mercado Libre",'Traslados'!$D:$D)-SUMIF('Ventas'!$M:$M,$A143&amp;"|Mercado Libre",'Ventas'!$F:$F)+SUMIF('Ajustes'!$H:$H,$A143&amp;"|Mercado Libre",'Ajustes'!$D:$D))</f>
      </c>
      <c r="I143" s="17">
        <f>IF($A143="","",$G143+$H143)</f>
      </c>
      <c r="J143" s="16">
        <f>IF($A143="","",$I143*$F143)</f>
      </c>
      <c r="K143" s="19">
        <f>IF($A143="","",IF($I143&lt;=0,"Agotado",IF($I143&lt;=$E143,"Stock bajo","Disponible")))</f>
      </c>
      <c r="L143" s="17">
        <f>IF($A143="","",IFERROR(VLOOKUP($C143,'Config'!$D$2:$E$30,2,FALSE),0))</f>
      </c>
      <c r="M143" s="20"/>
      <c r="N143" s="22"/>
      <c r="O143" s="22"/>
      <c r="P143" s="17">
        <f>IF(OR($A143="",$D143&lt;&gt;"Activo"),"",SUMPRODUCT(($C$2:$C$201=$C143)*($D$2:$D$201="Activo")*(($S$2:$S$201&lt;$S143)+(($S$2:$S$201=$S143)*($B$2:$B$201&lt;$B143))))+1)</f>
      </c>
      <c r="Q143" s="19">
        <f>IF($P143="","",$C143&amp;"|"&amp;$P143)</f>
      </c>
      <c r="R143" s="20"/>
      <c r="S143" s="17">
        <f>IF($A143="","",IFERROR(VALUE(TRIM(LEFT($R143,FIND("x",LOWER($R143))-1)))*VALUE(TRIM(MID($R143,FIND("x",LOWER($R143))+1,20))),0))</f>
      </c>
      <c r="T143" s="17">
        <f>IF(OR($A143="",$D143&lt;&gt;"Activo"),"",SUMPRODUCT(($D$2:$D$201="Activo")*(($C$2:$C$201&lt;$C143)+(($C$2:$C$201=$C143)*($S$2:$S$201&lt;$S143))+(($C$2:$C$201=$C143)*($S$2:$S$201=$S143)*($B$2:$B$201&lt;$B143))))+1)</f>
      </c>
      <c r="U143" s="19">
        <f>IF($T143="","","TODAS|"&amp;$T143)</f>
      </c>
      <c r="V143" s="14">
        <f>IF($A143="","",IFERROR(IF(COUNTIF('Compras'!$B:$B,$A143)=0,"",MINIFS('Compras'!$A:$A,'Compras'!$B:$B,$A143)),""))</f>
      </c>
      <c r="W143" s="17">
        <f>IF(OR($A143="",$V143=""),"",TODAY()-$V143)</f>
      </c>
      <c r="X143" s="17">
        <f>IF($A143="","",SUMIF('Ventas'!$D:$D,$A143,'Ventas'!$F:$F))</f>
      </c>
      <c r="Y143" s="19">
        <f>IF($A143="","",IF(AND($X143&gt;=3,$W143&lt;&gt;"",$W143&lt;=15),"🔥 Se vende rápido — REABASTECE",IF($K143="Agotado","🔴 Agotado — reabastece",IF($K143="Stock bajo","🟠 Stock bajo","✅ Ok"))))</f>
      </c>
    </row>
    <row r="144">
      <c r="A144" s="20"/>
      <c r="B144" s="20"/>
      <c r="C144" s="20"/>
      <c r="D144" s="20"/>
      <c r="E144" s="21"/>
      <c r="F144" s="16">
        <f>IF($A144="","",IFERROR(SUMIF('Compras'!$B:$B,$A144,'Compras'!$F:$F)/SUMIF('Compras'!$B:$B,$A144,'Compras'!$D:$D),0))</f>
      </c>
      <c r="G144" s="17">
        <f>IF($A144="","",SUMIF('Compras'!$B:$B,$A144,'Compras'!$D:$D)+SUMIF('Traslados'!$H:$H,$A144&amp;"|Casa",'Traslados'!$D:$D)-SUMIF('Traslados'!$G:$G,$A144&amp;"|Casa",'Traslados'!$D:$D)-SUMIF('Ventas'!$M:$M,$A144&amp;"|Casa",'Ventas'!$F:$F)+SUMIF('Ajustes'!$H:$H,$A144&amp;"|Casa",'Ajustes'!$D:$D))</f>
      </c>
      <c r="H144" s="17">
        <f>IF($A144="","",SUMIF('Traslados'!$H:$H,$A144&amp;"|Mercado Libre",'Traslados'!$D:$D)-SUMIF('Traslados'!$G:$G,$A144&amp;"|Mercado Libre",'Traslados'!$D:$D)-SUMIF('Ventas'!$M:$M,$A144&amp;"|Mercado Libre",'Ventas'!$F:$F)+SUMIF('Ajustes'!$H:$H,$A144&amp;"|Mercado Libre",'Ajustes'!$D:$D))</f>
      </c>
      <c r="I144" s="17">
        <f>IF($A144="","",$G144+$H144)</f>
      </c>
      <c r="J144" s="16">
        <f>IF($A144="","",$I144*$F144)</f>
      </c>
      <c r="K144" s="19">
        <f>IF($A144="","",IF($I144&lt;=0,"Agotado",IF($I144&lt;=$E144,"Stock bajo","Disponible")))</f>
      </c>
      <c r="L144" s="17">
        <f>IF($A144="","",IFERROR(VLOOKUP($C144,'Config'!$D$2:$E$30,2,FALSE),0))</f>
      </c>
      <c r="M144" s="20"/>
      <c r="N144" s="22"/>
      <c r="O144" s="22"/>
      <c r="P144" s="17">
        <f>IF(OR($A144="",$D144&lt;&gt;"Activo"),"",SUMPRODUCT(($C$2:$C$201=$C144)*($D$2:$D$201="Activo")*(($S$2:$S$201&lt;$S144)+(($S$2:$S$201=$S144)*($B$2:$B$201&lt;$B144))))+1)</f>
      </c>
      <c r="Q144" s="19">
        <f>IF($P144="","",$C144&amp;"|"&amp;$P144)</f>
      </c>
      <c r="R144" s="20"/>
      <c r="S144" s="17">
        <f>IF($A144="","",IFERROR(VALUE(TRIM(LEFT($R144,FIND("x",LOWER($R144))-1)))*VALUE(TRIM(MID($R144,FIND("x",LOWER($R144))+1,20))),0))</f>
      </c>
      <c r="T144" s="17">
        <f>IF(OR($A144="",$D144&lt;&gt;"Activo"),"",SUMPRODUCT(($D$2:$D$201="Activo")*(($C$2:$C$201&lt;$C144)+(($C$2:$C$201=$C144)*($S$2:$S$201&lt;$S144))+(($C$2:$C$201=$C144)*($S$2:$S$201=$S144)*($B$2:$B$201&lt;$B144))))+1)</f>
      </c>
      <c r="U144" s="19">
        <f>IF($T144="","","TODAS|"&amp;$T144)</f>
      </c>
      <c r="V144" s="14">
        <f>IF($A144="","",IFERROR(IF(COUNTIF('Compras'!$B:$B,$A144)=0,"",MINIFS('Compras'!$A:$A,'Compras'!$B:$B,$A144)),""))</f>
      </c>
      <c r="W144" s="17">
        <f>IF(OR($A144="",$V144=""),"",TODAY()-$V144)</f>
      </c>
      <c r="X144" s="17">
        <f>IF($A144="","",SUMIF('Ventas'!$D:$D,$A144,'Ventas'!$F:$F))</f>
      </c>
      <c r="Y144" s="19">
        <f>IF($A144="","",IF(AND($X144&gt;=3,$W144&lt;&gt;"",$W144&lt;=15),"🔥 Se vende rápido — REABASTECE",IF($K144="Agotado","🔴 Agotado — reabastece",IF($K144="Stock bajo","🟠 Stock bajo","✅ Ok"))))</f>
      </c>
    </row>
    <row r="145">
      <c r="A145" s="20"/>
      <c r="B145" s="20"/>
      <c r="C145" s="20"/>
      <c r="D145" s="20"/>
      <c r="E145" s="21"/>
      <c r="F145" s="16">
        <f>IF($A145="","",IFERROR(SUMIF('Compras'!$B:$B,$A145,'Compras'!$F:$F)/SUMIF('Compras'!$B:$B,$A145,'Compras'!$D:$D),0))</f>
      </c>
      <c r="G145" s="17">
        <f>IF($A145="","",SUMIF('Compras'!$B:$B,$A145,'Compras'!$D:$D)+SUMIF('Traslados'!$H:$H,$A145&amp;"|Casa",'Traslados'!$D:$D)-SUMIF('Traslados'!$G:$G,$A145&amp;"|Casa",'Traslados'!$D:$D)-SUMIF('Ventas'!$M:$M,$A145&amp;"|Casa",'Ventas'!$F:$F)+SUMIF('Ajustes'!$H:$H,$A145&amp;"|Casa",'Ajustes'!$D:$D))</f>
      </c>
      <c r="H145" s="17">
        <f>IF($A145="","",SUMIF('Traslados'!$H:$H,$A145&amp;"|Mercado Libre",'Traslados'!$D:$D)-SUMIF('Traslados'!$G:$G,$A145&amp;"|Mercado Libre",'Traslados'!$D:$D)-SUMIF('Ventas'!$M:$M,$A145&amp;"|Mercado Libre",'Ventas'!$F:$F)+SUMIF('Ajustes'!$H:$H,$A145&amp;"|Mercado Libre",'Ajustes'!$D:$D))</f>
      </c>
      <c r="I145" s="17">
        <f>IF($A145="","",$G145+$H145)</f>
      </c>
      <c r="J145" s="16">
        <f>IF($A145="","",$I145*$F145)</f>
      </c>
      <c r="K145" s="19">
        <f>IF($A145="","",IF($I145&lt;=0,"Agotado",IF($I145&lt;=$E145,"Stock bajo","Disponible")))</f>
      </c>
      <c r="L145" s="17">
        <f>IF($A145="","",IFERROR(VLOOKUP($C145,'Config'!$D$2:$E$30,2,FALSE),0))</f>
      </c>
      <c r="M145" s="20"/>
      <c r="N145" s="22"/>
      <c r="O145" s="22"/>
      <c r="P145" s="17">
        <f>IF(OR($A145="",$D145&lt;&gt;"Activo"),"",SUMPRODUCT(($C$2:$C$201=$C145)*($D$2:$D$201="Activo")*(($S$2:$S$201&lt;$S145)+(($S$2:$S$201=$S145)*($B$2:$B$201&lt;$B145))))+1)</f>
      </c>
      <c r="Q145" s="19">
        <f>IF($P145="","",$C145&amp;"|"&amp;$P145)</f>
      </c>
      <c r="R145" s="20"/>
      <c r="S145" s="17">
        <f>IF($A145="","",IFERROR(VALUE(TRIM(LEFT($R145,FIND("x",LOWER($R145))-1)))*VALUE(TRIM(MID($R145,FIND("x",LOWER($R145))+1,20))),0))</f>
      </c>
      <c r="T145" s="17">
        <f>IF(OR($A145="",$D145&lt;&gt;"Activo"),"",SUMPRODUCT(($D$2:$D$201="Activo")*(($C$2:$C$201&lt;$C145)+(($C$2:$C$201=$C145)*($S$2:$S$201&lt;$S145))+(($C$2:$C$201=$C145)*($S$2:$S$201=$S145)*($B$2:$B$201&lt;$B145))))+1)</f>
      </c>
      <c r="U145" s="19">
        <f>IF($T145="","","TODAS|"&amp;$T145)</f>
      </c>
      <c r="V145" s="14">
        <f>IF($A145="","",IFERROR(IF(COUNTIF('Compras'!$B:$B,$A145)=0,"",MINIFS('Compras'!$A:$A,'Compras'!$B:$B,$A145)),""))</f>
      </c>
      <c r="W145" s="17">
        <f>IF(OR($A145="",$V145=""),"",TODAY()-$V145)</f>
      </c>
      <c r="X145" s="17">
        <f>IF($A145="","",SUMIF('Ventas'!$D:$D,$A145,'Ventas'!$F:$F))</f>
      </c>
      <c r="Y145" s="19">
        <f>IF($A145="","",IF(AND($X145&gt;=3,$W145&lt;&gt;"",$W145&lt;=15),"🔥 Se vende rápido — REABASTECE",IF($K145="Agotado","🔴 Agotado — reabastece",IF($K145="Stock bajo","🟠 Stock bajo","✅ Ok"))))</f>
      </c>
    </row>
    <row r="146">
      <c r="A146" s="20"/>
      <c r="B146" s="20"/>
      <c r="C146" s="20"/>
      <c r="D146" s="20"/>
      <c r="E146" s="21"/>
      <c r="F146" s="16">
        <f>IF($A146="","",IFERROR(SUMIF('Compras'!$B:$B,$A146,'Compras'!$F:$F)/SUMIF('Compras'!$B:$B,$A146,'Compras'!$D:$D),0))</f>
      </c>
      <c r="G146" s="17">
        <f>IF($A146="","",SUMIF('Compras'!$B:$B,$A146,'Compras'!$D:$D)+SUMIF('Traslados'!$H:$H,$A146&amp;"|Casa",'Traslados'!$D:$D)-SUMIF('Traslados'!$G:$G,$A146&amp;"|Casa",'Traslados'!$D:$D)-SUMIF('Ventas'!$M:$M,$A146&amp;"|Casa",'Ventas'!$F:$F)+SUMIF('Ajustes'!$H:$H,$A146&amp;"|Casa",'Ajustes'!$D:$D))</f>
      </c>
      <c r="H146" s="17">
        <f>IF($A146="","",SUMIF('Traslados'!$H:$H,$A146&amp;"|Mercado Libre",'Traslados'!$D:$D)-SUMIF('Traslados'!$G:$G,$A146&amp;"|Mercado Libre",'Traslados'!$D:$D)-SUMIF('Ventas'!$M:$M,$A146&amp;"|Mercado Libre",'Ventas'!$F:$F)+SUMIF('Ajustes'!$H:$H,$A146&amp;"|Mercado Libre",'Ajustes'!$D:$D))</f>
      </c>
      <c r="I146" s="17">
        <f>IF($A146="","",$G146+$H146)</f>
      </c>
      <c r="J146" s="16">
        <f>IF($A146="","",$I146*$F146)</f>
      </c>
      <c r="K146" s="19">
        <f>IF($A146="","",IF($I146&lt;=0,"Agotado",IF($I146&lt;=$E146,"Stock bajo","Disponible")))</f>
      </c>
      <c r="L146" s="17">
        <f>IF($A146="","",IFERROR(VLOOKUP($C146,'Config'!$D$2:$E$30,2,FALSE),0))</f>
      </c>
      <c r="M146" s="20"/>
      <c r="N146" s="22"/>
      <c r="O146" s="22"/>
      <c r="P146" s="17">
        <f>IF(OR($A146="",$D146&lt;&gt;"Activo"),"",SUMPRODUCT(($C$2:$C$201=$C146)*($D$2:$D$201="Activo")*(($S$2:$S$201&lt;$S146)+(($S$2:$S$201=$S146)*($B$2:$B$201&lt;$B146))))+1)</f>
      </c>
      <c r="Q146" s="19">
        <f>IF($P146="","",$C146&amp;"|"&amp;$P146)</f>
      </c>
      <c r="R146" s="20"/>
      <c r="S146" s="17">
        <f>IF($A146="","",IFERROR(VALUE(TRIM(LEFT($R146,FIND("x",LOWER($R146))-1)))*VALUE(TRIM(MID($R146,FIND("x",LOWER($R146))+1,20))),0))</f>
      </c>
      <c r="T146" s="17">
        <f>IF(OR($A146="",$D146&lt;&gt;"Activo"),"",SUMPRODUCT(($D$2:$D$201="Activo")*(($C$2:$C$201&lt;$C146)+(($C$2:$C$201=$C146)*($S$2:$S$201&lt;$S146))+(($C$2:$C$201=$C146)*($S$2:$S$201=$S146)*($B$2:$B$201&lt;$B146))))+1)</f>
      </c>
      <c r="U146" s="19">
        <f>IF($T146="","","TODAS|"&amp;$T146)</f>
      </c>
      <c r="V146" s="14">
        <f>IF($A146="","",IFERROR(IF(COUNTIF('Compras'!$B:$B,$A146)=0,"",MINIFS('Compras'!$A:$A,'Compras'!$B:$B,$A146)),""))</f>
      </c>
      <c r="W146" s="17">
        <f>IF(OR($A146="",$V146=""),"",TODAY()-$V146)</f>
      </c>
      <c r="X146" s="17">
        <f>IF($A146="","",SUMIF('Ventas'!$D:$D,$A146,'Ventas'!$F:$F))</f>
      </c>
      <c r="Y146" s="19">
        <f>IF($A146="","",IF(AND($X146&gt;=3,$W146&lt;&gt;"",$W146&lt;=15),"🔥 Se vende rápido — REABASTECE",IF($K146="Agotado","🔴 Agotado — reabastece",IF($K146="Stock bajo","🟠 Stock bajo","✅ Ok"))))</f>
      </c>
    </row>
    <row r="147">
      <c r="A147" s="20"/>
      <c r="B147" s="20"/>
      <c r="C147" s="20"/>
      <c r="D147" s="20"/>
      <c r="E147" s="21"/>
      <c r="F147" s="16">
        <f>IF($A147="","",IFERROR(SUMIF('Compras'!$B:$B,$A147,'Compras'!$F:$F)/SUMIF('Compras'!$B:$B,$A147,'Compras'!$D:$D),0))</f>
      </c>
      <c r="G147" s="17">
        <f>IF($A147="","",SUMIF('Compras'!$B:$B,$A147,'Compras'!$D:$D)+SUMIF('Traslados'!$H:$H,$A147&amp;"|Casa",'Traslados'!$D:$D)-SUMIF('Traslados'!$G:$G,$A147&amp;"|Casa",'Traslados'!$D:$D)-SUMIF('Ventas'!$M:$M,$A147&amp;"|Casa",'Ventas'!$F:$F)+SUMIF('Ajustes'!$H:$H,$A147&amp;"|Casa",'Ajustes'!$D:$D))</f>
      </c>
      <c r="H147" s="17">
        <f>IF($A147="","",SUMIF('Traslados'!$H:$H,$A147&amp;"|Mercado Libre",'Traslados'!$D:$D)-SUMIF('Traslados'!$G:$G,$A147&amp;"|Mercado Libre",'Traslados'!$D:$D)-SUMIF('Ventas'!$M:$M,$A147&amp;"|Mercado Libre",'Ventas'!$F:$F)+SUMIF('Ajustes'!$H:$H,$A147&amp;"|Mercado Libre",'Ajustes'!$D:$D))</f>
      </c>
      <c r="I147" s="17">
        <f>IF($A147="","",$G147+$H147)</f>
      </c>
      <c r="J147" s="16">
        <f>IF($A147="","",$I147*$F147)</f>
      </c>
      <c r="K147" s="19">
        <f>IF($A147="","",IF($I147&lt;=0,"Agotado",IF($I147&lt;=$E147,"Stock bajo","Disponible")))</f>
      </c>
      <c r="L147" s="17">
        <f>IF($A147="","",IFERROR(VLOOKUP($C147,'Config'!$D$2:$E$30,2,FALSE),0))</f>
      </c>
      <c r="M147" s="20"/>
      <c r="N147" s="22"/>
      <c r="O147" s="22"/>
      <c r="P147" s="17">
        <f>IF(OR($A147="",$D147&lt;&gt;"Activo"),"",SUMPRODUCT(($C$2:$C$201=$C147)*($D$2:$D$201="Activo")*(($S$2:$S$201&lt;$S147)+(($S$2:$S$201=$S147)*($B$2:$B$201&lt;$B147))))+1)</f>
      </c>
      <c r="Q147" s="19">
        <f>IF($P147="","",$C147&amp;"|"&amp;$P147)</f>
      </c>
      <c r="R147" s="20"/>
      <c r="S147" s="17">
        <f>IF($A147="","",IFERROR(VALUE(TRIM(LEFT($R147,FIND("x",LOWER($R147))-1)))*VALUE(TRIM(MID($R147,FIND("x",LOWER($R147))+1,20))),0))</f>
      </c>
      <c r="T147" s="17">
        <f>IF(OR($A147="",$D147&lt;&gt;"Activo"),"",SUMPRODUCT(($D$2:$D$201="Activo")*(($C$2:$C$201&lt;$C147)+(($C$2:$C$201=$C147)*($S$2:$S$201&lt;$S147))+(($C$2:$C$201=$C147)*($S$2:$S$201=$S147)*($B$2:$B$201&lt;$B147))))+1)</f>
      </c>
      <c r="U147" s="19">
        <f>IF($T147="","","TODAS|"&amp;$T147)</f>
      </c>
      <c r="V147" s="14">
        <f>IF($A147="","",IFERROR(IF(COUNTIF('Compras'!$B:$B,$A147)=0,"",MINIFS('Compras'!$A:$A,'Compras'!$B:$B,$A147)),""))</f>
      </c>
      <c r="W147" s="17">
        <f>IF(OR($A147="",$V147=""),"",TODAY()-$V147)</f>
      </c>
      <c r="X147" s="17">
        <f>IF($A147="","",SUMIF('Ventas'!$D:$D,$A147,'Ventas'!$F:$F))</f>
      </c>
      <c r="Y147" s="19">
        <f>IF($A147="","",IF(AND($X147&gt;=3,$W147&lt;&gt;"",$W147&lt;=15),"🔥 Se vende rápido — REABASTECE",IF($K147="Agotado","🔴 Agotado — reabastece",IF($K147="Stock bajo","🟠 Stock bajo","✅ Ok"))))</f>
      </c>
    </row>
    <row r="148">
      <c r="A148" s="20"/>
      <c r="B148" s="20"/>
      <c r="C148" s="20"/>
      <c r="D148" s="20"/>
      <c r="E148" s="21"/>
      <c r="F148" s="16">
        <f>IF($A148="","",IFERROR(SUMIF('Compras'!$B:$B,$A148,'Compras'!$F:$F)/SUMIF('Compras'!$B:$B,$A148,'Compras'!$D:$D),0))</f>
      </c>
      <c r="G148" s="17">
        <f>IF($A148="","",SUMIF('Compras'!$B:$B,$A148,'Compras'!$D:$D)+SUMIF('Traslados'!$H:$H,$A148&amp;"|Casa",'Traslados'!$D:$D)-SUMIF('Traslados'!$G:$G,$A148&amp;"|Casa",'Traslados'!$D:$D)-SUMIF('Ventas'!$M:$M,$A148&amp;"|Casa",'Ventas'!$F:$F)+SUMIF('Ajustes'!$H:$H,$A148&amp;"|Casa",'Ajustes'!$D:$D))</f>
      </c>
      <c r="H148" s="17">
        <f>IF($A148="","",SUMIF('Traslados'!$H:$H,$A148&amp;"|Mercado Libre",'Traslados'!$D:$D)-SUMIF('Traslados'!$G:$G,$A148&amp;"|Mercado Libre",'Traslados'!$D:$D)-SUMIF('Ventas'!$M:$M,$A148&amp;"|Mercado Libre",'Ventas'!$F:$F)+SUMIF('Ajustes'!$H:$H,$A148&amp;"|Mercado Libre",'Ajustes'!$D:$D))</f>
      </c>
      <c r="I148" s="17">
        <f>IF($A148="","",$G148+$H148)</f>
      </c>
      <c r="J148" s="16">
        <f>IF($A148="","",$I148*$F148)</f>
      </c>
      <c r="K148" s="19">
        <f>IF($A148="","",IF($I148&lt;=0,"Agotado",IF($I148&lt;=$E148,"Stock bajo","Disponible")))</f>
      </c>
      <c r="L148" s="17">
        <f>IF($A148="","",IFERROR(VLOOKUP($C148,'Config'!$D$2:$E$30,2,FALSE),0))</f>
      </c>
      <c r="M148" s="20"/>
      <c r="N148" s="22"/>
      <c r="O148" s="22"/>
      <c r="P148" s="17">
        <f>IF(OR($A148="",$D148&lt;&gt;"Activo"),"",SUMPRODUCT(($C$2:$C$201=$C148)*($D$2:$D$201="Activo")*(($S$2:$S$201&lt;$S148)+(($S$2:$S$201=$S148)*($B$2:$B$201&lt;$B148))))+1)</f>
      </c>
      <c r="Q148" s="19">
        <f>IF($P148="","",$C148&amp;"|"&amp;$P148)</f>
      </c>
      <c r="R148" s="20"/>
      <c r="S148" s="17">
        <f>IF($A148="","",IFERROR(VALUE(TRIM(LEFT($R148,FIND("x",LOWER($R148))-1)))*VALUE(TRIM(MID($R148,FIND("x",LOWER($R148))+1,20))),0))</f>
      </c>
      <c r="T148" s="17">
        <f>IF(OR($A148="",$D148&lt;&gt;"Activo"),"",SUMPRODUCT(($D$2:$D$201="Activo")*(($C$2:$C$201&lt;$C148)+(($C$2:$C$201=$C148)*($S$2:$S$201&lt;$S148))+(($C$2:$C$201=$C148)*($S$2:$S$201=$S148)*($B$2:$B$201&lt;$B148))))+1)</f>
      </c>
      <c r="U148" s="19">
        <f>IF($T148="","","TODAS|"&amp;$T148)</f>
      </c>
      <c r="V148" s="14">
        <f>IF($A148="","",IFERROR(IF(COUNTIF('Compras'!$B:$B,$A148)=0,"",MINIFS('Compras'!$A:$A,'Compras'!$B:$B,$A148)),""))</f>
      </c>
      <c r="W148" s="17">
        <f>IF(OR($A148="",$V148=""),"",TODAY()-$V148)</f>
      </c>
      <c r="X148" s="17">
        <f>IF($A148="","",SUMIF('Ventas'!$D:$D,$A148,'Ventas'!$F:$F))</f>
      </c>
      <c r="Y148" s="19">
        <f>IF($A148="","",IF(AND($X148&gt;=3,$W148&lt;&gt;"",$W148&lt;=15),"🔥 Se vende rápido — REABASTECE",IF($K148="Agotado","🔴 Agotado — reabastece",IF($K148="Stock bajo","🟠 Stock bajo","✅ Ok"))))</f>
      </c>
    </row>
    <row r="149">
      <c r="A149" s="20"/>
      <c r="B149" s="20"/>
      <c r="C149" s="20"/>
      <c r="D149" s="20"/>
      <c r="E149" s="21"/>
      <c r="F149" s="16">
        <f>IF($A149="","",IFERROR(SUMIF('Compras'!$B:$B,$A149,'Compras'!$F:$F)/SUMIF('Compras'!$B:$B,$A149,'Compras'!$D:$D),0))</f>
      </c>
      <c r="G149" s="17">
        <f>IF($A149="","",SUMIF('Compras'!$B:$B,$A149,'Compras'!$D:$D)+SUMIF('Traslados'!$H:$H,$A149&amp;"|Casa",'Traslados'!$D:$D)-SUMIF('Traslados'!$G:$G,$A149&amp;"|Casa",'Traslados'!$D:$D)-SUMIF('Ventas'!$M:$M,$A149&amp;"|Casa",'Ventas'!$F:$F)+SUMIF('Ajustes'!$H:$H,$A149&amp;"|Casa",'Ajustes'!$D:$D))</f>
      </c>
      <c r="H149" s="17">
        <f>IF($A149="","",SUMIF('Traslados'!$H:$H,$A149&amp;"|Mercado Libre",'Traslados'!$D:$D)-SUMIF('Traslados'!$G:$G,$A149&amp;"|Mercado Libre",'Traslados'!$D:$D)-SUMIF('Ventas'!$M:$M,$A149&amp;"|Mercado Libre",'Ventas'!$F:$F)+SUMIF('Ajustes'!$H:$H,$A149&amp;"|Mercado Libre",'Ajustes'!$D:$D))</f>
      </c>
      <c r="I149" s="17">
        <f>IF($A149="","",$G149+$H149)</f>
      </c>
      <c r="J149" s="16">
        <f>IF($A149="","",$I149*$F149)</f>
      </c>
      <c r="K149" s="19">
        <f>IF($A149="","",IF($I149&lt;=0,"Agotado",IF($I149&lt;=$E149,"Stock bajo","Disponible")))</f>
      </c>
      <c r="L149" s="17">
        <f>IF($A149="","",IFERROR(VLOOKUP($C149,'Config'!$D$2:$E$30,2,FALSE),0))</f>
      </c>
      <c r="M149" s="20"/>
      <c r="N149" s="22"/>
      <c r="O149" s="22"/>
      <c r="P149" s="17">
        <f>IF(OR($A149="",$D149&lt;&gt;"Activo"),"",SUMPRODUCT(($C$2:$C$201=$C149)*($D$2:$D$201="Activo")*(($S$2:$S$201&lt;$S149)+(($S$2:$S$201=$S149)*($B$2:$B$201&lt;$B149))))+1)</f>
      </c>
      <c r="Q149" s="19">
        <f>IF($P149="","",$C149&amp;"|"&amp;$P149)</f>
      </c>
      <c r="R149" s="20"/>
      <c r="S149" s="17">
        <f>IF($A149="","",IFERROR(VALUE(TRIM(LEFT($R149,FIND("x",LOWER($R149))-1)))*VALUE(TRIM(MID($R149,FIND("x",LOWER($R149))+1,20))),0))</f>
      </c>
      <c r="T149" s="17">
        <f>IF(OR($A149="",$D149&lt;&gt;"Activo"),"",SUMPRODUCT(($D$2:$D$201="Activo")*(($C$2:$C$201&lt;$C149)+(($C$2:$C$201=$C149)*($S$2:$S$201&lt;$S149))+(($C$2:$C$201=$C149)*($S$2:$S$201=$S149)*($B$2:$B$201&lt;$B149))))+1)</f>
      </c>
      <c r="U149" s="19">
        <f>IF($T149="","","TODAS|"&amp;$T149)</f>
      </c>
      <c r="V149" s="14">
        <f>IF($A149="","",IFERROR(IF(COUNTIF('Compras'!$B:$B,$A149)=0,"",MINIFS('Compras'!$A:$A,'Compras'!$B:$B,$A149)),""))</f>
      </c>
      <c r="W149" s="17">
        <f>IF(OR($A149="",$V149=""),"",TODAY()-$V149)</f>
      </c>
      <c r="X149" s="17">
        <f>IF($A149="","",SUMIF('Ventas'!$D:$D,$A149,'Ventas'!$F:$F))</f>
      </c>
      <c r="Y149" s="19">
        <f>IF($A149="","",IF(AND($X149&gt;=3,$W149&lt;&gt;"",$W149&lt;=15),"🔥 Se vende rápido — REABASTECE",IF($K149="Agotado","🔴 Agotado — reabastece",IF($K149="Stock bajo","🟠 Stock bajo","✅ Ok"))))</f>
      </c>
    </row>
    <row r="150">
      <c r="A150" s="20"/>
      <c r="B150" s="20"/>
      <c r="C150" s="20"/>
      <c r="D150" s="20"/>
      <c r="E150" s="21"/>
      <c r="F150" s="16">
        <f>IF($A150="","",IFERROR(SUMIF('Compras'!$B:$B,$A150,'Compras'!$F:$F)/SUMIF('Compras'!$B:$B,$A150,'Compras'!$D:$D),0))</f>
      </c>
      <c r="G150" s="17">
        <f>IF($A150="","",SUMIF('Compras'!$B:$B,$A150,'Compras'!$D:$D)+SUMIF('Traslados'!$H:$H,$A150&amp;"|Casa",'Traslados'!$D:$D)-SUMIF('Traslados'!$G:$G,$A150&amp;"|Casa",'Traslados'!$D:$D)-SUMIF('Ventas'!$M:$M,$A150&amp;"|Casa",'Ventas'!$F:$F)+SUMIF('Ajustes'!$H:$H,$A150&amp;"|Casa",'Ajustes'!$D:$D))</f>
      </c>
      <c r="H150" s="17">
        <f>IF($A150="","",SUMIF('Traslados'!$H:$H,$A150&amp;"|Mercado Libre",'Traslados'!$D:$D)-SUMIF('Traslados'!$G:$G,$A150&amp;"|Mercado Libre",'Traslados'!$D:$D)-SUMIF('Ventas'!$M:$M,$A150&amp;"|Mercado Libre",'Ventas'!$F:$F)+SUMIF('Ajustes'!$H:$H,$A150&amp;"|Mercado Libre",'Ajustes'!$D:$D))</f>
      </c>
      <c r="I150" s="17">
        <f>IF($A150="","",$G150+$H150)</f>
      </c>
      <c r="J150" s="16">
        <f>IF($A150="","",$I150*$F150)</f>
      </c>
      <c r="K150" s="19">
        <f>IF($A150="","",IF($I150&lt;=0,"Agotado",IF($I150&lt;=$E150,"Stock bajo","Disponible")))</f>
      </c>
      <c r="L150" s="17">
        <f>IF($A150="","",IFERROR(VLOOKUP($C150,'Config'!$D$2:$E$30,2,FALSE),0))</f>
      </c>
      <c r="M150" s="20"/>
      <c r="N150" s="22"/>
      <c r="O150" s="22"/>
      <c r="P150" s="17">
        <f>IF(OR($A150="",$D150&lt;&gt;"Activo"),"",SUMPRODUCT(($C$2:$C$201=$C150)*($D$2:$D$201="Activo")*(($S$2:$S$201&lt;$S150)+(($S$2:$S$201=$S150)*($B$2:$B$201&lt;$B150))))+1)</f>
      </c>
      <c r="Q150" s="19">
        <f>IF($P150="","",$C150&amp;"|"&amp;$P150)</f>
      </c>
      <c r="R150" s="20"/>
      <c r="S150" s="17">
        <f>IF($A150="","",IFERROR(VALUE(TRIM(LEFT($R150,FIND("x",LOWER($R150))-1)))*VALUE(TRIM(MID($R150,FIND("x",LOWER($R150))+1,20))),0))</f>
      </c>
      <c r="T150" s="17">
        <f>IF(OR($A150="",$D150&lt;&gt;"Activo"),"",SUMPRODUCT(($D$2:$D$201="Activo")*(($C$2:$C$201&lt;$C150)+(($C$2:$C$201=$C150)*($S$2:$S$201&lt;$S150))+(($C$2:$C$201=$C150)*($S$2:$S$201=$S150)*($B$2:$B$201&lt;$B150))))+1)</f>
      </c>
      <c r="U150" s="19">
        <f>IF($T150="","","TODAS|"&amp;$T150)</f>
      </c>
      <c r="V150" s="14">
        <f>IF($A150="","",IFERROR(IF(COUNTIF('Compras'!$B:$B,$A150)=0,"",MINIFS('Compras'!$A:$A,'Compras'!$B:$B,$A150)),""))</f>
      </c>
      <c r="W150" s="17">
        <f>IF(OR($A150="",$V150=""),"",TODAY()-$V150)</f>
      </c>
      <c r="X150" s="17">
        <f>IF($A150="","",SUMIF('Ventas'!$D:$D,$A150,'Ventas'!$F:$F))</f>
      </c>
      <c r="Y150" s="19">
        <f>IF($A150="","",IF(AND($X150&gt;=3,$W150&lt;&gt;"",$W150&lt;=15),"🔥 Se vende rápido — REABASTECE",IF($K150="Agotado","🔴 Agotado — reabastece",IF($K150="Stock bajo","🟠 Stock bajo","✅ Ok"))))</f>
      </c>
    </row>
    <row r="151">
      <c r="A151" s="20"/>
      <c r="B151" s="20"/>
      <c r="C151" s="20"/>
      <c r="D151" s="20"/>
      <c r="E151" s="21"/>
      <c r="F151" s="16">
        <f>IF($A151="","",IFERROR(SUMIF('Compras'!$B:$B,$A151,'Compras'!$F:$F)/SUMIF('Compras'!$B:$B,$A151,'Compras'!$D:$D),0))</f>
      </c>
      <c r="G151" s="17">
        <f>IF($A151="","",SUMIF('Compras'!$B:$B,$A151,'Compras'!$D:$D)+SUMIF('Traslados'!$H:$H,$A151&amp;"|Casa",'Traslados'!$D:$D)-SUMIF('Traslados'!$G:$G,$A151&amp;"|Casa",'Traslados'!$D:$D)-SUMIF('Ventas'!$M:$M,$A151&amp;"|Casa",'Ventas'!$F:$F)+SUMIF('Ajustes'!$H:$H,$A151&amp;"|Casa",'Ajustes'!$D:$D))</f>
      </c>
      <c r="H151" s="17">
        <f>IF($A151="","",SUMIF('Traslados'!$H:$H,$A151&amp;"|Mercado Libre",'Traslados'!$D:$D)-SUMIF('Traslados'!$G:$G,$A151&amp;"|Mercado Libre",'Traslados'!$D:$D)-SUMIF('Ventas'!$M:$M,$A151&amp;"|Mercado Libre",'Ventas'!$F:$F)+SUMIF('Ajustes'!$H:$H,$A151&amp;"|Mercado Libre",'Ajustes'!$D:$D))</f>
      </c>
      <c r="I151" s="17">
        <f>IF($A151="","",$G151+$H151)</f>
      </c>
      <c r="J151" s="16">
        <f>IF($A151="","",$I151*$F151)</f>
      </c>
      <c r="K151" s="19">
        <f>IF($A151="","",IF($I151&lt;=0,"Agotado",IF($I151&lt;=$E151,"Stock bajo","Disponible")))</f>
      </c>
      <c r="L151" s="17">
        <f>IF($A151="","",IFERROR(VLOOKUP($C151,'Config'!$D$2:$E$30,2,FALSE),0))</f>
      </c>
      <c r="M151" s="20"/>
      <c r="N151" s="22"/>
      <c r="O151" s="22"/>
      <c r="P151" s="17">
        <f>IF(OR($A151="",$D151&lt;&gt;"Activo"),"",SUMPRODUCT(($C$2:$C$201=$C151)*($D$2:$D$201="Activo")*(($S$2:$S$201&lt;$S151)+(($S$2:$S$201=$S151)*($B$2:$B$201&lt;$B151))))+1)</f>
      </c>
      <c r="Q151" s="19">
        <f>IF($P151="","",$C151&amp;"|"&amp;$P151)</f>
      </c>
      <c r="R151" s="20"/>
      <c r="S151" s="17">
        <f>IF($A151="","",IFERROR(VALUE(TRIM(LEFT($R151,FIND("x",LOWER($R151))-1)))*VALUE(TRIM(MID($R151,FIND("x",LOWER($R151))+1,20))),0))</f>
      </c>
      <c r="T151" s="17">
        <f>IF(OR($A151="",$D151&lt;&gt;"Activo"),"",SUMPRODUCT(($D$2:$D$201="Activo")*(($C$2:$C$201&lt;$C151)+(($C$2:$C$201=$C151)*($S$2:$S$201&lt;$S151))+(($C$2:$C$201=$C151)*($S$2:$S$201=$S151)*($B$2:$B$201&lt;$B151))))+1)</f>
      </c>
      <c r="U151" s="19">
        <f>IF($T151="","","TODAS|"&amp;$T151)</f>
      </c>
      <c r="V151" s="14">
        <f>IF($A151="","",IFERROR(IF(COUNTIF('Compras'!$B:$B,$A151)=0,"",MINIFS('Compras'!$A:$A,'Compras'!$B:$B,$A151)),""))</f>
      </c>
      <c r="W151" s="17">
        <f>IF(OR($A151="",$V151=""),"",TODAY()-$V151)</f>
      </c>
      <c r="X151" s="17">
        <f>IF($A151="","",SUMIF('Ventas'!$D:$D,$A151,'Ventas'!$F:$F))</f>
      </c>
      <c r="Y151" s="19">
        <f>IF($A151="","",IF(AND($X151&gt;=3,$W151&lt;&gt;"",$W151&lt;=15),"🔥 Se vende rápido — REABASTECE",IF($K151="Agotado","🔴 Agotado — reabastece",IF($K151="Stock bajo","🟠 Stock bajo","✅ Ok"))))</f>
      </c>
    </row>
    <row r="152">
      <c r="A152" s="20"/>
      <c r="B152" s="20"/>
      <c r="C152" s="20"/>
      <c r="D152" s="20"/>
      <c r="E152" s="21"/>
      <c r="F152" s="16">
        <f>IF($A152="","",IFERROR(SUMIF('Compras'!$B:$B,$A152,'Compras'!$F:$F)/SUMIF('Compras'!$B:$B,$A152,'Compras'!$D:$D),0))</f>
      </c>
      <c r="G152" s="17">
        <f>IF($A152="","",SUMIF('Compras'!$B:$B,$A152,'Compras'!$D:$D)+SUMIF('Traslados'!$H:$H,$A152&amp;"|Casa",'Traslados'!$D:$D)-SUMIF('Traslados'!$G:$G,$A152&amp;"|Casa",'Traslados'!$D:$D)-SUMIF('Ventas'!$M:$M,$A152&amp;"|Casa",'Ventas'!$F:$F)+SUMIF('Ajustes'!$H:$H,$A152&amp;"|Casa",'Ajustes'!$D:$D))</f>
      </c>
      <c r="H152" s="17">
        <f>IF($A152="","",SUMIF('Traslados'!$H:$H,$A152&amp;"|Mercado Libre",'Traslados'!$D:$D)-SUMIF('Traslados'!$G:$G,$A152&amp;"|Mercado Libre",'Traslados'!$D:$D)-SUMIF('Ventas'!$M:$M,$A152&amp;"|Mercado Libre",'Ventas'!$F:$F)+SUMIF('Ajustes'!$H:$H,$A152&amp;"|Mercado Libre",'Ajustes'!$D:$D))</f>
      </c>
      <c r="I152" s="17">
        <f>IF($A152="","",$G152+$H152)</f>
      </c>
      <c r="J152" s="16">
        <f>IF($A152="","",$I152*$F152)</f>
      </c>
      <c r="K152" s="19">
        <f>IF($A152="","",IF($I152&lt;=0,"Agotado",IF($I152&lt;=$E152,"Stock bajo","Disponible")))</f>
      </c>
      <c r="L152" s="17">
        <f>IF($A152="","",IFERROR(VLOOKUP($C152,'Config'!$D$2:$E$30,2,FALSE),0))</f>
      </c>
      <c r="M152" s="20"/>
      <c r="N152" s="22"/>
      <c r="O152" s="22"/>
      <c r="P152" s="17">
        <f>IF(OR($A152="",$D152&lt;&gt;"Activo"),"",SUMPRODUCT(($C$2:$C$201=$C152)*($D$2:$D$201="Activo")*(($S$2:$S$201&lt;$S152)+(($S$2:$S$201=$S152)*($B$2:$B$201&lt;$B152))))+1)</f>
      </c>
      <c r="Q152" s="19">
        <f>IF($P152="","",$C152&amp;"|"&amp;$P152)</f>
      </c>
      <c r="R152" s="20"/>
      <c r="S152" s="17">
        <f>IF($A152="","",IFERROR(VALUE(TRIM(LEFT($R152,FIND("x",LOWER($R152))-1)))*VALUE(TRIM(MID($R152,FIND("x",LOWER($R152))+1,20))),0))</f>
      </c>
      <c r="T152" s="17">
        <f>IF(OR($A152="",$D152&lt;&gt;"Activo"),"",SUMPRODUCT(($D$2:$D$201="Activo")*(($C$2:$C$201&lt;$C152)+(($C$2:$C$201=$C152)*($S$2:$S$201&lt;$S152))+(($C$2:$C$201=$C152)*($S$2:$S$201=$S152)*($B$2:$B$201&lt;$B152))))+1)</f>
      </c>
      <c r="U152" s="19">
        <f>IF($T152="","","TODAS|"&amp;$T152)</f>
      </c>
      <c r="V152" s="14">
        <f>IF($A152="","",IFERROR(IF(COUNTIF('Compras'!$B:$B,$A152)=0,"",MINIFS('Compras'!$A:$A,'Compras'!$B:$B,$A152)),""))</f>
      </c>
      <c r="W152" s="17">
        <f>IF(OR($A152="",$V152=""),"",TODAY()-$V152)</f>
      </c>
      <c r="X152" s="17">
        <f>IF($A152="","",SUMIF('Ventas'!$D:$D,$A152,'Ventas'!$F:$F))</f>
      </c>
      <c r="Y152" s="19">
        <f>IF($A152="","",IF(AND($X152&gt;=3,$W152&lt;&gt;"",$W152&lt;=15),"🔥 Se vende rápido — REABASTECE",IF($K152="Agotado","🔴 Agotado — reabastece",IF($K152="Stock bajo","🟠 Stock bajo","✅ Ok"))))</f>
      </c>
    </row>
    <row r="153">
      <c r="A153" s="20"/>
      <c r="B153" s="20"/>
      <c r="C153" s="20"/>
      <c r="D153" s="20"/>
      <c r="E153" s="21"/>
      <c r="F153" s="16">
        <f>IF($A153="","",IFERROR(SUMIF('Compras'!$B:$B,$A153,'Compras'!$F:$F)/SUMIF('Compras'!$B:$B,$A153,'Compras'!$D:$D),0))</f>
      </c>
      <c r="G153" s="17">
        <f>IF($A153="","",SUMIF('Compras'!$B:$B,$A153,'Compras'!$D:$D)+SUMIF('Traslados'!$H:$H,$A153&amp;"|Casa",'Traslados'!$D:$D)-SUMIF('Traslados'!$G:$G,$A153&amp;"|Casa",'Traslados'!$D:$D)-SUMIF('Ventas'!$M:$M,$A153&amp;"|Casa",'Ventas'!$F:$F)+SUMIF('Ajustes'!$H:$H,$A153&amp;"|Casa",'Ajustes'!$D:$D))</f>
      </c>
      <c r="H153" s="17">
        <f>IF($A153="","",SUMIF('Traslados'!$H:$H,$A153&amp;"|Mercado Libre",'Traslados'!$D:$D)-SUMIF('Traslados'!$G:$G,$A153&amp;"|Mercado Libre",'Traslados'!$D:$D)-SUMIF('Ventas'!$M:$M,$A153&amp;"|Mercado Libre",'Ventas'!$F:$F)+SUMIF('Ajustes'!$H:$H,$A153&amp;"|Mercado Libre",'Ajustes'!$D:$D))</f>
      </c>
      <c r="I153" s="17">
        <f>IF($A153="","",$G153+$H153)</f>
      </c>
      <c r="J153" s="16">
        <f>IF($A153="","",$I153*$F153)</f>
      </c>
      <c r="K153" s="19">
        <f>IF($A153="","",IF($I153&lt;=0,"Agotado",IF($I153&lt;=$E153,"Stock bajo","Disponible")))</f>
      </c>
      <c r="L153" s="17">
        <f>IF($A153="","",IFERROR(VLOOKUP($C153,'Config'!$D$2:$E$30,2,FALSE),0))</f>
      </c>
      <c r="M153" s="20"/>
      <c r="N153" s="22"/>
      <c r="O153" s="22"/>
      <c r="P153" s="17">
        <f>IF(OR($A153="",$D153&lt;&gt;"Activo"),"",SUMPRODUCT(($C$2:$C$201=$C153)*($D$2:$D$201="Activo")*(($S$2:$S$201&lt;$S153)+(($S$2:$S$201=$S153)*($B$2:$B$201&lt;$B153))))+1)</f>
      </c>
      <c r="Q153" s="19">
        <f>IF($P153="","",$C153&amp;"|"&amp;$P153)</f>
      </c>
      <c r="R153" s="20"/>
      <c r="S153" s="17">
        <f>IF($A153="","",IFERROR(VALUE(TRIM(LEFT($R153,FIND("x",LOWER($R153))-1)))*VALUE(TRIM(MID($R153,FIND("x",LOWER($R153))+1,20))),0))</f>
      </c>
      <c r="T153" s="17">
        <f>IF(OR($A153="",$D153&lt;&gt;"Activo"),"",SUMPRODUCT(($D$2:$D$201="Activo")*(($C$2:$C$201&lt;$C153)+(($C$2:$C$201=$C153)*($S$2:$S$201&lt;$S153))+(($C$2:$C$201=$C153)*($S$2:$S$201=$S153)*($B$2:$B$201&lt;$B153))))+1)</f>
      </c>
      <c r="U153" s="19">
        <f>IF($T153="","","TODAS|"&amp;$T153)</f>
      </c>
      <c r="V153" s="14">
        <f>IF($A153="","",IFERROR(IF(COUNTIF('Compras'!$B:$B,$A153)=0,"",MINIFS('Compras'!$A:$A,'Compras'!$B:$B,$A153)),""))</f>
      </c>
      <c r="W153" s="17">
        <f>IF(OR($A153="",$V153=""),"",TODAY()-$V153)</f>
      </c>
      <c r="X153" s="17">
        <f>IF($A153="","",SUMIF('Ventas'!$D:$D,$A153,'Ventas'!$F:$F))</f>
      </c>
      <c r="Y153" s="19">
        <f>IF($A153="","",IF(AND($X153&gt;=3,$W153&lt;&gt;"",$W153&lt;=15),"🔥 Se vende rápido — REABASTECE",IF($K153="Agotado","🔴 Agotado — reabastece",IF($K153="Stock bajo","🟠 Stock bajo","✅ Ok"))))</f>
      </c>
    </row>
    <row r="154">
      <c r="A154" s="20"/>
      <c r="B154" s="20"/>
      <c r="C154" s="20"/>
      <c r="D154" s="20"/>
      <c r="E154" s="21"/>
      <c r="F154" s="16">
        <f>IF($A154="","",IFERROR(SUMIF('Compras'!$B:$B,$A154,'Compras'!$F:$F)/SUMIF('Compras'!$B:$B,$A154,'Compras'!$D:$D),0))</f>
      </c>
      <c r="G154" s="17">
        <f>IF($A154="","",SUMIF('Compras'!$B:$B,$A154,'Compras'!$D:$D)+SUMIF('Traslados'!$H:$H,$A154&amp;"|Casa",'Traslados'!$D:$D)-SUMIF('Traslados'!$G:$G,$A154&amp;"|Casa",'Traslados'!$D:$D)-SUMIF('Ventas'!$M:$M,$A154&amp;"|Casa",'Ventas'!$F:$F)+SUMIF('Ajustes'!$H:$H,$A154&amp;"|Casa",'Ajustes'!$D:$D))</f>
      </c>
      <c r="H154" s="17">
        <f>IF($A154="","",SUMIF('Traslados'!$H:$H,$A154&amp;"|Mercado Libre",'Traslados'!$D:$D)-SUMIF('Traslados'!$G:$G,$A154&amp;"|Mercado Libre",'Traslados'!$D:$D)-SUMIF('Ventas'!$M:$M,$A154&amp;"|Mercado Libre",'Ventas'!$F:$F)+SUMIF('Ajustes'!$H:$H,$A154&amp;"|Mercado Libre",'Ajustes'!$D:$D))</f>
      </c>
      <c r="I154" s="17">
        <f>IF($A154="","",$G154+$H154)</f>
      </c>
      <c r="J154" s="16">
        <f>IF($A154="","",$I154*$F154)</f>
      </c>
      <c r="K154" s="19">
        <f>IF($A154="","",IF($I154&lt;=0,"Agotado",IF($I154&lt;=$E154,"Stock bajo","Disponible")))</f>
      </c>
      <c r="L154" s="17">
        <f>IF($A154="","",IFERROR(VLOOKUP($C154,'Config'!$D$2:$E$30,2,FALSE),0))</f>
      </c>
      <c r="M154" s="20"/>
      <c r="N154" s="22"/>
      <c r="O154" s="22"/>
      <c r="P154" s="17">
        <f>IF(OR($A154="",$D154&lt;&gt;"Activo"),"",SUMPRODUCT(($C$2:$C$201=$C154)*($D$2:$D$201="Activo")*(($S$2:$S$201&lt;$S154)+(($S$2:$S$201=$S154)*($B$2:$B$201&lt;$B154))))+1)</f>
      </c>
      <c r="Q154" s="19">
        <f>IF($P154="","",$C154&amp;"|"&amp;$P154)</f>
      </c>
      <c r="R154" s="20"/>
      <c r="S154" s="17">
        <f>IF($A154="","",IFERROR(VALUE(TRIM(LEFT($R154,FIND("x",LOWER($R154))-1)))*VALUE(TRIM(MID($R154,FIND("x",LOWER($R154))+1,20))),0))</f>
      </c>
      <c r="T154" s="17">
        <f>IF(OR($A154="",$D154&lt;&gt;"Activo"),"",SUMPRODUCT(($D$2:$D$201="Activo")*(($C$2:$C$201&lt;$C154)+(($C$2:$C$201=$C154)*($S$2:$S$201&lt;$S154))+(($C$2:$C$201=$C154)*($S$2:$S$201=$S154)*($B$2:$B$201&lt;$B154))))+1)</f>
      </c>
      <c r="U154" s="19">
        <f>IF($T154="","","TODAS|"&amp;$T154)</f>
      </c>
      <c r="V154" s="14">
        <f>IF($A154="","",IFERROR(IF(COUNTIF('Compras'!$B:$B,$A154)=0,"",MINIFS('Compras'!$A:$A,'Compras'!$B:$B,$A154)),""))</f>
      </c>
      <c r="W154" s="17">
        <f>IF(OR($A154="",$V154=""),"",TODAY()-$V154)</f>
      </c>
      <c r="X154" s="17">
        <f>IF($A154="","",SUMIF('Ventas'!$D:$D,$A154,'Ventas'!$F:$F))</f>
      </c>
      <c r="Y154" s="19">
        <f>IF($A154="","",IF(AND($X154&gt;=3,$W154&lt;&gt;"",$W154&lt;=15),"🔥 Se vende rápido — REABASTECE",IF($K154="Agotado","🔴 Agotado — reabastece",IF($K154="Stock bajo","🟠 Stock bajo","✅ Ok"))))</f>
      </c>
    </row>
    <row r="155">
      <c r="A155" s="20"/>
      <c r="B155" s="20"/>
      <c r="C155" s="20"/>
      <c r="D155" s="20"/>
      <c r="E155" s="21"/>
      <c r="F155" s="16">
        <f>IF($A155="","",IFERROR(SUMIF('Compras'!$B:$B,$A155,'Compras'!$F:$F)/SUMIF('Compras'!$B:$B,$A155,'Compras'!$D:$D),0))</f>
      </c>
      <c r="G155" s="17">
        <f>IF($A155="","",SUMIF('Compras'!$B:$B,$A155,'Compras'!$D:$D)+SUMIF('Traslados'!$H:$H,$A155&amp;"|Casa",'Traslados'!$D:$D)-SUMIF('Traslados'!$G:$G,$A155&amp;"|Casa",'Traslados'!$D:$D)-SUMIF('Ventas'!$M:$M,$A155&amp;"|Casa",'Ventas'!$F:$F)+SUMIF('Ajustes'!$H:$H,$A155&amp;"|Casa",'Ajustes'!$D:$D))</f>
      </c>
      <c r="H155" s="17">
        <f>IF($A155="","",SUMIF('Traslados'!$H:$H,$A155&amp;"|Mercado Libre",'Traslados'!$D:$D)-SUMIF('Traslados'!$G:$G,$A155&amp;"|Mercado Libre",'Traslados'!$D:$D)-SUMIF('Ventas'!$M:$M,$A155&amp;"|Mercado Libre",'Ventas'!$F:$F)+SUMIF('Ajustes'!$H:$H,$A155&amp;"|Mercado Libre",'Ajustes'!$D:$D))</f>
      </c>
      <c r="I155" s="17">
        <f>IF($A155="","",$G155+$H155)</f>
      </c>
      <c r="J155" s="16">
        <f>IF($A155="","",$I155*$F155)</f>
      </c>
      <c r="K155" s="19">
        <f>IF($A155="","",IF($I155&lt;=0,"Agotado",IF($I155&lt;=$E155,"Stock bajo","Disponible")))</f>
      </c>
      <c r="L155" s="17">
        <f>IF($A155="","",IFERROR(VLOOKUP($C155,'Config'!$D$2:$E$30,2,FALSE),0))</f>
      </c>
      <c r="M155" s="20"/>
      <c r="N155" s="22"/>
      <c r="O155" s="22"/>
      <c r="P155" s="17">
        <f>IF(OR($A155="",$D155&lt;&gt;"Activo"),"",SUMPRODUCT(($C$2:$C$201=$C155)*($D$2:$D$201="Activo")*(($S$2:$S$201&lt;$S155)+(($S$2:$S$201=$S155)*($B$2:$B$201&lt;$B155))))+1)</f>
      </c>
      <c r="Q155" s="19">
        <f>IF($P155="","",$C155&amp;"|"&amp;$P155)</f>
      </c>
      <c r="R155" s="20"/>
      <c r="S155" s="17">
        <f>IF($A155="","",IFERROR(VALUE(TRIM(LEFT($R155,FIND("x",LOWER($R155))-1)))*VALUE(TRIM(MID($R155,FIND("x",LOWER($R155))+1,20))),0))</f>
      </c>
      <c r="T155" s="17">
        <f>IF(OR($A155="",$D155&lt;&gt;"Activo"),"",SUMPRODUCT(($D$2:$D$201="Activo")*(($C$2:$C$201&lt;$C155)+(($C$2:$C$201=$C155)*($S$2:$S$201&lt;$S155))+(($C$2:$C$201=$C155)*($S$2:$S$201=$S155)*($B$2:$B$201&lt;$B155))))+1)</f>
      </c>
      <c r="U155" s="19">
        <f>IF($T155="","","TODAS|"&amp;$T155)</f>
      </c>
      <c r="V155" s="14">
        <f>IF($A155="","",IFERROR(IF(COUNTIF('Compras'!$B:$B,$A155)=0,"",MINIFS('Compras'!$A:$A,'Compras'!$B:$B,$A155)),""))</f>
      </c>
      <c r="W155" s="17">
        <f>IF(OR($A155="",$V155=""),"",TODAY()-$V155)</f>
      </c>
      <c r="X155" s="17">
        <f>IF($A155="","",SUMIF('Ventas'!$D:$D,$A155,'Ventas'!$F:$F))</f>
      </c>
      <c r="Y155" s="19">
        <f>IF($A155="","",IF(AND($X155&gt;=3,$W155&lt;&gt;"",$W155&lt;=15),"🔥 Se vende rápido — REABASTECE",IF($K155="Agotado","🔴 Agotado — reabastece",IF($K155="Stock bajo","🟠 Stock bajo","✅ Ok"))))</f>
      </c>
    </row>
    <row r="156">
      <c r="A156" s="20"/>
      <c r="B156" s="20"/>
      <c r="C156" s="20"/>
      <c r="D156" s="20"/>
      <c r="E156" s="21"/>
      <c r="F156" s="16">
        <f>IF($A156="","",IFERROR(SUMIF('Compras'!$B:$B,$A156,'Compras'!$F:$F)/SUMIF('Compras'!$B:$B,$A156,'Compras'!$D:$D),0))</f>
      </c>
      <c r="G156" s="17">
        <f>IF($A156="","",SUMIF('Compras'!$B:$B,$A156,'Compras'!$D:$D)+SUMIF('Traslados'!$H:$H,$A156&amp;"|Casa",'Traslados'!$D:$D)-SUMIF('Traslados'!$G:$G,$A156&amp;"|Casa",'Traslados'!$D:$D)-SUMIF('Ventas'!$M:$M,$A156&amp;"|Casa",'Ventas'!$F:$F)+SUMIF('Ajustes'!$H:$H,$A156&amp;"|Casa",'Ajustes'!$D:$D))</f>
      </c>
      <c r="H156" s="17">
        <f>IF($A156="","",SUMIF('Traslados'!$H:$H,$A156&amp;"|Mercado Libre",'Traslados'!$D:$D)-SUMIF('Traslados'!$G:$G,$A156&amp;"|Mercado Libre",'Traslados'!$D:$D)-SUMIF('Ventas'!$M:$M,$A156&amp;"|Mercado Libre",'Ventas'!$F:$F)+SUMIF('Ajustes'!$H:$H,$A156&amp;"|Mercado Libre",'Ajustes'!$D:$D))</f>
      </c>
      <c r="I156" s="17">
        <f>IF($A156="","",$G156+$H156)</f>
      </c>
      <c r="J156" s="16">
        <f>IF($A156="","",$I156*$F156)</f>
      </c>
      <c r="K156" s="19">
        <f>IF($A156="","",IF($I156&lt;=0,"Agotado",IF($I156&lt;=$E156,"Stock bajo","Disponible")))</f>
      </c>
      <c r="L156" s="17">
        <f>IF($A156="","",IFERROR(VLOOKUP($C156,'Config'!$D$2:$E$30,2,FALSE),0))</f>
      </c>
      <c r="M156" s="20"/>
      <c r="N156" s="22"/>
      <c r="O156" s="22"/>
      <c r="P156" s="17">
        <f>IF(OR($A156="",$D156&lt;&gt;"Activo"),"",SUMPRODUCT(($C$2:$C$201=$C156)*($D$2:$D$201="Activo")*(($S$2:$S$201&lt;$S156)+(($S$2:$S$201=$S156)*($B$2:$B$201&lt;$B156))))+1)</f>
      </c>
      <c r="Q156" s="19">
        <f>IF($P156="","",$C156&amp;"|"&amp;$P156)</f>
      </c>
      <c r="R156" s="20"/>
      <c r="S156" s="17">
        <f>IF($A156="","",IFERROR(VALUE(TRIM(LEFT($R156,FIND("x",LOWER($R156))-1)))*VALUE(TRIM(MID($R156,FIND("x",LOWER($R156))+1,20))),0))</f>
      </c>
      <c r="T156" s="17">
        <f>IF(OR($A156="",$D156&lt;&gt;"Activo"),"",SUMPRODUCT(($D$2:$D$201="Activo")*(($C$2:$C$201&lt;$C156)+(($C$2:$C$201=$C156)*($S$2:$S$201&lt;$S156))+(($C$2:$C$201=$C156)*($S$2:$S$201=$S156)*($B$2:$B$201&lt;$B156))))+1)</f>
      </c>
      <c r="U156" s="19">
        <f>IF($T156="","","TODAS|"&amp;$T156)</f>
      </c>
      <c r="V156" s="14">
        <f>IF($A156="","",IFERROR(IF(COUNTIF('Compras'!$B:$B,$A156)=0,"",MINIFS('Compras'!$A:$A,'Compras'!$B:$B,$A156)),""))</f>
      </c>
      <c r="W156" s="17">
        <f>IF(OR($A156="",$V156=""),"",TODAY()-$V156)</f>
      </c>
      <c r="X156" s="17">
        <f>IF($A156="","",SUMIF('Ventas'!$D:$D,$A156,'Ventas'!$F:$F))</f>
      </c>
      <c r="Y156" s="19">
        <f>IF($A156="","",IF(AND($X156&gt;=3,$W156&lt;&gt;"",$W156&lt;=15),"🔥 Se vende rápido — REABASTECE",IF($K156="Agotado","🔴 Agotado — reabastece",IF($K156="Stock bajo","🟠 Stock bajo","✅ Ok"))))</f>
      </c>
    </row>
    <row r="157">
      <c r="A157" s="20"/>
      <c r="B157" s="20"/>
      <c r="C157" s="20"/>
      <c r="D157" s="20"/>
      <c r="E157" s="21"/>
      <c r="F157" s="16">
        <f>IF($A157="","",IFERROR(SUMIF('Compras'!$B:$B,$A157,'Compras'!$F:$F)/SUMIF('Compras'!$B:$B,$A157,'Compras'!$D:$D),0))</f>
      </c>
      <c r="G157" s="17">
        <f>IF($A157="","",SUMIF('Compras'!$B:$B,$A157,'Compras'!$D:$D)+SUMIF('Traslados'!$H:$H,$A157&amp;"|Casa",'Traslados'!$D:$D)-SUMIF('Traslados'!$G:$G,$A157&amp;"|Casa",'Traslados'!$D:$D)-SUMIF('Ventas'!$M:$M,$A157&amp;"|Casa",'Ventas'!$F:$F)+SUMIF('Ajustes'!$H:$H,$A157&amp;"|Casa",'Ajustes'!$D:$D))</f>
      </c>
      <c r="H157" s="17">
        <f>IF($A157="","",SUMIF('Traslados'!$H:$H,$A157&amp;"|Mercado Libre",'Traslados'!$D:$D)-SUMIF('Traslados'!$G:$G,$A157&amp;"|Mercado Libre",'Traslados'!$D:$D)-SUMIF('Ventas'!$M:$M,$A157&amp;"|Mercado Libre",'Ventas'!$F:$F)+SUMIF('Ajustes'!$H:$H,$A157&amp;"|Mercado Libre",'Ajustes'!$D:$D))</f>
      </c>
      <c r="I157" s="17">
        <f>IF($A157="","",$G157+$H157)</f>
      </c>
      <c r="J157" s="16">
        <f>IF($A157="","",$I157*$F157)</f>
      </c>
      <c r="K157" s="19">
        <f>IF($A157="","",IF($I157&lt;=0,"Agotado",IF($I157&lt;=$E157,"Stock bajo","Disponible")))</f>
      </c>
      <c r="L157" s="17">
        <f>IF($A157="","",IFERROR(VLOOKUP($C157,'Config'!$D$2:$E$30,2,FALSE),0))</f>
      </c>
      <c r="M157" s="20"/>
      <c r="N157" s="22"/>
      <c r="O157" s="22"/>
      <c r="P157" s="17">
        <f>IF(OR($A157="",$D157&lt;&gt;"Activo"),"",SUMPRODUCT(($C$2:$C$201=$C157)*($D$2:$D$201="Activo")*(($S$2:$S$201&lt;$S157)+(($S$2:$S$201=$S157)*($B$2:$B$201&lt;$B157))))+1)</f>
      </c>
      <c r="Q157" s="19">
        <f>IF($P157="","",$C157&amp;"|"&amp;$P157)</f>
      </c>
      <c r="R157" s="20"/>
      <c r="S157" s="17">
        <f>IF($A157="","",IFERROR(VALUE(TRIM(LEFT($R157,FIND("x",LOWER($R157))-1)))*VALUE(TRIM(MID($R157,FIND("x",LOWER($R157))+1,20))),0))</f>
      </c>
      <c r="T157" s="17">
        <f>IF(OR($A157="",$D157&lt;&gt;"Activo"),"",SUMPRODUCT(($D$2:$D$201="Activo")*(($C$2:$C$201&lt;$C157)+(($C$2:$C$201=$C157)*($S$2:$S$201&lt;$S157))+(($C$2:$C$201=$C157)*($S$2:$S$201=$S157)*($B$2:$B$201&lt;$B157))))+1)</f>
      </c>
      <c r="U157" s="19">
        <f>IF($T157="","","TODAS|"&amp;$T157)</f>
      </c>
      <c r="V157" s="14">
        <f>IF($A157="","",IFERROR(IF(COUNTIF('Compras'!$B:$B,$A157)=0,"",MINIFS('Compras'!$A:$A,'Compras'!$B:$B,$A157)),""))</f>
      </c>
      <c r="W157" s="17">
        <f>IF(OR($A157="",$V157=""),"",TODAY()-$V157)</f>
      </c>
      <c r="X157" s="17">
        <f>IF($A157="","",SUMIF('Ventas'!$D:$D,$A157,'Ventas'!$F:$F))</f>
      </c>
      <c r="Y157" s="19">
        <f>IF($A157="","",IF(AND($X157&gt;=3,$W157&lt;&gt;"",$W157&lt;=15),"🔥 Se vende rápido — REABASTECE",IF($K157="Agotado","🔴 Agotado — reabastece",IF($K157="Stock bajo","🟠 Stock bajo","✅ Ok"))))</f>
      </c>
    </row>
    <row r="158">
      <c r="A158" s="20"/>
      <c r="B158" s="20"/>
      <c r="C158" s="20"/>
      <c r="D158" s="20"/>
      <c r="E158" s="21"/>
      <c r="F158" s="16">
        <f>IF($A158="","",IFERROR(SUMIF('Compras'!$B:$B,$A158,'Compras'!$F:$F)/SUMIF('Compras'!$B:$B,$A158,'Compras'!$D:$D),0))</f>
      </c>
      <c r="G158" s="17">
        <f>IF($A158="","",SUMIF('Compras'!$B:$B,$A158,'Compras'!$D:$D)+SUMIF('Traslados'!$H:$H,$A158&amp;"|Casa",'Traslados'!$D:$D)-SUMIF('Traslados'!$G:$G,$A158&amp;"|Casa",'Traslados'!$D:$D)-SUMIF('Ventas'!$M:$M,$A158&amp;"|Casa",'Ventas'!$F:$F)+SUMIF('Ajustes'!$H:$H,$A158&amp;"|Casa",'Ajustes'!$D:$D))</f>
      </c>
      <c r="H158" s="17">
        <f>IF($A158="","",SUMIF('Traslados'!$H:$H,$A158&amp;"|Mercado Libre",'Traslados'!$D:$D)-SUMIF('Traslados'!$G:$G,$A158&amp;"|Mercado Libre",'Traslados'!$D:$D)-SUMIF('Ventas'!$M:$M,$A158&amp;"|Mercado Libre",'Ventas'!$F:$F)+SUMIF('Ajustes'!$H:$H,$A158&amp;"|Mercado Libre",'Ajustes'!$D:$D))</f>
      </c>
      <c r="I158" s="17">
        <f>IF($A158="","",$G158+$H158)</f>
      </c>
      <c r="J158" s="16">
        <f>IF($A158="","",$I158*$F158)</f>
      </c>
      <c r="K158" s="19">
        <f>IF($A158="","",IF($I158&lt;=0,"Agotado",IF($I158&lt;=$E158,"Stock bajo","Disponible")))</f>
      </c>
      <c r="L158" s="17">
        <f>IF($A158="","",IFERROR(VLOOKUP($C158,'Config'!$D$2:$E$30,2,FALSE),0))</f>
      </c>
      <c r="M158" s="20"/>
      <c r="N158" s="22"/>
      <c r="O158" s="22"/>
      <c r="P158" s="17">
        <f>IF(OR($A158="",$D158&lt;&gt;"Activo"),"",SUMPRODUCT(($C$2:$C$201=$C158)*($D$2:$D$201="Activo")*(($S$2:$S$201&lt;$S158)+(($S$2:$S$201=$S158)*($B$2:$B$201&lt;$B158))))+1)</f>
      </c>
      <c r="Q158" s="19">
        <f>IF($P158="","",$C158&amp;"|"&amp;$P158)</f>
      </c>
      <c r="R158" s="20"/>
      <c r="S158" s="17">
        <f>IF($A158="","",IFERROR(VALUE(TRIM(LEFT($R158,FIND("x",LOWER($R158))-1)))*VALUE(TRIM(MID($R158,FIND("x",LOWER($R158))+1,20))),0))</f>
      </c>
      <c r="T158" s="17">
        <f>IF(OR($A158="",$D158&lt;&gt;"Activo"),"",SUMPRODUCT(($D$2:$D$201="Activo")*(($C$2:$C$201&lt;$C158)+(($C$2:$C$201=$C158)*($S$2:$S$201&lt;$S158))+(($C$2:$C$201=$C158)*($S$2:$S$201=$S158)*($B$2:$B$201&lt;$B158))))+1)</f>
      </c>
      <c r="U158" s="19">
        <f>IF($T158="","","TODAS|"&amp;$T158)</f>
      </c>
      <c r="V158" s="14">
        <f>IF($A158="","",IFERROR(IF(COUNTIF('Compras'!$B:$B,$A158)=0,"",MINIFS('Compras'!$A:$A,'Compras'!$B:$B,$A158)),""))</f>
      </c>
      <c r="W158" s="17">
        <f>IF(OR($A158="",$V158=""),"",TODAY()-$V158)</f>
      </c>
      <c r="X158" s="17">
        <f>IF($A158="","",SUMIF('Ventas'!$D:$D,$A158,'Ventas'!$F:$F))</f>
      </c>
      <c r="Y158" s="19">
        <f>IF($A158="","",IF(AND($X158&gt;=3,$W158&lt;&gt;"",$W158&lt;=15),"🔥 Se vende rápido — REABASTECE",IF($K158="Agotado","🔴 Agotado — reabastece",IF($K158="Stock bajo","🟠 Stock bajo","✅ Ok"))))</f>
      </c>
    </row>
    <row r="159">
      <c r="A159" s="20"/>
      <c r="B159" s="20"/>
      <c r="C159" s="20"/>
      <c r="D159" s="20"/>
      <c r="E159" s="21"/>
      <c r="F159" s="16">
        <f>IF($A159="","",IFERROR(SUMIF('Compras'!$B:$B,$A159,'Compras'!$F:$F)/SUMIF('Compras'!$B:$B,$A159,'Compras'!$D:$D),0))</f>
      </c>
      <c r="G159" s="17">
        <f>IF($A159="","",SUMIF('Compras'!$B:$B,$A159,'Compras'!$D:$D)+SUMIF('Traslados'!$H:$H,$A159&amp;"|Casa",'Traslados'!$D:$D)-SUMIF('Traslados'!$G:$G,$A159&amp;"|Casa",'Traslados'!$D:$D)-SUMIF('Ventas'!$M:$M,$A159&amp;"|Casa",'Ventas'!$F:$F)+SUMIF('Ajustes'!$H:$H,$A159&amp;"|Casa",'Ajustes'!$D:$D))</f>
      </c>
      <c r="H159" s="17">
        <f>IF($A159="","",SUMIF('Traslados'!$H:$H,$A159&amp;"|Mercado Libre",'Traslados'!$D:$D)-SUMIF('Traslados'!$G:$G,$A159&amp;"|Mercado Libre",'Traslados'!$D:$D)-SUMIF('Ventas'!$M:$M,$A159&amp;"|Mercado Libre",'Ventas'!$F:$F)+SUMIF('Ajustes'!$H:$H,$A159&amp;"|Mercado Libre",'Ajustes'!$D:$D))</f>
      </c>
      <c r="I159" s="17">
        <f>IF($A159="","",$G159+$H159)</f>
      </c>
      <c r="J159" s="16">
        <f>IF($A159="","",$I159*$F159)</f>
      </c>
      <c r="K159" s="19">
        <f>IF($A159="","",IF($I159&lt;=0,"Agotado",IF($I159&lt;=$E159,"Stock bajo","Disponible")))</f>
      </c>
      <c r="L159" s="17">
        <f>IF($A159="","",IFERROR(VLOOKUP($C159,'Config'!$D$2:$E$30,2,FALSE),0))</f>
      </c>
      <c r="M159" s="20"/>
      <c r="N159" s="22"/>
      <c r="O159" s="22"/>
      <c r="P159" s="17">
        <f>IF(OR($A159="",$D159&lt;&gt;"Activo"),"",SUMPRODUCT(($C$2:$C$201=$C159)*($D$2:$D$201="Activo")*(($S$2:$S$201&lt;$S159)+(($S$2:$S$201=$S159)*($B$2:$B$201&lt;$B159))))+1)</f>
      </c>
      <c r="Q159" s="19">
        <f>IF($P159="","",$C159&amp;"|"&amp;$P159)</f>
      </c>
      <c r="R159" s="20"/>
      <c r="S159" s="17">
        <f>IF($A159="","",IFERROR(VALUE(TRIM(LEFT($R159,FIND("x",LOWER($R159))-1)))*VALUE(TRIM(MID($R159,FIND("x",LOWER($R159))+1,20))),0))</f>
      </c>
      <c r="T159" s="17">
        <f>IF(OR($A159="",$D159&lt;&gt;"Activo"),"",SUMPRODUCT(($D$2:$D$201="Activo")*(($C$2:$C$201&lt;$C159)+(($C$2:$C$201=$C159)*($S$2:$S$201&lt;$S159))+(($C$2:$C$201=$C159)*($S$2:$S$201=$S159)*($B$2:$B$201&lt;$B159))))+1)</f>
      </c>
      <c r="U159" s="19">
        <f>IF($T159="","","TODAS|"&amp;$T159)</f>
      </c>
      <c r="V159" s="14">
        <f>IF($A159="","",IFERROR(IF(COUNTIF('Compras'!$B:$B,$A159)=0,"",MINIFS('Compras'!$A:$A,'Compras'!$B:$B,$A159)),""))</f>
      </c>
      <c r="W159" s="17">
        <f>IF(OR($A159="",$V159=""),"",TODAY()-$V159)</f>
      </c>
      <c r="X159" s="17">
        <f>IF($A159="","",SUMIF('Ventas'!$D:$D,$A159,'Ventas'!$F:$F))</f>
      </c>
      <c r="Y159" s="19">
        <f>IF($A159="","",IF(AND($X159&gt;=3,$W159&lt;&gt;"",$W159&lt;=15),"🔥 Se vende rápido — REABASTECE",IF($K159="Agotado","🔴 Agotado — reabastece",IF($K159="Stock bajo","🟠 Stock bajo","✅ Ok"))))</f>
      </c>
    </row>
    <row r="160">
      <c r="A160" s="20"/>
      <c r="B160" s="20"/>
      <c r="C160" s="20"/>
      <c r="D160" s="20"/>
      <c r="E160" s="21"/>
      <c r="F160" s="16">
        <f>IF($A160="","",IFERROR(SUMIF('Compras'!$B:$B,$A160,'Compras'!$F:$F)/SUMIF('Compras'!$B:$B,$A160,'Compras'!$D:$D),0))</f>
      </c>
      <c r="G160" s="17">
        <f>IF($A160="","",SUMIF('Compras'!$B:$B,$A160,'Compras'!$D:$D)+SUMIF('Traslados'!$H:$H,$A160&amp;"|Casa",'Traslados'!$D:$D)-SUMIF('Traslados'!$G:$G,$A160&amp;"|Casa",'Traslados'!$D:$D)-SUMIF('Ventas'!$M:$M,$A160&amp;"|Casa",'Ventas'!$F:$F)+SUMIF('Ajustes'!$H:$H,$A160&amp;"|Casa",'Ajustes'!$D:$D))</f>
      </c>
      <c r="H160" s="17">
        <f>IF($A160="","",SUMIF('Traslados'!$H:$H,$A160&amp;"|Mercado Libre",'Traslados'!$D:$D)-SUMIF('Traslados'!$G:$G,$A160&amp;"|Mercado Libre",'Traslados'!$D:$D)-SUMIF('Ventas'!$M:$M,$A160&amp;"|Mercado Libre",'Ventas'!$F:$F)+SUMIF('Ajustes'!$H:$H,$A160&amp;"|Mercado Libre",'Ajustes'!$D:$D))</f>
      </c>
      <c r="I160" s="17">
        <f>IF($A160="","",$G160+$H160)</f>
      </c>
      <c r="J160" s="16">
        <f>IF($A160="","",$I160*$F160)</f>
      </c>
      <c r="K160" s="19">
        <f>IF($A160="","",IF($I160&lt;=0,"Agotado",IF($I160&lt;=$E160,"Stock bajo","Disponible")))</f>
      </c>
      <c r="L160" s="17">
        <f>IF($A160="","",IFERROR(VLOOKUP($C160,'Config'!$D$2:$E$30,2,FALSE),0))</f>
      </c>
      <c r="M160" s="20"/>
      <c r="N160" s="22"/>
      <c r="O160" s="22"/>
      <c r="P160" s="17">
        <f>IF(OR($A160="",$D160&lt;&gt;"Activo"),"",SUMPRODUCT(($C$2:$C$201=$C160)*($D$2:$D$201="Activo")*(($S$2:$S$201&lt;$S160)+(($S$2:$S$201=$S160)*($B$2:$B$201&lt;$B160))))+1)</f>
      </c>
      <c r="Q160" s="19">
        <f>IF($P160="","",$C160&amp;"|"&amp;$P160)</f>
      </c>
      <c r="R160" s="20"/>
      <c r="S160" s="17">
        <f>IF($A160="","",IFERROR(VALUE(TRIM(LEFT($R160,FIND("x",LOWER($R160))-1)))*VALUE(TRIM(MID($R160,FIND("x",LOWER($R160))+1,20))),0))</f>
      </c>
      <c r="T160" s="17">
        <f>IF(OR($A160="",$D160&lt;&gt;"Activo"),"",SUMPRODUCT(($D$2:$D$201="Activo")*(($C$2:$C$201&lt;$C160)+(($C$2:$C$201=$C160)*($S$2:$S$201&lt;$S160))+(($C$2:$C$201=$C160)*($S$2:$S$201=$S160)*($B$2:$B$201&lt;$B160))))+1)</f>
      </c>
      <c r="U160" s="19">
        <f>IF($T160="","","TODAS|"&amp;$T160)</f>
      </c>
      <c r="V160" s="14">
        <f>IF($A160="","",IFERROR(IF(COUNTIF('Compras'!$B:$B,$A160)=0,"",MINIFS('Compras'!$A:$A,'Compras'!$B:$B,$A160)),""))</f>
      </c>
      <c r="W160" s="17">
        <f>IF(OR($A160="",$V160=""),"",TODAY()-$V160)</f>
      </c>
      <c r="X160" s="17">
        <f>IF($A160="","",SUMIF('Ventas'!$D:$D,$A160,'Ventas'!$F:$F))</f>
      </c>
      <c r="Y160" s="19">
        <f>IF($A160="","",IF(AND($X160&gt;=3,$W160&lt;&gt;"",$W160&lt;=15),"🔥 Se vende rápido — REABASTECE",IF($K160="Agotado","🔴 Agotado — reabastece",IF($K160="Stock bajo","🟠 Stock bajo","✅ Ok"))))</f>
      </c>
    </row>
    <row r="161">
      <c r="A161" s="20"/>
      <c r="B161" s="20"/>
      <c r="C161" s="20"/>
      <c r="D161" s="20"/>
      <c r="E161" s="21"/>
      <c r="F161" s="16">
        <f>IF($A161="","",IFERROR(SUMIF('Compras'!$B:$B,$A161,'Compras'!$F:$F)/SUMIF('Compras'!$B:$B,$A161,'Compras'!$D:$D),0))</f>
      </c>
      <c r="G161" s="17">
        <f>IF($A161="","",SUMIF('Compras'!$B:$B,$A161,'Compras'!$D:$D)+SUMIF('Traslados'!$H:$H,$A161&amp;"|Casa",'Traslados'!$D:$D)-SUMIF('Traslados'!$G:$G,$A161&amp;"|Casa",'Traslados'!$D:$D)-SUMIF('Ventas'!$M:$M,$A161&amp;"|Casa",'Ventas'!$F:$F)+SUMIF('Ajustes'!$H:$H,$A161&amp;"|Casa",'Ajustes'!$D:$D))</f>
      </c>
      <c r="H161" s="17">
        <f>IF($A161="","",SUMIF('Traslados'!$H:$H,$A161&amp;"|Mercado Libre",'Traslados'!$D:$D)-SUMIF('Traslados'!$G:$G,$A161&amp;"|Mercado Libre",'Traslados'!$D:$D)-SUMIF('Ventas'!$M:$M,$A161&amp;"|Mercado Libre",'Ventas'!$F:$F)+SUMIF('Ajustes'!$H:$H,$A161&amp;"|Mercado Libre",'Ajustes'!$D:$D))</f>
      </c>
      <c r="I161" s="17">
        <f>IF($A161="","",$G161+$H161)</f>
      </c>
      <c r="J161" s="16">
        <f>IF($A161="","",$I161*$F161)</f>
      </c>
      <c r="K161" s="19">
        <f>IF($A161="","",IF($I161&lt;=0,"Agotado",IF($I161&lt;=$E161,"Stock bajo","Disponible")))</f>
      </c>
      <c r="L161" s="17">
        <f>IF($A161="","",IFERROR(VLOOKUP($C161,'Config'!$D$2:$E$30,2,FALSE),0))</f>
      </c>
      <c r="M161" s="20"/>
      <c r="N161" s="22"/>
      <c r="O161" s="22"/>
      <c r="P161" s="17">
        <f>IF(OR($A161="",$D161&lt;&gt;"Activo"),"",SUMPRODUCT(($C$2:$C$201=$C161)*($D$2:$D$201="Activo")*(($S$2:$S$201&lt;$S161)+(($S$2:$S$201=$S161)*($B$2:$B$201&lt;$B161))))+1)</f>
      </c>
      <c r="Q161" s="19">
        <f>IF($P161="","",$C161&amp;"|"&amp;$P161)</f>
      </c>
      <c r="R161" s="20"/>
      <c r="S161" s="17">
        <f>IF($A161="","",IFERROR(VALUE(TRIM(LEFT($R161,FIND("x",LOWER($R161))-1)))*VALUE(TRIM(MID($R161,FIND("x",LOWER($R161))+1,20))),0))</f>
      </c>
      <c r="T161" s="17">
        <f>IF(OR($A161="",$D161&lt;&gt;"Activo"),"",SUMPRODUCT(($D$2:$D$201="Activo")*(($C$2:$C$201&lt;$C161)+(($C$2:$C$201=$C161)*($S$2:$S$201&lt;$S161))+(($C$2:$C$201=$C161)*($S$2:$S$201=$S161)*($B$2:$B$201&lt;$B161))))+1)</f>
      </c>
      <c r="U161" s="19">
        <f>IF($T161="","","TODAS|"&amp;$T161)</f>
      </c>
      <c r="V161" s="14">
        <f>IF($A161="","",IFERROR(IF(COUNTIF('Compras'!$B:$B,$A161)=0,"",MINIFS('Compras'!$A:$A,'Compras'!$B:$B,$A161)),""))</f>
      </c>
      <c r="W161" s="17">
        <f>IF(OR($A161="",$V161=""),"",TODAY()-$V161)</f>
      </c>
      <c r="X161" s="17">
        <f>IF($A161="","",SUMIF('Ventas'!$D:$D,$A161,'Ventas'!$F:$F))</f>
      </c>
      <c r="Y161" s="19">
        <f>IF($A161="","",IF(AND($X161&gt;=3,$W161&lt;&gt;"",$W161&lt;=15),"🔥 Se vende rápido — REABASTECE",IF($K161="Agotado","🔴 Agotado — reabastece",IF($K161="Stock bajo","🟠 Stock bajo","✅ Ok"))))</f>
      </c>
    </row>
    <row r="162">
      <c r="A162" s="20"/>
      <c r="B162" s="20"/>
      <c r="C162" s="20"/>
      <c r="D162" s="20"/>
      <c r="E162" s="21"/>
      <c r="F162" s="16">
        <f>IF($A162="","",IFERROR(SUMIF('Compras'!$B:$B,$A162,'Compras'!$F:$F)/SUMIF('Compras'!$B:$B,$A162,'Compras'!$D:$D),0))</f>
      </c>
      <c r="G162" s="17">
        <f>IF($A162="","",SUMIF('Compras'!$B:$B,$A162,'Compras'!$D:$D)+SUMIF('Traslados'!$H:$H,$A162&amp;"|Casa",'Traslados'!$D:$D)-SUMIF('Traslados'!$G:$G,$A162&amp;"|Casa",'Traslados'!$D:$D)-SUMIF('Ventas'!$M:$M,$A162&amp;"|Casa",'Ventas'!$F:$F)+SUMIF('Ajustes'!$H:$H,$A162&amp;"|Casa",'Ajustes'!$D:$D))</f>
      </c>
      <c r="H162" s="17">
        <f>IF($A162="","",SUMIF('Traslados'!$H:$H,$A162&amp;"|Mercado Libre",'Traslados'!$D:$D)-SUMIF('Traslados'!$G:$G,$A162&amp;"|Mercado Libre",'Traslados'!$D:$D)-SUMIF('Ventas'!$M:$M,$A162&amp;"|Mercado Libre",'Ventas'!$F:$F)+SUMIF('Ajustes'!$H:$H,$A162&amp;"|Mercado Libre",'Ajustes'!$D:$D))</f>
      </c>
      <c r="I162" s="17">
        <f>IF($A162="","",$G162+$H162)</f>
      </c>
      <c r="J162" s="16">
        <f>IF($A162="","",$I162*$F162)</f>
      </c>
      <c r="K162" s="19">
        <f>IF($A162="","",IF($I162&lt;=0,"Agotado",IF($I162&lt;=$E162,"Stock bajo","Disponible")))</f>
      </c>
      <c r="L162" s="17">
        <f>IF($A162="","",IFERROR(VLOOKUP($C162,'Config'!$D$2:$E$30,2,FALSE),0))</f>
      </c>
      <c r="M162" s="20"/>
      <c r="N162" s="22"/>
      <c r="O162" s="22"/>
      <c r="P162" s="17">
        <f>IF(OR($A162="",$D162&lt;&gt;"Activo"),"",SUMPRODUCT(($C$2:$C$201=$C162)*($D$2:$D$201="Activo")*(($S$2:$S$201&lt;$S162)+(($S$2:$S$201=$S162)*($B$2:$B$201&lt;$B162))))+1)</f>
      </c>
      <c r="Q162" s="19">
        <f>IF($P162="","",$C162&amp;"|"&amp;$P162)</f>
      </c>
      <c r="R162" s="20"/>
      <c r="S162" s="17">
        <f>IF($A162="","",IFERROR(VALUE(TRIM(LEFT($R162,FIND("x",LOWER($R162))-1)))*VALUE(TRIM(MID($R162,FIND("x",LOWER($R162))+1,20))),0))</f>
      </c>
      <c r="T162" s="17">
        <f>IF(OR($A162="",$D162&lt;&gt;"Activo"),"",SUMPRODUCT(($D$2:$D$201="Activo")*(($C$2:$C$201&lt;$C162)+(($C$2:$C$201=$C162)*($S$2:$S$201&lt;$S162))+(($C$2:$C$201=$C162)*($S$2:$S$201=$S162)*($B$2:$B$201&lt;$B162))))+1)</f>
      </c>
      <c r="U162" s="19">
        <f>IF($T162="","","TODAS|"&amp;$T162)</f>
      </c>
      <c r="V162" s="14">
        <f>IF($A162="","",IFERROR(IF(COUNTIF('Compras'!$B:$B,$A162)=0,"",MINIFS('Compras'!$A:$A,'Compras'!$B:$B,$A162)),""))</f>
      </c>
      <c r="W162" s="17">
        <f>IF(OR($A162="",$V162=""),"",TODAY()-$V162)</f>
      </c>
      <c r="X162" s="17">
        <f>IF($A162="","",SUMIF('Ventas'!$D:$D,$A162,'Ventas'!$F:$F))</f>
      </c>
      <c r="Y162" s="19">
        <f>IF($A162="","",IF(AND($X162&gt;=3,$W162&lt;&gt;"",$W162&lt;=15),"🔥 Se vende rápido — REABASTECE",IF($K162="Agotado","🔴 Agotado — reabastece",IF($K162="Stock bajo","🟠 Stock bajo","✅ Ok"))))</f>
      </c>
    </row>
    <row r="163">
      <c r="A163" s="20"/>
      <c r="B163" s="20"/>
      <c r="C163" s="20"/>
      <c r="D163" s="20"/>
      <c r="E163" s="21"/>
      <c r="F163" s="16">
        <f>IF($A163="","",IFERROR(SUMIF('Compras'!$B:$B,$A163,'Compras'!$F:$F)/SUMIF('Compras'!$B:$B,$A163,'Compras'!$D:$D),0))</f>
      </c>
      <c r="G163" s="17">
        <f>IF($A163="","",SUMIF('Compras'!$B:$B,$A163,'Compras'!$D:$D)+SUMIF('Traslados'!$H:$H,$A163&amp;"|Casa",'Traslados'!$D:$D)-SUMIF('Traslados'!$G:$G,$A163&amp;"|Casa",'Traslados'!$D:$D)-SUMIF('Ventas'!$M:$M,$A163&amp;"|Casa",'Ventas'!$F:$F)+SUMIF('Ajustes'!$H:$H,$A163&amp;"|Casa",'Ajustes'!$D:$D))</f>
      </c>
      <c r="H163" s="17">
        <f>IF($A163="","",SUMIF('Traslados'!$H:$H,$A163&amp;"|Mercado Libre",'Traslados'!$D:$D)-SUMIF('Traslados'!$G:$G,$A163&amp;"|Mercado Libre",'Traslados'!$D:$D)-SUMIF('Ventas'!$M:$M,$A163&amp;"|Mercado Libre",'Ventas'!$F:$F)+SUMIF('Ajustes'!$H:$H,$A163&amp;"|Mercado Libre",'Ajustes'!$D:$D))</f>
      </c>
      <c r="I163" s="17">
        <f>IF($A163="","",$G163+$H163)</f>
      </c>
      <c r="J163" s="16">
        <f>IF($A163="","",$I163*$F163)</f>
      </c>
      <c r="K163" s="19">
        <f>IF($A163="","",IF($I163&lt;=0,"Agotado",IF($I163&lt;=$E163,"Stock bajo","Disponible")))</f>
      </c>
      <c r="L163" s="17">
        <f>IF($A163="","",IFERROR(VLOOKUP($C163,'Config'!$D$2:$E$30,2,FALSE),0))</f>
      </c>
      <c r="M163" s="20"/>
      <c r="N163" s="22"/>
      <c r="O163" s="22"/>
      <c r="P163" s="17">
        <f>IF(OR($A163="",$D163&lt;&gt;"Activo"),"",SUMPRODUCT(($C$2:$C$201=$C163)*($D$2:$D$201="Activo")*(($S$2:$S$201&lt;$S163)+(($S$2:$S$201=$S163)*($B$2:$B$201&lt;$B163))))+1)</f>
      </c>
      <c r="Q163" s="19">
        <f>IF($P163="","",$C163&amp;"|"&amp;$P163)</f>
      </c>
      <c r="R163" s="20"/>
      <c r="S163" s="17">
        <f>IF($A163="","",IFERROR(VALUE(TRIM(LEFT($R163,FIND("x",LOWER($R163))-1)))*VALUE(TRIM(MID($R163,FIND("x",LOWER($R163))+1,20))),0))</f>
      </c>
      <c r="T163" s="17">
        <f>IF(OR($A163="",$D163&lt;&gt;"Activo"),"",SUMPRODUCT(($D$2:$D$201="Activo")*(($C$2:$C$201&lt;$C163)+(($C$2:$C$201=$C163)*($S$2:$S$201&lt;$S163))+(($C$2:$C$201=$C163)*($S$2:$S$201=$S163)*($B$2:$B$201&lt;$B163))))+1)</f>
      </c>
      <c r="U163" s="19">
        <f>IF($T163="","","TODAS|"&amp;$T163)</f>
      </c>
      <c r="V163" s="14">
        <f>IF($A163="","",IFERROR(IF(COUNTIF('Compras'!$B:$B,$A163)=0,"",MINIFS('Compras'!$A:$A,'Compras'!$B:$B,$A163)),""))</f>
      </c>
      <c r="W163" s="17">
        <f>IF(OR($A163="",$V163=""),"",TODAY()-$V163)</f>
      </c>
      <c r="X163" s="17">
        <f>IF($A163="","",SUMIF('Ventas'!$D:$D,$A163,'Ventas'!$F:$F))</f>
      </c>
      <c r="Y163" s="19">
        <f>IF($A163="","",IF(AND($X163&gt;=3,$W163&lt;&gt;"",$W163&lt;=15),"🔥 Se vende rápido — REABASTECE",IF($K163="Agotado","🔴 Agotado — reabastece",IF($K163="Stock bajo","🟠 Stock bajo","✅ Ok"))))</f>
      </c>
    </row>
    <row r="164">
      <c r="A164" s="20"/>
      <c r="B164" s="20"/>
      <c r="C164" s="20"/>
      <c r="D164" s="20"/>
      <c r="E164" s="21"/>
      <c r="F164" s="16">
        <f>IF($A164="","",IFERROR(SUMIF('Compras'!$B:$B,$A164,'Compras'!$F:$F)/SUMIF('Compras'!$B:$B,$A164,'Compras'!$D:$D),0))</f>
      </c>
      <c r="G164" s="17">
        <f>IF($A164="","",SUMIF('Compras'!$B:$B,$A164,'Compras'!$D:$D)+SUMIF('Traslados'!$H:$H,$A164&amp;"|Casa",'Traslados'!$D:$D)-SUMIF('Traslados'!$G:$G,$A164&amp;"|Casa",'Traslados'!$D:$D)-SUMIF('Ventas'!$M:$M,$A164&amp;"|Casa",'Ventas'!$F:$F)+SUMIF('Ajustes'!$H:$H,$A164&amp;"|Casa",'Ajustes'!$D:$D))</f>
      </c>
      <c r="H164" s="17">
        <f>IF($A164="","",SUMIF('Traslados'!$H:$H,$A164&amp;"|Mercado Libre",'Traslados'!$D:$D)-SUMIF('Traslados'!$G:$G,$A164&amp;"|Mercado Libre",'Traslados'!$D:$D)-SUMIF('Ventas'!$M:$M,$A164&amp;"|Mercado Libre",'Ventas'!$F:$F)+SUMIF('Ajustes'!$H:$H,$A164&amp;"|Mercado Libre",'Ajustes'!$D:$D))</f>
      </c>
      <c r="I164" s="17">
        <f>IF($A164="","",$G164+$H164)</f>
      </c>
      <c r="J164" s="16">
        <f>IF($A164="","",$I164*$F164)</f>
      </c>
      <c r="K164" s="19">
        <f>IF($A164="","",IF($I164&lt;=0,"Agotado",IF($I164&lt;=$E164,"Stock bajo","Disponible")))</f>
      </c>
      <c r="L164" s="17">
        <f>IF($A164="","",IFERROR(VLOOKUP($C164,'Config'!$D$2:$E$30,2,FALSE),0))</f>
      </c>
      <c r="M164" s="20"/>
      <c r="N164" s="22"/>
      <c r="O164" s="22"/>
      <c r="P164" s="17">
        <f>IF(OR($A164="",$D164&lt;&gt;"Activo"),"",SUMPRODUCT(($C$2:$C$201=$C164)*($D$2:$D$201="Activo")*(($S$2:$S$201&lt;$S164)+(($S$2:$S$201=$S164)*($B$2:$B$201&lt;$B164))))+1)</f>
      </c>
      <c r="Q164" s="19">
        <f>IF($P164="","",$C164&amp;"|"&amp;$P164)</f>
      </c>
      <c r="R164" s="20"/>
      <c r="S164" s="17">
        <f>IF($A164="","",IFERROR(VALUE(TRIM(LEFT($R164,FIND("x",LOWER($R164))-1)))*VALUE(TRIM(MID($R164,FIND("x",LOWER($R164))+1,20))),0))</f>
      </c>
      <c r="T164" s="17">
        <f>IF(OR($A164="",$D164&lt;&gt;"Activo"),"",SUMPRODUCT(($D$2:$D$201="Activo")*(($C$2:$C$201&lt;$C164)+(($C$2:$C$201=$C164)*($S$2:$S$201&lt;$S164))+(($C$2:$C$201=$C164)*($S$2:$S$201=$S164)*($B$2:$B$201&lt;$B164))))+1)</f>
      </c>
      <c r="U164" s="19">
        <f>IF($T164="","","TODAS|"&amp;$T164)</f>
      </c>
      <c r="V164" s="14">
        <f>IF($A164="","",IFERROR(IF(COUNTIF('Compras'!$B:$B,$A164)=0,"",MINIFS('Compras'!$A:$A,'Compras'!$B:$B,$A164)),""))</f>
      </c>
      <c r="W164" s="17">
        <f>IF(OR($A164="",$V164=""),"",TODAY()-$V164)</f>
      </c>
      <c r="X164" s="17">
        <f>IF($A164="","",SUMIF('Ventas'!$D:$D,$A164,'Ventas'!$F:$F))</f>
      </c>
      <c r="Y164" s="19">
        <f>IF($A164="","",IF(AND($X164&gt;=3,$W164&lt;&gt;"",$W164&lt;=15),"🔥 Se vende rápido — REABASTECE",IF($K164="Agotado","🔴 Agotado — reabastece",IF($K164="Stock bajo","🟠 Stock bajo","✅ Ok"))))</f>
      </c>
    </row>
    <row r="165">
      <c r="A165" s="20"/>
      <c r="B165" s="20"/>
      <c r="C165" s="20"/>
      <c r="D165" s="20"/>
      <c r="E165" s="21"/>
      <c r="F165" s="16">
        <f>IF($A165="","",IFERROR(SUMIF('Compras'!$B:$B,$A165,'Compras'!$F:$F)/SUMIF('Compras'!$B:$B,$A165,'Compras'!$D:$D),0))</f>
      </c>
      <c r="G165" s="17">
        <f>IF($A165="","",SUMIF('Compras'!$B:$B,$A165,'Compras'!$D:$D)+SUMIF('Traslados'!$H:$H,$A165&amp;"|Casa",'Traslados'!$D:$D)-SUMIF('Traslados'!$G:$G,$A165&amp;"|Casa",'Traslados'!$D:$D)-SUMIF('Ventas'!$M:$M,$A165&amp;"|Casa",'Ventas'!$F:$F)+SUMIF('Ajustes'!$H:$H,$A165&amp;"|Casa",'Ajustes'!$D:$D))</f>
      </c>
      <c r="H165" s="17">
        <f>IF($A165="","",SUMIF('Traslados'!$H:$H,$A165&amp;"|Mercado Libre",'Traslados'!$D:$D)-SUMIF('Traslados'!$G:$G,$A165&amp;"|Mercado Libre",'Traslados'!$D:$D)-SUMIF('Ventas'!$M:$M,$A165&amp;"|Mercado Libre",'Ventas'!$F:$F)+SUMIF('Ajustes'!$H:$H,$A165&amp;"|Mercado Libre",'Ajustes'!$D:$D))</f>
      </c>
      <c r="I165" s="17">
        <f>IF($A165="","",$G165+$H165)</f>
      </c>
      <c r="J165" s="16">
        <f>IF($A165="","",$I165*$F165)</f>
      </c>
      <c r="K165" s="19">
        <f>IF($A165="","",IF($I165&lt;=0,"Agotado",IF($I165&lt;=$E165,"Stock bajo","Disponible")))</f>
      </c>
      <c r="L165" s="17">
        <f>IF($A165="","",IFERROR(VLOOKUP($C165,'Config'!$D$2:$E$30,2,FALSE),0))</f>
      </c>
      <c r="M165" s="20"/>
      <c r="N165" s="22"/>
      <c r="O165" s="22"/>
      <c r="P165" s="17">
        <f>IF(OR($A165="",$D165&lt;&gt;"Activo"),"",SUMPRODUCT(($C$2:$C$201=$C165)*($D$2:$D$201="Activo")*(($S$2:$S$201&lt;$S165)+(($S$2:$S$201=$S165)*($B$2:$B$201&lt;$B165))))+1)</f>
      </c>
      <c r="Q165" s="19">
        <f>IF($P165="","",$C165&amp;"|"&amp;$P165)</f>
      </c>
      <c r="R165" s="20"/>
      <c r="S165" s="17">
        <f>IF($A165="","",IFERROR(VALUE(TRIM(LEFT($R165,FIND("x",LOWER($R165))-1)))*VALUE(TRIM(MID($R165,FIND("x",LOWER($R165))+1,20))),0))</f>
      </c>
      <c r="T165" s="17">
        <f>IF(OR($A165="",$D165&lt;&gt;"Activo"),"",SUMPRODUCT(($D$2:$D$201="Activo")*(($C$2:$C$201&lt;$C165)+(($C$2:$C$201=$C165)*($S$2:$S$201&lt;$S165))+(($C$2:$C$201=$C165)*($S$2:$S$201=$S165)*($B$2:$B$201&lt;$B165))))+1)</f>
      </c>
      <c r="U165" s="19">
        <f>IF($T165="","","TODAS|"&amp;$T165)</f>
      </c>
      <c r="V165" s="14">
        <f>IF($A165="","",IFERROR(IF(COUNTIF('Compras'!$B:$B,$A165)=0,"",MINIFS('Compras'!$A:$A,'Compras'!$B:$B,$A165)),""))</f>
      </c>
      <c r="W165" s="17">
        <f>IF(OR($A165="",$V165=""),"",TODAY()-$V165)</f>
      </c>
      <c r="X165" s="17">
        <f>IF($A165="","",SUMIF('Ventas'!$D:$D,$A165,'Ventas'!$F:$F))</f>
      </c>
      <c r="Y165" s="19">
        <f>IF($A165="","",IF(AND($X165&gt;=3,$W165&lt;&gt;"",$W165&lt;=15),"🔥 Se vende rápido — REABASTECE",IF($K165="Agotado","🔴 Agotado — reabastece",IF($K165="Stock bajo","🟠 Stock bajo","✅ Ok"))))</f>
      </c>
    </row>
    <row r="166">
      <c r="A166" s="20"/>
      <c r="B166" s="20"/>
      <c r="C166" s="20"/>
      <c r="D166" s="20"/>
      <c r="E166" s="21"/>
      <c r="F166" s="16">
        <f>IF($A166="","",IFERROR(SUMIF('Compras'!$B:$B,$A166,'Compras'!$F:$F)/SUMIF('Compras'!$B:$B,$A166,'Compras'!$D:$D),0))</f>
      </c>
      <c r="G166" s="17">
        <f>IF($A166="","",SUMIF('Compras'!$B:$B,$A166,'Compras'!$D:$D)+SUMIF('Traslados'!$H:$H,$A166&amp;"|Casa",'Traslados'!$D:$D)-SUMIF('Traslados'!$G:$G,$A166&amp;"|Casa",'Traslados'!$D:$D)-SUMIF('Ventas'!$M:$M,$A166&amp;"|Casa",'Ventas'!$F:$F)+SUMIF('Ajustes'!$H:$H,$A166&amp;"|Casa",'Ajustes'!$D:$D))</f>
      </c>
      <c r="H166" s="17">
        <f>IF($A166="","",SUMIF('Traslados'!$H:$H,$A166&amp;"|Mercado Libre",'Traslados'!$D:$D)-SUMIF('Traslados'!$G:$G,$A166&amp;"|Mercado Libre",'Traslados'!$D:$D)-SUMIF('Ventas'!$M:$M,$A166&amp;"|Mercado Libre",'Ventas'!$F:$F)+SUMIF('Ajustes'!$H:$H,$A166&amp;"|Mercado Libre",'Ajustes'!$D:$D))</f>
      </c>
      <c r="I166" s="17">
        <f>IF($A166="","",$G166+$H166)</f>
      </c>
      <c r="J166" s="16">
        <f>IF($A166="","",$I166*$F166)</f>
      </c>
      <c r="K166" s="19">
        <f>IF($A166="","",IF($I166&lt;=0,"Agotado",IF($I166&lt;=$E166,"Stock bajo","Disponible")))</f>
      </c>
      <c r="L166" s="17">
        <f>IF($A166="","",IFERROR(VLOOKUP($C166,'Config'!$D$2:$E$30,2,FALSE),0))</f>
      </c>
      <c r="M166" s="20"/>
      <c r="N166" s="22"/>
      <c r="O166" s="22"/>
      <c r="P166" s="17">
        <f>IF(OR($A166="",$D166&lt;&gt;"Activo"),"",SUMPRODUCT(($C$2:$C$201=$C166)*($D$2:$D$201="Activo")*(($S$2:$S$201&lt;$S166)+(($S$2:$S$201=$S166)*($B$2:$B$201&lt;$B166))))+1)</f>
      </c>
      <c r="Q166" s="19">
        <f>IF($P166="","",$C166&amp;"|"&amp;$P166)</f>
      </c>
      <c r="R166" s="20"/>
      <c r="S166" s="17">
        <f>IF($A166="","",IFERROR(VALUE(TRIM(LEFT($R166,FIND("x",LOWER($R166))-1)))*VALUE(TRIM(MID($R166,FIND("x",LOWER($R166))+1,20))),0))</f>
      </c>
      <c r="T166" s="17">
        <f>IF(OR($A166="",$D166&lt;&gt;"Activo"),"",SUMPRODUCT(($D$2:$D$201="Activo")*(($C$2:$C$201&lt;$C166)+(($C$2:$C$201=$C166)*($S$2:$S$201&lt;$S166))+(($C$2:$C$201=$C166)*($S$2:$S$201=$S166)*($B$2:$B$201&lt;$B166))))+1)</f>
      </c>
      <c r="U166" s="19">
        <f>IF($T166="","","TODAS|"&amp;$T166)</f>
      </c>
      <c r="V166" s="14">
        <f>IF($A166="","",IFERROR(IF(COUNTIF('Compras'!$B:$B,$A166)=0,"",MINIFS('Compras'!$A:$A,'Compras'!$B:$B,$A166)),""))</f>
      </c>
      <c r="W166" s="17">
        <f>IF(OR($A166="",$V166=""),"",TODAY()-$V166)</f>
      </c>
      <c r="X166" s="17">
        <f>IF($A166="","",SUMIF('Ventas'!$D:$D,$A166,'Ventas'!$F:$F))</f>
      </c>
      <c r="Y166" s="19">
        <f>IF($A166="","",IF(AND($X166&gt;=3,$W166&lt;&gt;"",$W166&lt;=15),"🔥 Se vende rápido — REABASTECE",IF($K166="Agotado","🔴 Agotado — reabastece",IF($K166="Stock bajo","🟠 Stock bajo","✅ Ok"))))</f>
      </c>
    </row>
    <row r="167">
      <c r="A167" s="20"/>
      <c r="B167" s="20"/>
      <c r="C167" s="20"/>
      <c r="D167" s="20"/>
      <c r="E167" s="21"/>
      <c r="F167" s="16">
        <f>IF($A167="","",IFERROR(SUMIF('Compras'!$B:$B,$A167,'Compras'!$F:$F)/SUMIF('Compras'!$B:$B,$A167,'Compras'!$D:$D),0))</f>
      </c>
      <c r="G167" s="17">
        <f>IF($A167="","",SUMIF('Compras'!$B:$B,$A167,'Compras'!$D:$D)+SUMIF('Traslados'!$H:$H,$A167&amp;"|Casa",'Traslados'!$D:$D)-SUMIF('Traslados'!$G:$G,$A167&amp;"|Casa",'Traslados'!$D:$D)-SUMIF('Ventas'!$M:$M,$A167&amp;"|Casa",'Ventas'!$F:$F)+SUMIF('Ajustes'!$H:$H,$A167&amp;"|Casa",'Ajustes'!$D:$D))</f>
      </c>
      <c r="H167" s="17">
        <f>IF($A167="","",SUMIF('Traslados'!$H:$H,$A167&amp;"|Mercado Libre",'Traslados'!$D:$D)-SUMIF('Traslados'!$G:$G,$A167&amp;"|Mercado Libre",'Traslados'!$D:$D)-SUMIF('Ventas'!$M:$M,$A167&amp;"|Mercado Libre",'Ventas'!$F:$F)+SUMIF('Ajustes'!$H:$H,$A167&amp;"|Mercado Libre",'Ajustes'!$D:$D))</f>
      </c>
      <c r="I167" s="17">
        <f>IF($A167="","",$G167+$H167)</f>
      </c>
      <c r="J167" s="16">
        <f>IF($A167="","",$I167*$F167)</f>
      </c>
      <c r="K167" s="19">
        <f>IF($A167="","",IF($I167&lt;=0,"Agotado",IF($I167&lt;=$E167,"Stock bajo","Disponible")))</f>
      </c>
      <c r="L167" s="17">
        <f>IF($A167="","",IFERROR(VLOOKUP($C167,'Config'!$D$2:$E$30,2,FALSE),0))</f>
      </c>
      <c r="M167" s="20"/>
      <c r="N167" s="22"/>
      <c r="O167" s="22"/>
      <c r="P167" s="17">
        <f>IF(OR($A167="",$D167&lt;&gt;"Activo"),"",SUMPRODUCT(($C$2:$C$201=$C167)*($D$2:$D$201="Activo")*(($S$2:$S$201&lt;$S167)+(($S$2:$S$201=$S167)*($B$2:$B$201&lt;$B167))))+1)</f>
      </c>
      <c r="Q167" s="19">
        <f>IF($P167="","",$C167&amp;"|"&amp;$P167)</f>
      </c>
      <c r="R167" s="20"/>
      <c r="S167" s="17">
        <f>IF($A167="","",IFERROR(VALUE(TRIM(LEFT($R167,FIND("x",LOWER($R167))-1)))*VALUE(TRIM(MID($R167,FIND("x",LOWER($R167))+1,20))),0))</f>
      </c>
      <c r="T167" s="17">
        <f>IF(OR($A167="",$D167&lt;&gt;"Activo"),"",SUMPRODUCT(($D$2:$D$201="Activo")*(($C$2:$C$201&lt;$C167)+(($C$2:$C$201=$C167)*($S$2:$S$201&lt;$S167))+(($C$2:$C$201=$C167)*($S$2:$S$201=$S167)*($B$2:$B$201&lt;$B167))))+1)</f>
      </c>
      <c r="U167" s="19">
        <f>IF($T167="","","TODAS|"&amp;$T167)</f>
      </c>
      <c r="V167" s="14">
        <f>IF($A167="","",IFERROR(IF(COUNTIF('Compras'!$B:$B,$A167)=0,"",MINIFS('Compras'!$A:$A,'Compras'!$B:$B,$A167)),""))</f>
      </c>
      <c r="W167" s="17">
        <f>IF(OR($A167="",$V167=""),"",TODAY()-$V167)</f>
      </c>
      <c r="X167" s="17">
        <f>IF($A167="","",SUMIF('Ventas'!$D:$D,$A167,'Ventas'!$F:$F))</f>
      </c>
      <c r="Y167" s="19">
        <f>IF($A167="","",IF(AND($X167&gt;=3,$W167&lt;&gt;"",$W167&lt;=15),"🔥 Se vende rápido — REABASTECE",IF($K167="Agotado","🔴 Agotado — reabastece",IF($K167="Stock bajo","🟠 Stock bajo","✅ Ok"))))</f>
      </c>
    </row>
    <row r="168">
      <c r="A168" s="20"/>
      <c r="B168" s="20"/>
      <c r="C168" s="20"/>
      <c r="D168" s="20"/>
      <c r="E168" s="21"/>
      <c r="F168" s="16">
        <f>IF($A168="","",IFERROR(SUMIF('Compras'!$B:$B,$A168,'Compras'!$F:$F)/SUMIF('Compras'!$B:$B,$A168,'Compras'!$D:$D),0))</f>
      </c>
      <c r="G168" s="17">
        <f>IF($A168="","",SUMIF('Compras'!$B:$B,$A168,'Compras'!$D:$D)+SUMIF('Traslados'!$H:$H,$A168&amp;"|Casa",'Traslados'!$D:$D)-SUMIF('Traslados'!$G:$G,$A168&amp;"|Casa",'Traslados'!$D:$D)-SUMIF('Ventas'!$M:$M,$A168&amp;"|Casa",'Ventas'!$F:$F)+SUMIF('Ajustes'!$H:$H,$A168&amp;"|Casa",'Ajustes'!$D:$D))</f>
      </c>
      <c r="H168" s="17">
        <f>IF($A168="","",SUMIF('Traslados'!$H:$H,$A168&amp;"|Mercado Libre",'Traslados'!$D:$D)-SUMIF('Traslados'!$G:$G,$A168&amp;"|Mercado Libre",'Traslados'!$D:$D)-SUMIF('Ventas'!$M:$M,$A168&amp;"|Mercado Libre",'Ventas'!$F:$F)+SUMIF('Ajustes'!$H:$H,$A168&amp;"|Mercado Libre",'Ajustes'!$D:$D))</f>
      </c>
      <c r="I168" s="17">
        <f>IF($A168="","",$G168+$H168)</f>
      </c>
      <c r="J168" s="16">
        <f>IF($A168="","",$I168*$F168)</f>
      </c>
      <c r="K168" s="19">
        <f>IF($A168="","",IF($I168&lt;=0,"Agotado",IF($I168&lt;=$E168,"Stock bajo","Disponible")))</f>
      </c>
      <c r="L168" s="17">
        <f>IF($A168="","",IFERROR(VLOOKUP($C168,'Config'!$D$2:$E$30,2,FALSE),0))</f>
      </c>
      <c r="M168" s="20"/>
      <c r="N168" s="22"/>
      <c r="O168" s="22"/>
      <c r="P168" s="17">
        <f>IF(OR($A168="",$D168&lt;&gt;"Activo"),"",SUMPRODUCT(($C$2:$C$201=$C168)*($D$2:$D$201="Activo")*(($S$2:$S$201&lt;$S168)+(($S$2:$S$201=$S168)*($B$2:$B$201&lt;$B168))))+1)</f>
      </c>
      <c r="Q168" s="19">
        <f>IF($P168="","",$C168&amp;"|"&amp;$P168)</f>
      </c>
      <c r="R168" s="20"/>
      <c r="S168" s="17">
        <f>IF($A168="","",IFERROR(VALUE(TRIM(LEFT($R168,FIND("x",LOWER($R168))-1)))*VALUE(TRIM(MID($R168,FIND("x",LOWER($R168))+1,20))),0))</f>
      </c>
      <c r="T168" s="17">
        <f>IF(OR($A168="",$D168&lt;&gt;"Activo"),"",SUMPRODUCT(($D$2:$D$201="Activo")*(($C$2:$C$201&lt;$C168)+(($C$2:$C$201=$C168)*($S$2:$S$201&lt;$S168))+(($C$2:$C$201=$C168)*($S$2:$S$201=$S168)*($B$2:$B$201&lt;$B168))))+1)</f>
      </c>
      <c r="U168" s="19">
        <f>IF($T168="","","TODAS|"&amp;$T168)</f>
      </c>
      <c r="V168" s="14">
        <f>IF($A168="","",IFERROR(IF(COUNTIF('Compras'!$B:$B,$A168)=0,"",MINIFS('Compras'!$A:$A,'Compras'!$B:$B,$A168)),""))</f>
      </c>
      <c r="W168" s="17">
        <f>IF(OR($A168="",$V168=""),"",TODAY()-$V168)</f>
      </c>
      <c r="X168" s="17">
        <f>IF($A168="","",SUMIF('Ventas'!$D:$D,$A168,'Ventas'!$F:$F))</f>
      </c>
      <c r="Y168" s="19">
        <f>IF($A168="","",IF(AND($X168&gt;=3,$W168&lt;&gt;"",$W168&lt;=15),"🔥 Se vende rápido — REABASTECE",IF($K168="Agotado","🔴 Agotado — reabastece",IF($K168="Stock bajo","🟠 Stock bajo","✅ Ok"))))</f>
      </c>
    </row>
    <row r="169">
      <c r="A169" s="20"/>
      <c r="B169" s="20"/>
      <c r="C169" s="20"/>
      <c r="D169" s="20"/>
      <c r="E169" s="21"/>
      <c r="F169" s="16">
        <f>IF($A169="","",IFERROR(SUMIF('Compras'!$B:$B,$A169,'Compras'!$F:$F)/SUMIF('Compras'!$B:$B,$A169,'Compras'!$D:$D),0))</f>
      </c>
      <c r="G169" s="17">
        <f>IF($A169="","",SUMIF('Compras'!$B:$B,$A169,'Compras'!$D:$D)+SUMIF('Traslados'!$H:$H,$A169&amp;"|Casa",'Traslados'!$D:$D)-SUMIF('Traslados'!$G:$G,$A169&amp;"|Casa",'Traslados'!$D:$D)-SUMIF('Ventas'!$M:$M,$A169&amp;"|Casa",'Ventas'!$F:$F)+SUMIF('Ajustes'!$H:$H,$A169&amp;"|Casa",'Ajustes'!$D:$D))</f>
      </c>
      <c r="H169" s="17">
        <f>IF($A169="","",SUMIF('Traslados'!$H:$H,$A169&amp;"|Mercado Libre",'Traslados'!$D:$D)-SUMIF('Traslados'!$G:$G,$A169&amp;"|Mercado Libre",'Traslados'!$D:$D)-SUMIF('Ventas'!$M:$M,$A169&amp;"|Mercado Libre",'Ventas'!$F:$F)+SUMIF('Ajustes'!$H:$H,$A169&amp;"|Mercado Libre",'Ajustes'!$D:$D))</f>
      </c>
      <c r="I169" s="17">
        <f>IF($A169="","",$G169+$H169)</f>
      </c>
      <c r="J169" s="16">
        <f>IF($A169="","",$I169*$F169)</f>
      </c>
      <c r="K169" s="19">
        <f>IF($A169="","",IF($I169&lt;=0,"Agotado",IF($I169&lt;=$E169,"Stock bajo","Disponible")))</f>
      </c>
      <c r="L169" s="17">
        <f>IF($A169="","",IFERROR(VLOOKUP($C169,'Config'!$D$2:$E$30,2,FALSE),0))</f>
      </c>
      <c r="M169" s="20"/>
      <c r="N169" s="22"/>
      <c r="O169" s="22"/>
      <c r="P169" s="17">
        <f>IF(OR($A169="",$D169&lt;&gt;"Activo"),"",SUMPRODUCT(($C$2:$C$201=$C169)*($D$2:$D$201="Activo")*(($S$2:$S$201&lt;$S169)+(($S$2:$S$201=$S169)*($B$2:$B$201&lt;$B169))))+1)</f>
      </c>
      <c r="Q169" s="19">
        <f>IF($P169="","",$C169&amp;"|"&amp;$P169)</f>
      </c>
      <c r="R169" s="20"/>
      <c r="S169" s="17">
        <f>IF($A169="","",IFERROR(VALUE(TRIM(LEFT($R169,FIND("x",LOWER($R169))-1)))*VALUE(TRIM(MID($R169,FIND("x",LOWER($R169))+1,20))),0))</f>
      </c>
      <c r="T169" s="17">
        <f>IF(OR($A169="",$D169&lt;&gt;"Activo"),"",SUMPRODUCT(($D$2:$D$201="Activo")*(($C$2:$C$201&lt;$C169)+(($C$2:$C$201=$C169)*($S$2:$S$201&lt;$S169))+(($C$2:$C$201=$C169)*($S$2:$S$201=$S169)*($B$2:$B$201&lt;$B169))))+1)</f>
      </c>
      <c r="U169" s="19">
        <f>IF($T169="","","TODAS|"&amp;$T169)</f>
      </c>
      <c r="V169" s="14">
        <f>IF($A169="","",IFERROR(IF(COUNTIF('Compras'!$B:$B,$A169)=0,"",MINIFS('Compras'!$A:$A,'Compras'!$B:$B,$A169)),""))</f>
      </c>
      <c r="W169" s="17">
        <f>IF(OR($A169="",$V169=""),"",TODAY()-$V169)</f>
      </c>
      <c r="X169" s="17">
        <f>IF($A169="","",SUMIF('Ventas'!$D:$D,$A169,'Ventas'!$F:$F))</f>
      </c>
      <c r="Y169" s="19">
        <f>IF($A169="","",IF(AND($X169&gt;=3,$W169&lt;&gt;"",$W169&lt;=15),"🔥 Se vende rápido — REABASTECE",IF($K169="Agotado","🔴 Agotado — reabastece",IF($K169="Stock bajo","🟠 Stock bajo","✅ Ok"))))</f>
      </c>
    </row>
    <row r="170">
      <c r="A170" s="20"/>
      <c r="B170" s="20"/>
      <c r="C170" s="20"/>
      <c r="D170" s="20"/>
      <c r="E170" s="21"/>
      <c r="F170" s="16">
        <f>IF($A170="","",IFERROR(SUMIF('Compras'!$B:$B,$A170,'Compras'!$F:$F)/SUMIF('Compras'!$B:$B,$A170,'Compras'!$D:$D),0))</f>
      </c>
      <c r="G170" s="17">
        <f>IF($A170="","",SUMIF('Compras'!$B:$B,$A170,'Compras'!$D:$D)+SUMIF('Traslados'!$H:$H,$A170&amp;"|Casa",'Traslados'!$D:$D)-SUMIF('Traslados'!$G:$G,$A170&amp;"|Casa",'Traslados'!$D:$D)-SUMIF('Ventas'!$M:$M,$A170&amp;"|Casa",'Ventas'!$F:$F)+SUMIF('Ajustes'!$H:$H,$A170&amp;"|Casa",'Ajustes'!$D:$D))</f>
      </c>
      <c r="H170" s="17">
        <f>IF($A170="","",SUMIF('Traslados'!$H:$H,$A170&amp;"|Mercado Libre",'Traslados'!$D:$D)-SUMIF('Traslados'!$G:$G,$A170&amp;"|Mercado Libre",'Traslados'!$D:$D)-SUMIF('Ventas'!$M:$M,$A170&amp;"|Mercado Libre",'Ventas'!$F:$F)+SUMIF('Ajustes'!$H:$H,$A170&amp;"|Mercado Libre",'Ajustes'!$D:$D))</f>
      </c>
      <c r="I170" s="17">
        <f>IF($A170="","",$G170+$H170)</f>
      </c>
      <c r="J170" s="16">
        <f>IF($A170="","",$I170*$F170)</f>
      </c>
      <c r="K170" s="19">
        <f>IF($A170="","",IF($I170&lt;=0,"Agotado",IF($I170&lt;=$E170,"Stock bajo","Disponible")))</f>
      </c>
      <c r="L170" s="17">
        <f>IF($A170="","",IFERROR(VLOOKUP($C170,'Config'!$D$2:$E$30,2,FALSE),0))</f>
      </c>
      <c r="M170" s="20"/>
      <c r="N170" s="22"/>
      <c r="O170" s="22"/>
      <c r="P170" s="17">
        <f>IF(OR($A170="",$D170&lt;&gt;"Activo"),"",SUMPRODUCT(($C$2:$C$201=$C170)*($D$2:$D$201="Activo")*(($S$2:$S$201&lt;$S170)+(($S$2:$S$201=$S170)*($B$2:$B$201&lt;$B170))))+1)</f>
      </c>
      <c r="Q170" s="19">
        <f>IF($P170="","",$C170&amp;"|"&amp;$P170)</f>
      </c>
      <c r="R170" s="20"/>
      <c r="S170" s="17">
        <f>IF($A170="","",IFERROR(VALUE(TRIM(LEFT($R170,FIND("x",LOWER($R170))-1)))*VALUE(TRIM(MID($R170,FIND("x",LOWER($R170))+1,20))),0))</f>
      </c>
      <c r="T170" s="17">
        <f>IF(OR($A170="",$D170&lt;&gt;"Activo"),"",SUMPRODUCT(($D$2:$D$201="Activo")*(($C$2:$C$201&lt;$C170)+(($C$2:$C$201=$C170)*($S$2:$S$201&lt;$S170))+(($C$2:$C$201=$C170)*($S$2:$S$201=$S170)*($B$2:$B$201&lt;$B170))))+1)</f>
      </c>
      <c r="U170" s="19">
        <f>IF($T170="","","TODAS|"&amp;$T170)</f>
      </c>
      <c r="V170" s="14">
        <f>IF($A170="","",IFERROR(IF(COUNTIF('Compras'!$B:$B,$A170)=0,"",MINIFS('Compras'!$A:$A,'Compras'!$B:$B,$A170)),""))</f>
      </c>
      <c r="W170" s="17">
        <f>IF(OR($A170="",$V170=""),"",TODAY()-$V170)</f>
      </c>
      <c r="X170" s="17">
        <f>IF($A170="","",SUMIF('Ventas'!$D:$D,$A170,'Ventas'!$F:$F))</f>
      </c>
      <c r="Y170" s="19">
        <f>IF($A170="","",IF(AND($X170&gt;=3,$W170&lt;&gt;"",$W170&lt;=15),"🔥 Se vende rápido — REABASTECE",IF($K170="Agotado","🔴 Agotado — reabastece",IF($K170="Stock bajo","🟠 Stock bajo","✅ Ok"))))</f>
      </c>
    </row>
    <row r="171">
      <c r="A171" s="20"/>
      <c r="B171" s="20"/>
      <c r="C171" s="20"/>
      <c r="D171" s="20"/>
      <c r="E171" s="21"/>
      <c r="F171" s="16">
        <f>IF($A171="","",IFERROR(SUMIF('Compras'!$B:$B,$A171,'Compras'!$F:$F)/SUMIF('Compras'!$B:$B,$A171,'Compras'!$D:$D),0))</f>
      </c>
      <c r="G171" s="17">
        <f>IF($A171="","",SUMIF('Compras'!$B:$B,$A171,'Compras'!$D:$D)+SUMIF('Traslados'!$H:$H,$A171&amp;"|Casa",'Traslados'!$D:$D)-SUMIF('Traslados'!$G:$G,$A171&amp;"|Casa",'Traslados'!$D:$D)-SUMIF('Ventas'!$M:$M,$A171&amp;"|Casa",'Ventas'!$F:$F)+SUMIF('Ajustes'!$H:$H,$A171&amp;"|Casa",'Ajustes'!$D:$D))</f>
      </c>
      <c r="H171" s="17">
        <f>IF($A171="","",SUMIF('Traslados'!$H:$H,$A171&amp;"|Mercado Libre",'Traslados'!$D:$D)-SUMIF('Traslados'!$G:$G,$A171&amp;"|Mercado Libre",'Traslados'!$D:$D)-SUMIF('Ventas'!$M:$M,$A171&amp;"|Mercado Libre",'Ventas'!$F:$F)+SUMIF('Ajustes'!$H:$H,$A171&amp;"|Mercado Libre",'Ajustes'!$D:$D))</f>
      </c>
      <c r="I171" s="17">
        <f>IF($A171="","",$G171+$H171)</f>
      </c>
      <c r="J171" s="16">
        <f>IF($A171="","",$I171*$F171)</f>
      </c>
      <c r="K171" s="19">
        <f>IF($A171="","",IF($I171&lt;=0,"Agotado",IF($I171&lt;=$E171,"Stock bajo","Disponible")))</f>
      </c>
      <c r="L171" s="17">
        <f>IF($A171="","",IFERROR(VLOOKUP($C171,'Config'!$D$2:$E$30,2,FALSE),0))</f>
      </c>
      <c r="M171" s="20"/>
      <c r="N171" s="22"/>
      <c r="O171" s="22"/>
      <c r="P171" s="17">
        <f>IF(OR($A171="",$D171&lt;&gt;"Activo"),"",SUMPRODUCT(($C$2:$C$201=$C171)*($D$2:$D$201="Activo")*(($S$2:$S$201&lt;$S171)+(($S$2:$S$201=$S171)*($B$2:$B$201&lt;$B171))))+1)</f>
      </c>
      <c r="Q171" s="19">
        <f>IF($P171="","",$C171&amp;"|"&amp;$P171)</f>
      </c>
      <c r="R171" s="20"/>
      <c r="S171" s="17">
        <f>IF($A171="","",IFERROR(VALUE(TRIM(LEFT($R171,FIND("x",LOWER($R171))-1)))*VALUE(TRIM(MID($R171,FIND("x",LOWER($R171))+1,20))),0))</f>
      </c>
      <c r="T171" s="17">
        <f>IF(OR($A171="",$D171&lt;&gt;"Activo"),"",SUMPRODUCT(($D$2:$D$201="Activo")*(($C$2:$C$201&lt;$C171)+(($C$2:$C$201=$C171)*($S$2:$S$201&lt;$S171))+(($C$2:$C$201=$C171)*($S$2:$S$201=$S171)*($B$2:$B$201&lt;$B171))))+1)</f>
      </c>
      <c r="U171" s="19">
        <f>IF($T171="","","TODAS|"&amp;$T171)</f>
      </c>
      <c r="V171" s="14">
        <f>IF($A171="","",IFERROR(IF(COUNTIF('Compras'!$B:$B,$A171)=0,"",MINIFS('Compras'!$A:$A,'Compras'!$B:$B,$A171)),""))</f>
      </c>
      <c r="W171" s="17">
        <f>IF(OR($A171="",$V171=""),"",TODAY()-$V171)</f>
      </c>
      <c r="X171" s="17">
        <f>IF($A171="","",SUMIF('Ventas'!$D:$D,$A171,'Ventas'!$F:$F))</f>
      </c>
      <c r="Y171" s="19">
        <f>IF($A171="","",IF(AND($X171&gt;=3,$W171&lt;&gt;"",$W171&lt;=15),"🔥 Se vende rápido — REABASTECE",IF($K171="Agotado","🔴 Agotado — reabastece",IF($K171="Stock bajo","🟠 Stock bajo","✅ Ok"))))</f>
      </c>
    </row>
    <row r="172">
      <c r="A172" s="20"/>
      <c r="B172" s="20"/>
      <c r="C172" s="20"/>
      <c r="D172" s="20"/>
      <c r="E172" s="21"/>
      <c r="F172" s="16">
        <f>IF($A172="","",IFERROR(SUMIF('Compras'!$B:$B,$A172,'Compras'!$F:$F)/SUMIF('Compras'!$B:$B,$A172,'Compras'!$D:$D),0))</f>
      </c>
      <c r="G172" s="17">
        <f>IF($A172="","",SUMIF('Compras'!$B:$B,$A172,'Compras'!$D:$D)+SUMIF('Traslados'!$H:$H,$A172&amp;"|Casa",'Traslados'!$D:$D)-SUMIF('Traslados'!$G:$G,$A172&amp;"|Casa",'Traslados'!$D:$D)-SUMIF('Ventas'!$M:$M,$A172&amp;"|Casa",'Ventas'!$F:$F)+SUMIF('Ajustes'!$H:$H,$A172&amp;"|Casa",'Ajustes'!$D:$D))</f>
      </c>
      <c r="H172" s="17">
        <f>IF($A172="","",SUMIF('Traslados'!$H:$H,$A172&amp;"|Mercado Libre",'Traslados'!$D:$D)-SUMIF('Traslados'!$G:$G,$A172&amp;"|Mercado Libre",'Traslados'!$D:$D)-SUMIF('Ventas'!$M:$M,$A172&amp;"|Mercado Libre",'Ventas'!$F:$F)+SUMIF('Ajustes'!$H:$H,$A172&amp;"|Mercado Libre",'Ajustes'!$D:$D))</f>
      </c>
      <c r="I172" s="17">
        <f>IF($A172="","",$G172+$H172)</f>
      </c>
      <c r="J172" s="16">
        <f>IF($A172="","",$I172*$F172)</f>
      </c>
      <c r="K172" s="19">
        <f>IF($A172="","",IF($I172&lt;=0,"Agotado",IF($I172&lt;=$E172,"Stock bajo","Disponible")))</f>
      </c>
      <c r="L172" s="17">
        <f>IF($A172="","",IFERROR(VLOOKUP($C172,'Config'!$D$2:$E$30,2,FALSE),0))</f>
      </c>
      <c r="M172" s="20"/>
      <c r="N172" s="22"/>
      <c r="O172" s="22"/>
      <c r="P172" s="17">
        <f>IF(OR($A172="",$D172&lt;&gt;"Activo"),"",SUMPRODUCT(($C$2:$C$201=$C172)*($D$2:$D$201="Activo")*(($S$2:$S$201&lt;$S172)+(($S$2:$S$201=$S172)*($B$2:$B$201&lt;$B172))))+1)</f>
      </c>
      <c r="Q172" s="19">
        <f>IF($P172="","",$C172&amp;"|"&amp;$P172)</f>
      </c>
      <c r="R172" s="20"/>
      <c r="S172" s="17">
        <f>IF($A172="","",IFERROR(VALUE(TRIM(LEFT($R172,FIND("x",LOWER($R172))-1)))*VALUE(TRIM(MID($R172,FIND("x",LOWER($R172))+1,20))),0))</f>
      </c>
      <c r="T172" s="17">
        <f>IF(OR($A172="",$D172&lt;&gt;"Activo"),"",SUMPRODUCT(($D$2:$D$201="Activo")*(($C$2:$C$201&lt;$C172)+(($C$2:$C$201=$C172)*($S$2:$S$201&lt;$S172))+(($C$2:$C$201=$C172)*($S$2:$S$201=$S172)*($B$2:$B$201&lt;$B172))))+1)</f>
      </c>
      <c r="U172" s="19">
        <f>IF($T172="","","TODAS|"&amp;$T172)</f>
      </c>
      <c r="V172" s="14">
        <f>IF($A172="","",IFERROR(IF(COUNTIF('Compras'!$B:$B,$A172)=0,"",MINIFS('Compras'!$A:$A,'Compras'!$B:$B,$A172)),""))</f>
      </c>
      <c r="W172" s="17">
        <f>IF(OR($A172="",$V172=""),"",TODAY()-$V172)</f>
      </c>
      <c r="X172" s="17">
        <f>IF($A172="","",SUMIF('Ventas'!$D:$D,$A172,'Ventas'!$F:$F))</f>
      </c>
      <c r="Y172" s="19">
        <f>IF($A172="","",IF(AND($X172&gt;=3,$W172&lt;&gt;"",$W172&lt;=15),"🔥 Se vende rápido — REABASTECE",IF($K172="Agotado","🔴 Agotado — reabastece",IF($K172="Stock bajo","🟠 Stock bajo","✅ Ok"))))</f>
      </c>
    </row>
    <row r="173">
      <c r="A173" s="20"/>
      <c r="B173" s="20"/>
      <c r="C173" s="20"/>
      <c r="D173" s="20"/>
      <c r="E173" s="21"/>
      <c r="F173" s="16">
        <f>IF($A173="","",IFERROR(SUMIF('Compras'!$B:$B,$A173,'Compras'!$F:$F)/SUMIF('Compras'!$B:$B,$A173,'Compras'!$D:$D),0))</f>
      </c>
      <c r="G173" s="17">
        <f>IF($A173="","",SUMIF('Compras'!$B:$B,$A173,'Compras'!$D:$D)+SUMIF('Traslados'!$H:$H,$A173&amp;"|Casa",'Traslados'!$D:$D)-SUMIF('Traslados'!$G:$G,$A173&amp;"|Casa",'Traslados'!$D:$D)-SUMIF('Ventas'!$M:$M,$A173&amp;"|Casa",'Ventas'!$F:$F)+SUMIF('Ajustes'!$H:$H,$A173&amp;"|Casa",'Ajustes'!$D:$D))</f>
      </c>
      <c r="H173" s="17">
        <f>IF($A173="","",SUMIF('Traslados'!$H:$H,$A173&amp;"|Mercado Libre",'Traslados'!$D:$D)-SUMIF('Traslados'!$G:$G,$A173&amp;"|Mercado Libre",'Traslados'!$D:$D)-SUMIF('Ventas'!$M:$M,$A173&amp;"|Mercado Libre",'Ventas'!$F:$F)+SUMIF('Ajustes'!$H:$H,$A173&amp;"|Mercado Libre",'Ajustes'!$D:$D))</f>
      </c>
      <c r="I173" s="17">
        <f>IF($A173="","",$G173+$H173)</f>
      </c>
      <c r="J173" s="16">
        <f>IF($A173="","",$I173*$F173)</f>
      </c>
      <c r="K173" s="19">
        <f>IF($A173="","",IF($I173&lt;=0,"Agotado",IF($I173&lt;=$E173,"Stock bajo","Disponible")))</f>
      </c>
      <c r="L173" s="17">
        <f>IF($A173="","",IFERROR(VLOOKUP($C173,'Config'!$D$2:$E$30,2,FALSE),0))</f>
      </c>
      <c r="M173" s="20"/>
      <c r="N173" s="22"/>
      <c r="O173" s="22"/>
      <c r="P173" s="17">
        <f>IF(OR($A173="",$D173&lt;&gt;"Activo"),"",SUMPRODUCT(($C$2:$C$201=$C173)*($D$2:$D$201="Activo")*(($S$2:$S$201&lt;$S173)+(($S$2:$S$201=$S173)*($B$2:$B$201&lt;$B173))))+1)</f>
      </c>
      <c r="Q173" s="19">
        <f>IF($P173="","",$C173&amp;"|"&amp;$P173)</f>
      </c>
      <c r="R173" s="20"/>
      <c r="S173" s="17">
        <f>IF($A173="","",IFERROR(VALUE(TRIM(LEFT($R173,FIND("x",LOWER($R173))-1)))*VALUE(TRIM(MID($R173,FIND("x",LOWER($R173))+1,20))),0))</f>
      </c>
      <c r="T173" s="17">
        <f>IF(OR($A173="",$D173&lt;&gt;"Activo"),"",SUMPRODUCT(($D$2:$D$201="Activo")*(($C$2:$C$201&lt;$C173)+(($C$2:$C$201=$C173)*($S$2:$S$201&lt;$S173))+(($C$2:$C$201=$C173)*($S$2:$S$201=$S173)*($B$2:$B$201&lt;$B173))))+1)</f>
      </c>
      <c r="U173" s="19">
        <f>IF($T173="","","TODAS|"&amp;$T173)</f>
      </c>
      <c r="V173" s="14">
        <f>IF($A173="","",IFERROR(IF(COUNTIF('Compras'!$B:$B,$A173)=0,"",MINIFS('Compras'!$A:$A,'Compras'!$B:$B,$A173)),""))</f>
      </c>
      <c r="W173" s="17">
        <f>IF(OR($A173="",$V173=""),"",TODAY()-$V173)</f>
      </c>
      <c r="X173" s="17">
        <f>IF($A173="","",SUMIF('Ventas'!$D:$D,$A173,'Ventas'!$F:$F))</f>
      </c>
      <c r="Y173" s="19">
        <f>IF($A173="","",IF(AND($X173&gt;=3,$W173&lt;&gt;"",$W173&lt;=15),"🔥 Se vende rápido — REABASTECE",IF($K173="Agotado","🔴 Agotado — reabastece",IF($K173="Stock bajo","🟠 Stock bajo","✅ Ok"))))</f>
      </c>
    </row>
    <row r="174">
      <c r="A174" s="20"/>
      <c r="B174" s="20"/>
      <c r="C174" s="20"/>
      <c r="D174" s="20"/>
      <c r="E174" s="21"/>
      <c r="F174" s="16">
        <f>IF($A174="","",IFERROR(SUMIF('Compras'!$B:$B,$A174,'Compras'!$F:$F)/SUMIF('Compras'!$B:$B,$A174,'Compras'!$D:$D),0))</f>
      </c>
      <c r="G174" s="17">
        <f>IF($A174="","",SUMIF('Compras'!$B:$B,$A174,'Compras'!$D:$D)+SUMIF('Traslados'!$H:$H,$A174&amp;"|Casa",'Traslados'!$D:$D)-SUMIF('Traslados'!$G:$G,$A174&amp;"|Casa",'Traslados'!$D:$D)-SUMIF('Ventas'!$M:$M,$A174&amp;"|Casa",'Ventas'!$F:$F)+SUMIF('Ajustes'!$H:$H,$A174&amp;"|Casa",'Ajustes'!$D:$D))</f>
      </c>
      <c r="H174" s="17">
        <f>IF($A174="","",SUMIF('Traslados'!$H:$H,$A174&amp;"|Mercado Libre",'Traslados'!$D:$D)-SUMIF('Traslados'!$G:$G,$A174&amp;"|Mercado Libre",'Traslados'!$D:$D)-SUMIF('Ventas'!$M:$M,$A174&amp;"|Mercado Libre",'Ventas'!$F:$F)+SUMIF('Ajustes'!$H:$H,$A174&amp;"|Mercado Libre",'Ajustes'!$D:$D))</f>
      </c>
      <c r="I174" s="17">
        <f>IF($A174="","",$G174+$H174)</f>
      </c>
      <c r="J174" s="16">
        <f>IF($A174="","",$I174*$F174)</f>
      </c>
      <c r="K174" s="19">
        <f>IF($A174="","",IF($I174&lt;=0,"Agotado",IF($I174&lt;=$E174,"Stock bajo","Disponible")))</f>
      </c>
      <c r="L174" s="17">
        <f>IF($A174="","",IFERROR(VLOOKUP($C174,'Config'!$D$2:$E$30,2,FALSE),0))</f>
      </c>
      <c r="M174" s="20"/>
      <c r="N174" s="22"/>
      <c r="O174" s="22"/>
      <c r="P174" s="17">
        <f>IF(OR($A174="",$D174&lt;&gt;"Activo"),"",SUMPRODUCT(($C$2:$C$201=$C174)*($D$2:$D$201="Activo")*(($S$2:$S$201&lt;$S174)+(($S$2:$S$201=$S174)*($B$2:$B$201&lt;$B174))))+1)</f>
      </c>
      <c r="Q174" s="19">
        <f>IF($P174="","",$C174&amp;"|"&amp;$P174)</f>
      </c>
      <c r="R174" s="20"/>
      <c r="S174" s="17">
        <f>IF($A174="","",IFERROR(VALUE(TRIM(LEFT($R174,FIND("x",LOWER($R174))-1)))*VALUE(TRIM(MID($R174,FIND("x",LOWER($R174))+1,20))),0))</f>
      </c>
      <c r="T174" s="17">
        <f>IF(OR($A174="",$D174&lt;&gt;"Activo"),"",SUMPRODUCT(($D$2:$D$201="Activo")*(($C$2:$C$201&lt;$C174)+(($C$2:$C$201=$C174)*($S$2:$S$201&lt;$S174))+(($C$2:$C$201=$C174)*($S$2:$S$201=$S174)*($B$2:$B$201&lt;$B174))))+1)</f>
      </c>
      <c r="U174" s="19">
        <f>IF($T174="","","TODAS|"&amp;$T174)</f>
      </c>
      <c r="V174" s="14">
        <f>IF($A174="","",IFERROR(IF(COUNTIF('Compras'!$B:$B,$A174)=0,"",MINIFS('Compras'!$A:$A,'Compras'!$B:$B,$A174)),""))</f>
      </c>
      <c r="W174" s="17">
        <f>IF(OR($A174="",$V174=""),"",TODAY()-$V174)</f>
      </c>
      <c r="X174" s="17">
        <f>IF($A174="","",SUMIF('Ventas'!$D:$D,$A174,'Ventas'!$F:$F))</f>
      </c>
      <c r="Y174" s="19">
        <f>IF($A174="","",IF(AND($X174&gt;=3,$W174&lt;&gt;"",$W174&lt;=15),"🔥 Se vende rápido — REABASTECE",IF($K174="Agotado","🔴 Agotado — reabastece",IF($K174="Stock bajo","🟠 Stock bajo","✅ Ok"))))</f>
      </c>
    </row>
    <row r="175">
      <c r="A175" s="20"/>
      <c r="B175" s="20"/>
      <c r="C175" s="20"/>
      <c r="D175" s="20"/>
      <c r="E175" s="21"/>
      <c r="F175" s="16">
        <f>IF($A175="","",IFERROR(SUMIF('Compras'!$B:$B,$A175,'Compras'!$F:$F)/SUMIF('Compras'!$B:$B,$A175,'Compras'!$D:$D),0))</f>
      </c>
      <c r="G175" s="17">
        <f>IF($A175="","",SUMIF('Compras'!$B:$B,$A175,'Compras'!$D:$D)+SUMIF('Traslados'!$H:$H,$A175&amp;"|Casa",'Traslados'!$D:$D)-SUMIF('Traslados'!$G:$G,$A175&amp;"|Casa",'Traslados'!$D:$D)-SUMIF('Ventas'!$M:$M,$A175&amp;"|Casa",'Ventas'!$F:$F)+SUMIF('Ajustes'!$H:$H,$A175&amp;"|Casa",'Ajustes'!$D:$D))</f>
      </c>
      <c r="H175" s="17">
        <f>IF($A175="","",SUMIF('Traslados'!$H:$H,$A175&amp;"|Mercado Libre",'Traslados'!$D:$D)-SUMIF('Traslados'!$G:$G,$A175&amp;"|Mercado Libre",'Traslados'!$D:$D)-SUMIF('Ventas'!$M:$M,$A175&amp;"|Mercado Libre",'Ventas'!$F:$F)+SUMIF('Ajustes'!$H:$H,$A175&amp;"|Mercado Libre",'Ajustes'!$D:$D))</f>
      </c>
      <c r="I175" s="17">
        <f>IF($A175="","",$G175+$H175)</f>
      </c>
      <c r="J175" s="16">
        <f>IF($A175="","",$I175*$F175)</f>
      </c>
      <c r="K175" s="19">
        <f>IF($A175="","",IF($I175&lt;=0,"Agotado",IF($I175&lt;=$E175,"Stock bajo","Disponible")))</f>
      </c>
      <c r="L175" s="17">
        <f>IF($A175="","",IFERROR(VLOOKUP($C175,'Config'!$D$2:$E$30,2,FALSE),0))</f>
      </c>
      <c r="M175" s="20"/>
      <c r="N175" s="22"/>
      <c r="O175" s="22"/>
      <c r="P175" s="17">
        <f>IF(OR($A175="",$D175&lt;&gt;"Activo"),"",SUMPRODUCT(($C$2:$C$201=$C175)*($D$2:$D$201="Activo")*(($S$2:$S$201&lt;$S175)+(($S$2:$S$201=$S175)*($B$2:$B$201&lt;$B175))))+1)</f>
      </c>
      <c r="Q175" s="19">
        <f>IF($P175="","",$C175&amp;"|"&amp;$P175)</f>
      </c>
      <c r="R175" s="20"/>
      <c r="S175" s="17">
        <f>IF($A175="","",IFERROR(VALUE(TRIM(LEFT($R175,FIND("x",LOWER($R175))-1)))*VALUE(TRIM(MID($R175,FIND("x",LOWER($R175))+1,20))),0))</f>
      </c>
      <c r="T175" s="17">
        <f>IF(OR($A175="",$D175&lt;&gt;"Activo"),"",SUMPRODUCT(($D$2:$D$201="Activo")*(($C$2:$C$201&lt;$C175)+(($C$2:$C$201=$C175)*($S$2:$S$201&lt;$S175))+(($C$2:$C$201=$C175)*($S$2:$S$201=$S175)*($B$2:$B$201&lt;$B175))))+1)</f>
      </c>
      <c r="U175" s="19">
        <f>IF($T175="","","TODAS|"&amp;$T175)</f>
      </c>
      <c r="V175" s="14">
        <f>IF($A175="","",IFERROR(IF(COUNTIF('Compras'!$B:$B,$A175)=0,"",MINIFS('Compras'!$A:$A,'Compras'!$B:$B,$A175)),""))</f>
      </c>
      <c r="W175" s="17">
        <f>IF(OR($A175="",$V175=""),"",TODAY()-$V175)</f>
      </c>
      <c r="X175" s="17">
        <f>IF($A175="","",SUMIF('Ventas'!$D:$D,$A175,'Ventas'!$F:$F))</f>
      </c>
      <c r="Y175" s="19">
        <f>IF($A175="","",IF(AND($X175&gt;=3,$W175&lt;&gt;"",$W175&lt;=15),"🔥 Se vende rápido — REABASTECE",IF($K175="Agotado","🔴 Agotado — reabastece",IF($K175="Stock bajo","🟠 Stock bajo","✅ Ok"))))</f>
      </c>
    </row>
    <row r="176">
      <c r="A176" s="20"/>
      <c r="B176" s="20"/>
      <c r="C176" s="20"/>
      <c r="D176" s="20"/>
      <c r="E176" s="21"/>
      <c r="F176" s="16">
        <f>IF($A176="","",IFERROR(SUMIF('Compras'!$B:$B,$A176,'Compras'!$F:$F)/SUMIF('Compras'!$B:$B,$A176,'Compras'!$D:$D),0))</f>
      </c>
      <c r="G176" s="17">
        <f>IF($A176="","",SUMIF('Compras'!$B:$B,$A176,'Compras'!$D:$D)+SUMIF('Traslados'!$H:$H,$A176&amp;"|Casa",'Traslados'!$D:$D)-SUMIF('Traslados'!$G:$G,$A176&amp;"|Casa",'Traslados'!$D:$D)-SUMIF('Ventas'!$M:$M,$A176&amp;"|Casa",'Ventas'!$F:$F)+SUMIF('Ajustes'!$H:$H,$A176&amp;"|Casa",'Ajustes'!$D:$D))</f>
      </c>
      <c r="H176" s="17">
        <f>IF($A176="","",SUMIF('Traslados'!$H:$H,$A176&amp;"|Mercado Libre",'Traslados'!$D:$D)-SUMIF('Traslados'!$G:$G,$A176&amp;"|Mercado Libre",'Traslados'!$D:$D)-SUMIF('Ventas'!$M:$M,$A176&amp;"|Mercado Libre",'Ventas'!$F:$F)+SUMIF('Ajustes'!$H:$H,$A176&amp;"|Mercado Libre",'Ajustes'!$D:$D))</f>
      </c>
      <c r="I176" s="17">
        <f>IF($A176="","",$G176+$H176)</f>
      </c>
      <c r="J176" s="16">
        <f>IF($A176="","",$I176*$F176)</f>
      </c>
      <c r="K176" s="19">
        <f>IF($A176="","",IF($I176&lt;=0,"Agotado",IF($I176&lt;=$E176,"Stock bajo","Disponible")))</f>
      </c>
      <c r="L176" s="17">
        <f>IF($A176="","",IFERROR(VLOOKUP($C176,'Config'!$D$2:$E$30,2,FALSE),0))</f>
      </c>
      <c r="M176" s="20"/>
      <c r="N176" s="22"/>
      <c r="O176" s="22"/>
      <c r="P176" s="17">
        <f>IF(OR($A176="",$D176&lt;&gt;"Activo"),"",SUMPRODUCT(($C$2:$C$201=$C176)*($D$2:$D$201="Activo")*(($S$2:$S$201&lt;$S176)+(($S$2:$S$201=$S176)*($B$2:$B$201&lt;$B176))))+1)</f>
      </c>
      <c r="Q176" s="19">
        <f>IF($P176="","",$C176&amp;"|"&amp;$P176)</f>
      </c>
      <c r="R176" s="20"/>
      <c r="S176" s="17">
        <f>IF($A176="","",IFERROR(VALUE(TRIM(LEFT($R176,FIND("x",LOWER($R176))-1)))*VALUE(TRIM(MID($R176,FIND("x",LOWER($R176))+1,20))),0))</f>
      </c>
      <c r="T176" s="17">
        <f>IF(OR($A176="",$D176&lt;&gt;"Activo"),"",SUMPRODUCT(($D$2:$D$201="Activo")*(($C$2:$C$201&lt;$C176)+(($C$2:$C$201=$C176)*($S$2:$S$201&lt;$S176))+(($C$2:$C$201=$C176)*($S$2:$S$201=$S176)*($B$2:$B$201&lt;$B176))))+1)</f>
      </c>
      <c r="U176" s="19">
        <f>IF($T176="","","TODAS|"&amp;$T176)</f>
      </c>
      <c r="V176" s="14">
        <f>IF($A176="","",IFERROR(IF(COUNTIF('Compras'!$B:$B,$A176)=0,"",MINIFS('Compras'!$A:$A,'Compras'!$B:$B,$A176)),""))</f>
      </c>
      <c r="W176" s="17">
        <f>IF(OR($A176="",$V176=""),"",TODAY()-$V176)</f>
      </c>
      <c r="X176" s="17">
        <f>IF($A176="","",SUMIF('Ventas'!$D:$D,$A176,'Ventas'!$F:$F))</f>
      </c>
      <c r="Y176" s="19">
        <f>IF($A176="","",IF(AND($X176&gt;=3,$W176&lt;&gt;"",$W176&lt;=15),"🔥 Se vende rápido — REABASTECE",IF($K176="Agotado","🔴 Agotado — reabastece",IF($K176="Stock bajo","🟠 Stock bajo","✅ Ok"))))</f>
      </c>
    </row>
    <row r="177">
      <c r="A177" s="20"/>
      <c r="B177" s="20"/>
      <c r="C177" s="20"/>
      <c r="D177" s="20"/>
      <c r="E177" s="21"/>
      <c r="F177" s="16">
        <f>IF($A177="","",IFERROR(SUMIF('Compras'!$B:$B,$A177,'Compras'!$F:$F)/SUMIF('Compras'!$B:$B,$A177,'Compras'!$D:$D),0))</f>
      </c>
      <c r="G177" s="17">
        <f>IF($A177="","",SUMIF('Compras'!$B:$B,$A177,'Compras'!$D:$D)+SUMIF('Traslados'!$H:$H,$A177&amp;"|Casa",'Traslados'!$D:$D)-SUMIF('Traslados'!$G:$G,$A177&amp;"|Casa",'Traslados'!$D:$D)-SUMIF('Ventas'!$M:$M,$A177&amp;"|Casa",'Ventas'!$F:$F)+SUMIF('Ajustes'!$H:$H,$A177&amp;"|Casa",'Ajustes'!$D:$D))</f>
      </c>
      <c r="H177" s="17">
        <f>IF($A177="","",SUMIF('Traslados'!$H:$H,$A177&amp;"|Mercado Libre",'Traslados'!$D:$D)-SUMIF('Traslados'!$G:$G,$A177&amp;"|Mercado Libre",'Traslados'!$D:$D)-SUMIF('Ventas'!$M:$M,$A177&amp;"|Mercado Libre",'Ventas'!$F:$F)+SUMIF('Ajustes'!$H:$H,$A177&amp;"|Mercado Libre",'Ajustes'!$D:$D))</f>
      </c>
      <c r="I177" s="17">
        <f>IF($A177="","",$G177+$H177)</f>
      </c>
      <c r="J177" s="16">
        <f>IF($A177="","",$I177*$F177)</f>
      </c>
      <c r="K177" s="19">
        <f>IF($A177="","",IF($I177&lt;=0,"Agotado",IF($I177&lt;=$E177,"Stock bajo","Disponible")))</f>
      </c>
      <c r="L177" s="17">
        <f>IF($A177="","",IFERROR(VLOOKUP($C177,'Config'!$D$2:$E$30,2,FALSE),0))</f>
      </c>
      <c r="M177" s="20"/>
      <c r="N177" s="22"/>
      <c r="O177" s="22"/>
      <c r="P177" s="17">
        <f>IF(OR($A177="",$D177&lt;&gt;"Activo"),"",SUMPRODUCT(($C$2:$C$201=$C177)*($D$2:$D$201="Activo")*(($S$2:$S$201&lt;$S177)+(($S$2:$S$201=$S177)*($B$2:$B$201&lt;$B177))))+1)</f>
      </c>
      <c r="Q177" s="19">
        <f>IF($P177="","",$C177&amp;"|"&amp;$P177)</f>
      </c>
      <c r="R177" s="20"/>
      <c r="S177" s="17">
        <f>IF($A177="","",IFERROR(VALUE(TRIM(LEFT($R177,FIND("x",LOWER($R177))-1)))*VALUE(TRIM(MID($R177,FIND("x",LOWER($R177))+1,20))),0))</f>
      </c>
      <c r="T177" s="17">
        <f>IF(OR($A177="",$D177&lt;&gt;"Activo"),"",SUMPRODUCT(($D$2:$D$201="Activo")*(($C$2:$C$201&lt;$C177)+(($C$2:$C$201=$C177)*($S$2:$S$201&lt;$S177))+(($C$2:$C$201=$C177)*($S$2:$S$201=$S177)*($B$2:$B$201&lt;$B177))))+1)</f>
      </c>
      <c r="U177" s="19">
        <f>IF($T177="","","TODAS|"&amp;$T177)</f>
      </c>
      <c r="V177" s="14">
        <f>IF($A177="","",IFERROR(IF(COUNTIF('Compras'!$B:$B,$A177)=0,"",MINIFS('Compras'!$A:$A,'Compras'!$B:$B,$A177)),""))</f>
      </c>
      <c r="W177" s="17">
        <f>IF(OR($A177="",$V177=""),"",TODAY()-$V177)</f>
      </c>
      <c r="X177" s="17">
        <f>IF($A177="","",SUMIF('Ventas'!$D:$D,$A177,'Ventas'!$F:$F))</f>
      </c>
      <c r="Y177" s="19">
        <f>IF($A177="","",IF(AND($X177&gt;=3,$W177&lt;&gt;"",$W177&lt;=15),"🔥 Se vende rápido — REABASTECE",IF($K177="Agotado","🔴 Agotado — reabastece",IF($K177="Stock bajo","🟠 Stock bajo","✅ Ok"))))</f>
      </c>
    </row>
    <row r="178">
      <c r="A178" s="20"/>
      <c r="B178" s="20"/>
      <c r="C178" s="20"/>
      <c r="D178" s="20"/>
      <c r="E178" s="21"/>
      <c r="F178" s="16">
        <f>IF($A178="","",IFERROR(SUMIF('Compras'!$B:$B,$A178,'Compras'!$F:$F)/SUMIF('Compras'!$B:$B,$A178,'Compras'!$D:$D),0))</f>
      </c>
      <c r="G178" s="17">
        <f>IF($A178="","",SUMIF('Compras'!$B:$B,$A178,'Compras'!$D:$D)+SUMIF('Traslados'!$H:$H,$A178&amp;"|Casa",'Traslados'!$D:$D)-SUMIF('Traslados'!$G:$G,$A178&amp;"|Casa",'Traslados'!$D:$D)-SUMIF('Ventas'!$M:$M,$A178&amp;"|Casa",'Ventas'!$F:$F)+SUMIF('Ajustes'!$H:$H,$A178&amp;"|Casa",'Ajustes'!$D:$D))</f>
      </c>
      <c r="H178" s="17">
        <f>IF($A178="","",SUMIF('Traslados'!$H:$H,$A178&amp;"|Mercado Libre",'Traslados'!$D:$D)-SUMIF('Traslados'!$G:$G,$A178&amp;"|Mercado Libre",'Traslados'!$D:$D)-SUMIF('Ventas'!$M:$M,$A178&amp;"|Mercado Libre",'Ventas'!$F:$F)+SUMIF('Ajustes'!$H:$H,$A178&amp;"|Mercado Libre",'Ajustes'!$D:$D))</f>
      </c>
      <c r="I178" s="17">
        <f>IF($A178="","",$G178+$H178)</f>
      </c>
      <c r="J178" s="16">
        <f>IF($A178="","",$I178*$F178)</f>
      </c>
      <c r="K178" s="19">
        <f>IF($A178="","",IF($I178&lt;=0,"Agotado",IF($I178&lt;=$E178,"Stock bajo","Disponible")))</f>
      </c>
      <c r="L178" s="17">
        <f>IF($A178="","",IFERROR(VLOOKUP($C178,'Config'!$D$2:$E$30,2,FALSE),0))</f>
      </c>
      <c r="M178" s="20"/>
      <c r="N178" s="22"/>
      <c r="O178" s="22"/>
      <c r="P178" s="17">
        <f>IF(OR($A178="",$D178&lt;&gt;"Activo"),"",SUMPRODUCT(($C$2:$C$201=$C178)*($D$2:$D$201="Activo")*(($S$2:$S$201&lt;$S178)+(($S$2:$S$201=$S178)*($B$2:$B$201&lt;$B178))))+1)</f>
      </c>
      <c r="Q178" s="19">
        <f>IF($P178="","",$C178&amp;"|"&amp;$P178)</f>
      </c>
      <c r="R178" s="20"/>
      <c r="S178" s="17">
        <f>IF($A178="","",IFERROR(VALUE(TRIM(LEFT($R178,FIND("x",LOWER($R178))-1)))*VALUE(TRIM(MID($R178,FIND("x",LOWER($R178))+1,20))),0))</f>
      </c>
      <c r="T178" s="17">
        <f>IF(OR($A178="",$D178&lt;&gt;"Activo"),"",SUMPRODUCT(($D$2:$D$201="Activo")*(($C$2:$C$201&lt;$C178)+(($C$2:$C$201=$C178)*($S$2:$S$201&lt;$S178))+(($C$2:$C$201=$C178)*($S$2:$S$201=$S178)*($B$2:$B$201&lt;$B178))))+1)</f>
      </c>
      <c r="U178" s="19">
        <f>IF($T178="","","TODAS|"&amp;$T178)</f>
      </c>
      <c r="V178" s="14">
        <f>IF($A178="","",IFERROR(IF(COUNTIF('Compras'!$B:$B,$A178)=0,"",MINIFS('Compras'!$A:$A,'Compras'!$B:$B,$A178)),""))</f>
      </c>
      <c r="W178" s="17">
        <f>IF(OR($A178="",$V178=""),"",TODAY()-$V178)</f>
      </c>
      <c r="X178" s="17">
        <f>IF($A178="","",SUMIF('Ventas'!$D:$D,$A178,'Ventas'!$F:$F))</f>
      </c>
      <c r="Y178" s="19">
        <f>IF($A178="","",IF(AND($X178&gt;=3,$W178&lt;&gt;"",$W178&lt;=15),"🔥 Se vende rápido — REABASTECE",IF($K178="Agotado","🔴 Agotado — reabastece",IF($K178="Stock bajo","🟠 Stock bajo","✅ Ok"))))</f>
      </c>
    </row>
    <row r="179">
      <c r="A179" s="20"/>
      <c r="B179" s="20"/>
      <c r="C179" s="20"/>
      <c r="D179" s="20"/>
      <c r="E179" s="21"/>
      <c r="F179" s="16">
        <f>IF($A179="","",IFERROR(SUMIF('Compras'!$B:$B,$A179,'Compras'!$F:$F)/SUMIF('Compras'!$B:$B,$A179,'Compras'!$D:$D),0))</f>
      </c>
      <c r="G179" s="17">
        <f>IF($A179="","",SUMIF('Compras'!$B:$B,$A179,'Compras'!$D:$D)+SUMIF('Traslados'!$H:$H,$A179&amp;"|Casa",'Traslados'!$D:$D)-SUMIF('Traslados'!$G:$G,$A179&amp;"|Casa",'Traslados'!$D:$D)-SUMIF('Ventas'!$M:$M,$A179&amp;"|Casa",'Ventas'!$F:$F)+SUMIF('Ajustes'!$H:$H,$A179&amp;"|Casa",'Ajustes'!$D:$D))</f>
      </c>
      <c r="H179" s="17">
        <f>IF($A179="","",SUMIF('Traslados'!$H:$H,$A179&amp;"|Mercado Libre",'Traslados'!$D:$D)-SUMIF('Traslados'!$G:$G,$A179&amp;"|Mercado Libre",'Traslados'!$D:$D)-SUMIF('Ventas'!$M:$M,$A179&amp;"|Mercado Libre",'Ventas'!$F:$F)+SUMIF('Ajustes'!$H:$H,$A179&amp;"|Mercado Libre",'Ajustes'!$D:$D))</f>
      </c>
      <c r="I179" s="17">
        <f>IF($A179="","",$G179+$H179)</f>
      </c>
      <c r="J179" s="16">
        <f>IF($A179="","",$I179*$F179)</f>
      </c>
      <c r="K179" s="19">
        <f>IF($A179="","",IF($I179&lt;=0,"Agotado",IF($I179&lt;=$E179,"Stock bajo","Disponible")))</f>
      </c>
      <c r="L179" s="17">
        <f>IF($A179="","",IFERROR(VLOOKUP($C179,'Config'!$D$2:$E$30,2,FALSE),0))</f>
      </c>
      <c r="M179" s="20"/>
      <c r="N179" s="22"/>
      <c r="O179" s="22"/>
      <c r="P179" s="17">
        <f>IF(OR($A179="",$D179&lt;&gt;"Activo"),"",SUMPRODUCT(($C$2:$C$201=$C179)*($D$2:$D$201="Activo")*(($S$2:$S$201&lt;$S179)+(($S$2:$S$201=$S179)*($B$2:$B$201&lt;$B179))))+1)</f>
      </c>
      <c r="Q179" s="19">
        <f>IF($P179="","",$C179&amp;"|"&amp;$P179)</f>
      </c>
      <c r="R179" s="20"/>
      <c r="S179" s="17">
        <f>IF($A179="","",IFERROR(VALUE(TRIM(LEFT($R179,FIND("x",LOWER($R179))-1)))*VALUE(TRIM(MID($R179,FIND("x",LOWER($R179))+1,20))),0))</f>
      </c>
      <c r="T179" s="17">
        <f>IF(OR($A179="",$D179&lt;&gt;"Activo"),"",SUMPRODUCT(($D$2:$D$201="Activo")*(($C$2:$C$201&lt;$C179)+(($C$2:$C$201=$C179)*($S$2:$S$201&lt;$S179))+(($C$2:$C$201=$C179)*($S$2:$S$201=$S179)*($B$2:$B$201&lt;$B179))))+1)</f>
      </c>
      <c r="U179" s="19">
        <f>IF($T179="","","TODAS|"&amp;$T179)</f>
      </c>
      <c r="V179" s="14">
        <f>IF($A179="","",IFERROR(IF(COUNTIF('Compras'!$B:$B,$A179)=0,"",MINIFS('Compras'!$A:$A,'Compras'!$B:$B,$A179)),""))</f>
      </c>
      <c r="W179" s="17">
        <f>IF(OR($A179="",$V179=""),"",TODAY()-$V179)</f>
      </c>
      <c r="X179" s="17">
        <f>IF($A179="","",SUMIF('Ventas'!$D:$D,$A179,'Ventas'!$F:$F))</f>
      </c>
      <c r="Y179" s="19">
        <f>IF($A179="","",IF(AND($X179&gt;=3,$W179&lt;&gt;"",$W179&lt;=15),"🔥 Se vende rápido — REABASTECE",IF($K179="Agotado","🔴 Agotado — reabastece",IF($K179="Stock bajo","🟠 Stock bajo","✅ Ok"))))</f>
      </c>
    </row>
    <row r="180">
      <c r="A180" s="20"/>
      <c r="B180" s="20"/>
      <c r="C180" s="20"/>
      <c r="D180" s="20"/>
      <c r="E180" s="21"/>
      <c r="F180" s="16">
        <f>IF($A180="","",IFERROR(SUMIF('Compras'!$B:$B,$A180,'Compras'!$F:$F)/SUMIF('Compras'!$B:$B,$A180,'Compras'!$D:$D),0))</f>
      </c>
      <c r="G180" s="17">
        <f>IF($A180="","",SUMIF('Compras'!$B:$B,$A180,'Compras'!$D:$D)+SUMIF('Traslados'!$H:$H,$A180&amp;"|Casa",'Traslados'!$D:$D)-SUMIF('Traslados'!$G:$G,$A180&amp;"|Casa",'Traslados'!$D:$D)-SUMIF('Ventas'!$M:$M,$A180&amp;"|Casa",'Ventas'!$F:$F)+SUMIF('Ajustes'!$H:$H,$A180&amp;"|Casa",'Ajustes'!$D:$D))</f>
      </c>
      <c r="H180" s="17">
        <f>IF($A180="","",SUMIF('Traslados'!$H:$H,$A180&amp;"|Mercado Libre",'Traslados'!$D:$D)-SUMIF('Traslados'!$G:$G,$A180&amp;"|Mercado Libre",'Traslados'!$D:$D)-SUMIF('Ventas'!$M:$M,$A180&amp;"|Mercado Libre",'Ventas'!$F:$F)+SUMIF('Ajustes'!$H:$H,$A180&amp;"|Mercado Libre",'Ajustes'!$D:$D))</f>
      </c>
      <c r="I180" s="17">
        <f>IF($A180="","",$G180+$H180)</f>
      </c>
      <c r="J180" s="16">
        <f>IF($A180="","",$I180*$F180)</f>
      </c>
      <c r="K180" s="19">
        <f>IF($A180="","",IF($I180&lt;=0,"Agotado",IF($I180&lt;=$E180,"Stock bajo","Disponible")))</f>
      </c>
      <c r="L180" s="17">
        <f>IF($A180="","",IFERROR(VLOOKUP($C180,'Config'!$D$2:$E$30,2,FALSE),0))</f>
      </c>
      <c r="M180" s="20"/>
      <c r="N180" s="22"/>
      <c r="O180" s="22"/>
      <c r="P180" s="17">
        <f>IF(OR($A180="",$D180&lt;&gt;"Activo"),"",SUMPRODUCT(($C$2:$C$201=$C180)*($D$2:$D$201="Activo")*(($S$2:$S$201&lt;$S180)+(($S$2:$S$201=$S180)*($B$2:$B$201&lt;$B180))))+1)</f>
      </c>
      <c r="Q180" s="19">
        <f>IF($P180="","",$C180&amp;"|"&amp;$P180)</f>
      </c>
      <c r="R180" s="20"/>
      <c r="S180" s="17">
        <f>IF($A180="","",IFERROR(VALUE(TRIM(LEFT($R180,FIND("x",LOWER($R180))-1)))*VALUE(TRIM(MID($R180,FIND("x",LOWER($R180))+1,20))),0))</f>
      </c>
      <c r="T180" s="17">
        <f>IF(OR($A180="",$D180&lt;&gt;"Activo"),"",SUMPRODUCT(($D$2:$D$201="Activo")*(($C$2:$C$201&lt;$C180)+(($C$2:$C$201=$C180)*($S$2:$S$201&lt;$S180))+(($C$2:$C$201=$C180)*($S$2:$S$201=$S180)*($B$2:$B$201&lt;$B180))))+1)</f>
      </c>
      <c r="U180" s="19">
        <f>IF($T180="","","TODAS|"&amp;$T180)</f>
      </c>
      <c r="V180" s="14">
        <f>IF($A180="","",IFERROR(IF(COUNTIF('Compras'!$B:$B,$A180)=0,"",MINIFS('Compras'!$A:$A,'Compras'!$B:$B,$A180)),""))</f>
      </c>
      <c r="W180" s="17">
        <f>IF(OR($A180="",$V180=""),"",TODAY()-$V180)</f>
      </c>
      <c r="X180" s="17">
        <f>IF($A180="","",SUMIF('Ventas'!$D:$D,$A180,'Ventas'!$F:$F))</f>
      </c>
      <c r="Y180" s="19">
        <f>IF($A180="","",IF(AND($X180&gt;=3,$W180&lt;&gt;"",$W180&lt;=15),"🔥 Se vende rápido — REABASTECE",IF($K180="Agotado","🔴 Agotado — reabastece",IF($K180="Stock bajo","🟠 Stock bajo","✅ Ok"))))</f>
      </c>
    </row>
    <row r="181">
      <c r="A181" s="20"/>
      <c r="B181" s="20"/>
      <c r="C181" s="20"/>
      <c r="D181" s="20"/>
      <c r="E181" s="21"/>
      <c r="F181" s="16">
        <f>IF($A181="","",IFERROR(SUMIF('Compras'!$B:$B,$A181,'Compras'!$F:$F)/SUMIF('Compras'!$B:$B,$A181,'Compras'!$D:$D),0))</f>
      </c>
      <c r="G181" s="17">
        <f>IF($A181="","",SUMIF('Compras'!$B:$B,$A181,'Compras'!$D:$D)+SUMIF('Traslados'!$H:$H,$A181&amp;"|Casa",'Traslados'!$D:$D)-SUMIF('Traslados'!$G:$G,$A181&amp;"|Casa",'Traslados'!$D:$D)-SUMIF('Ventas'!$M:$M,$A181&amp;"|Casa",'Ventas'!$F:$F)+SUMIF('Ajustes'!$H:$H,$A181&amp;"|Casa",'Ajustes'!$D:$D))</f>
      </c>
      <c r="H181" s="17">
        <f>IF($A181="","",SUMIF('Traslados'!$H:$H,$A181&amp;"|Mercado Libre",'Traslados'!$D:$D)-SUMIF('Traslados'!$G:$G,$A181&amp;"|Mercado Libre",'Traslados'!$D:$D)-SUMIF('Ventas'!$M:$M,$A181&amp;"|Mercado Libre",'Ventas'!$F:$F)+SUMIF('Ajustes'!$H:$H,$A181&amp;"|Mercado Libre",'Ajustes'!$D:$D))</f>
      </c>
      <c r="I181" s="17">
        <f>IF($A181="","",$G181+$H181)</f>
      </c>
      <c r="J181" s="16">
        <f>IF($A181="","",$I181*$F181)</f>
      </c>
      <c r="K181" s="19">
        <f>IF($A181="","",IF($I181&lt;=0,"Agotado",IF($I181&lt;=$E181,"Stock bajo","Disponible")))</f>
      </c>
      <c r="L181" s="17">
        <f>IF($A181="","",IFERROR(VLOOKUP($C181,'Config'!$D$2:$E$30,2,FALSE),0))</f>
      </c>
      <c r="M181" s="20"/>
      <c r="N181" s="22"/>
      <c r="O181" s="22"/>
      <c r="P181" s="17">
        <f>IF(OR($A181="",$D181&lt;&gt;"Activo"),"",SUMPRODUCT(($C$2:$C$201=$C181)*($D$2:$D$201="Activo")*(($S$2:$S$201&lt;$S181)+(($S$2:$S$201=$S181)*($B$2:$B$201&lt;$B181))))+1)</f>
      </c>
      <c r="Q181" s="19">
        <f>IF($P181="","",$C181&amp;"|"&amp;$P181)</f>
      </c>
      <c r="R181" s="20"/>
      <c r="S181" s="17">
        <f>IF($A181="","",IFERROR(VALUE(TRIM(LEFT($R181,FIND("x",LOWER($R181))-1)))*VALUE(TRIM(MID($R181,FIND("x",LOWER($R181))+1,20))),0))</f>
      </c>
      <c r="T181" s="17">
        <f>IF(OR($A181="",$D181&lt;&gt;"Activo"),"",SUMPRODUCT(($D$2:$D$201="Activo")*(($C$2:$C$201&lt;$C181)+(($C$2:$C$201=$C181)*($S$2:$S$201&lt;$S181))+(($C$2:$C$201=$C181)*($S$2:$S$201=$S181)*($B$2:$B$201&lt;$B181))))+1)</f>
      </c>
      <c r="U181" s="19">
        <f>IF($T181="","","TODAS|"&amp;$T181)</f>
      </c>
      <c r="V181" s="14">
        <f>IF($A181="","",IFERROR(IF(COUNTIF('Compras'!$B:$B,$A181)=0,"",MINIFS('Compras'!$A:$A,'Compras'!$B:$B,$A181)),""))</f>
      </c>
      <c r="W181" s="17">
        <f>IF(OR($A181="",$V181=""),"",TODAY()-$V181)</f>
      </c>
      <c r="X181" s="17">
        <f>IF($A181="","",SUMIF('Ventas'!$D:$D,$A181,'Ventas'!$F:$F))</f>
      </c>
      <c r="Y181" s="19">
        <f>IF($A181="","",IF(AND($X181&gt;=3,$W181&lt;&gt;"",$W181&lt;=15),"🔥 Se vende rápido — REABASTECE",IF($K181="Agotado","🔴 Agotado — reabastece",IF($K181="Stock bajo","🟠 Stock bajo","✅ Ok"))))</f>
      </c>
    </row>
    <row r="182">
      <c r="A182" s="20"/>
      <c r="B182" s="20"/>
      <c r="C182" s="20"/>
      <c r="D182" s="20"/>
      <c r="E182" s="21"/>
      <c r="F182" s="16">
        <f>IF($A182="","",IFERROR(SUMIF('Compras'!$B:$B,$A182,'Compras'!$F:$F)/SUMIF('Compras'!$B:$B,$A182,'Compras'!$D:$D),0))</f>
      </c>
      <c r="G182" s="17">
        <f>IF($A182="","",SUMIF('Compras'!$B:$B,$A182,'Compras'!$D:$D)+SUMIF('Traslados'!$H:$H,$A182&amp;"|Casa",'Traslados'!$D:$D)-SUMIF('Traslados'!$G:$G,$A182&amp;"|Casa",'Traslados'!$D:$D)-SUMIF('Ventas'!$M:$M,$A182&amp;"|Casa",'Ventas'!$F:$F)+SUMIF('Ajustes'!$H:$H,$A182&amp;"|Casa",'Ajustes'!$D:$D))</f>
      </c>
      <c r="H182" s="17">
        <f>IF($A182="","",SUMIF('Traslados'!$H:$H,$A182&amp;"|Mercado Libre",'Traslados'!$D:$D)-SUMIF('Traslados'!$G:$G,$A182&amp;"|Mercado Libre",'Traslados'!$D:$D)-SUMIF('Ventas'!$M:$M,$A182&amp;"|Mercado Libre",'Ventas'!$F:$F)+SUMIF('Ajustes'!$H:$H,$A182&amp;"|Mercado Libre",'Ajustes'!$D:$D))</f>
      </c>
      <c r="I182" s="17">
        <f>IF($A182="","",$G182+$H182)</f>
      </c>
      <c r="J182" s="16">
        <f>IF($A182="","",$I182*$F182)</f>
      </c>
      <c r="K182" s="19">
        <f>IF($A182="","",IF($I182&lt;=0,"Agotado",IF($I182&lt;=$E182,"Stock bajo","Disponible")))</f>
      </c>
      <c r="L182" s="17">
        <f>IF($A182="","",IFERROR(VLOOKUP($C182,'Config'!$D$2:$E$30,2,FALSE),0))</f>
      </c>
      <c r="M182" s="20"/>
      <c r="N182" s="22"/>
      <c r="O182" s="22"/>
      <c r="P182" s="17">
        <f>IF(OR($A182="",$D182&lt;&gt;"Activo"),"",SUMPRODUCT(($C$2:$C$201=$C182)*($D$2:$D$201="Activo")*(($S$2:$S$201&lt;$S182)+(($S$2:$S$201=$S182)*($B$2:$B$201&lt;$B182))))+1)</f>
      </c>
      <c r="Q182" s="19">
        <f>IF($P182="","",$C182&amp;"|"&amp;$P182)</f>
      </c>
      <c r="R182" s="20"/>
      <c r="S182" s="17">
        <f>IF($A182="","",IFERROR(VALUE(TRIM(LEFT($R182,FIND("x",LOWER($R182))-1)))*VALUE(TRIM(MID($R182,FIND("x",LOWER($R182))+1,20))),0))</f>
      </c>
      <c r="T182" s="17">
        <f>IF(OR($A182="",$D182&lt;&gt;"Activo"),"",SUMPRODUCT(($D$2:$D$201="Activo")*(($C$2:$C$201&lt;$C182)+(($C$2:$C$201=$C182)*($S$2:$S$201&lt;$S182))+(($C$2:$C$201=$C182)*($S$2:$S$201=$S182)*($B$2:$B$201&lt;$B182))))+1)</f>
      </c>
      <c r="U182" s="19">
        <f>IF($T182="","","TODAS|"&amp;$T182)</f>
      </c>
      <c r="V182" s="14">
        <f>IF($A182="","",IFERROR(IF(COUNTIF('Compras'!$B:$B,$A182)=0,"",MINIFS('Compras'!$A:$A,'Compras'!$B:$B,$A182)),""))</f>
      </c>
      <c r="W182" s="17">
        <f>IF(OR($A182="",$V182=""),"",TODAY()-$V182)</f>
      </c>
      <c r="X182" s="17">
        <f>IF($A182="","",SUMIF('Ventas'!$D:$D,$A182,'Ventas'!$F:$F))</f>
      </c>
      <c r="Y182" s="19">
        <f>IF($A182="","",IF(AND($X182&gt;=3,$W182&lt;&gt;"",$W182&lt;=15),"🔥 Se vende rápido — REABASTECE",IF($K182="Agotado","🔴 Agotado — reabastece",IF($K182="Stock bajo","🟠 Stock bajo","✅ Ok"))))</f>
      </c>
    </row>
    <row r="183">
      <c r="A183" s="20"/>
      <c r="B183" s="20"/>
      <c r="C183" s="20"/>
      <c r="D183" s="20"/>
      <c r="E183" s="21"/>
      <c r="F183" s="16">
        <f>IF($A183="","",IFERROR(SUMIF('Compras'!$B:$B,$A183,'Compras'!$F:$F)/SUMIF('Compras'!$B:$B,$A183,'Compras'!$D:$D),0))</f>
      </c>
      <c r="G183" s="17">
        <f>IF($A183="","",SUMIF('Compras'!$B:$B,$A183,'Compras'!$D:$D)+SUMIF('Traslados'!$H:$H,$A183&amp;"|Casa",'Traslados'!$D:$D)-SUMIF('Traslados'!$G:$G,$A183&amp;"|Casa",'Traslados'!$D:$D)-SUMIF('Ventas'!$M:$M,$A183&amp;"|Casa",'Ventas'!$F:$F)+SUMIF('Ajustes'!$H:$H,$A183&amp;"|Casa",'Ajustes'!$D:$D))</f>
      </c>
      <c r="H183" s="17">
        <f>IF($A183="","",SUMIF('Traslados'!$H:$H,$A183&amp;"|Mercado Libre",'Traslados'!$D:$D)-SUMIF('Traslados'!$G:$G,$A183&amp;"|Mercado Libre",'Traslados'!$D:$D)-SUMIF('Ventas'!$M:$M,$A183&amp;"|Mercado Libre",'Ventas'!$F:$F)+SUMIF('Ajustes'!$H:$H,$A183&amp;"|Mercado Libre",'Ajustes'!$D:$D))</f>
      </c>
      <c r="I183" s="17">
        <f>IF($A183="","",$G183+$H183)</f>
      </c>
      <c r="J183" s="16">
        <f>IF($A183="","",$I183*$F183)</f>
      </c>
      <c r="K183" s="19">
        <f>IF($A183="","",IF($I183&lt;=0,"Agotado",IF($I183&lt;=$E183,"Stock bajo","Disponible")))</f>
      </c>
      <c r="L183" s="17">
        <f>IF($A183="","",IFERROR(VLOOKUP($C183,'Config'!$D$2:$E$30,2,FALSE),0))</f>
      </c>
      <c r="M183" s="20"/>
      <c r="N183" s="22"/>
      <c r="O183" s="22"/>
      <c r="P183" s="17">
        <f>IF(OR($A183="",$D183&lt;&gt;"Activo"),"",SUMPRODUCT(($C$2:$C$201=$C183)*($D$2:$D$201="Activo")*(($S$2:$S$201&lt;$S183)+(($S$2:$S$201=$S183)*($B$2:$B$201&lt;$B183))))+1)</f>
      </c>
      <c r="Q183" s="19">
        <f>IF($P183="","",$C183&amp;"|"&amp;$P183)</f>
      </c>
      <c r="R183" s="20"/>
      <c r="S183" s="17">
        <f>IF($A183="","",IFERROR(VALUE(TRIM(LEFT($R183,FIND("x",LOWER($R183))-1)))*VALUE(TRIM(MID($R183,FIND("x",LOWER($R183))+1,20))),0))</f>
      </c>
      <c r="T183" s="17">
        <f>IF(OR($A183="",$D183&lt;&gt;"Activo"),"",SUMPRODUCT(($D$2:$D$201="Activo")*(($C$2:$C$201&lt;$C183)+(($C$2:$C$201=$C183)*($S$2:$S$201&lt;$S183))+(($C$2:$C$201=$C183)*($S$2:$S$201=$S183)*($B$2:$B$201&lt;$B183))))+1)</f>
      </c>
      <c r="U183" s="19">
        <f>IF($T183="","","TODAS|"&amp;$T183)</f>
      </c>
      <c r="V183" s="14">
        <f>IF($A183="","",IFERROR(IF(COUNTIF('Compras'!$B:$B,$A183)=0,"",MINIFS('Compras'!$A:$A,'Compras'!$B:$B,$A183)),""))</f>
      </c>
      <c r="W183" s="17">
        <f>IF(OR($A183="",$V183=""),"",TODAY()-$V183)</f>
      </c>
      <c r="X183" s="17">
        <f>IF($A183="","",SUMIF('Ventas'!$D:$D,$A183,'Ventas'!$F:$F))</f>
      </c>
      <c r="Y183" s="19">
        <f>IF($A183="","",IF(AND($X183&gt;=3,$W183&lt;&gt;"",$W183&lt;=15),"🔥 Se vende rápido — REABASTECE",IF($K183="Agotado","🔴 Agotado — reabastece",IF($K183="Stock bajo","🟠 Stock bajo","✅ Ok"))))</f>
      </c>
    </row>
    <row r="184">
      <c r="A184" s="20"/>
      <c r="B184" s="20"/>
      <c r="C184" s="20"/>
      <c r="D184" s="20"/>
      <c r="E184" s="21"/>
      <c r="F184" s="16">
        <f>IF($A184="","",IFERROR(SUMIF('Compras'!$B:$B,$A184,'Compras'!$F:$F)/SUMIF('Compras'!$B:$B,$A184,'Compras'!$D:$D),0))</f>
      </c>
      <c r="G184" s="17">
        <f>IF($A184="","",SUMIF('Compras'!$B:$B,$A184,'Compras'!$D:$D)+SUMIF('Traslados'!$H:$H,$A184&amp;"|Casa",'Traslados'!$D:$D)-SUMIF('Traslados'!$G:$G,$A184&amp;"|Casa",'Traslados'!$D:$D)-SUMIF('Ventas'!$M:$M,$A184&amp;"|Casa",'Ventas'!$F:$F)+SUMIF('Ajustes'!$H:$H,$A184&amp;"|Casa",'Ajustes'!$D:$D))</f>
      </c>
      <c r="H184" s="17">
        <f>IF($A184="","",SUMIF('Traslados'!$H:$H,$A184&amp;"|Mercado Libre",'Traslados'!$D:$D)-SUMIF('Traslados'!$G:$G,$A184&amp;"|Mercado Libre",'Traslados'!$D:$D)-SUMIF('Ventas'!$M:$M,$A184&amp;"|Mercado Libre",'Ventas'!$F:$F)+SUMIF('Ajustes'!$H:$H,$A184&amp;"|Mercado Libre",'Ajustes'!$D:$D))</f>
      </c>
      <c r="I184" s="17">
        <f>IF($A184="","",$G184+$H184)</f>
      </c>
      <c r="J184" s="16">
        <f>IF($A184="","",$I184*$F184)</f>
      </c>
      <c r="K184" s="19">
        <f>IF($A184="","",IF($I184&lt;=0,"Agotado",IF($I184&lt;=$E184,"Stock bajo","Disponible")))</f>
      </c>
      <c r="L184" s="17">
        <f>IF($A184="","",IFERROR(VLOOKUP($C184,'Config'!$D$2:$E$30,2,FALSE),0))</f>
      </c>
      <c r="M184" s="20"/>
      <c r="N184" s="22"/>
      <c r="O184" s="22"/>
      <c r="P184" s="17">
        <f>IF(OR($A184="",$D184&lt;&gt;"Activo"),"",SUMPRODUCT(($C$2:$C$201=$C184)*($D$2:$D$201="Activo")*(($S$2:$S$201&lt;$S184)+(($S$2:$S$201=$S184)*($B$2:$B$201&lt;$B184))))+1)</f>
      </c>
      <c r="Q184" s="19">
        <f>IF($P184="","",$C184&amp;"|"&amp;$P184)</f>
      </c>
      <c r="R184" s="20"/>
      <c r="S184" s="17">
        <f>IF($A184="","",IFERROR(VALUE(TRIM(LEFT($R184,FIND("x",LOWER($R184))-1)))*VALUE(TRIM(MID($R184,FIND("x",LOWER($R184))+1,20))),0))</f>
      </c>
      <c r="T184" s="17">
        <f>IF(OR($A184="",$D184&lt;&gt;"Activo"),"",SUMPRODUCT(($D$2:$D$201="Activo")*(($C$2:$C$201&lt;$C184)+(($C$2:$C$201=$C184)*($S$2:$S$201&lt;$S184))+(($C$2:$C$201=$C184)*($S$2:$S$201=$S184)*($B$2:$B$201&lt;$B184))))+1)</f>
      </c>
      <c r="U184" s="19">
        <f>IF($T184="","","TODAS|"&amp;$T184)</f>
      </c>
      <c r="V184" s="14">
        <f>IF($A184="","",IFERROR(IF(COUNTIF('Compras'!$B:$B,$A184)=0,"",MINIFS('Compras'!$A:$A,'Compras'!$B:$B,$A184)),""))</f>
      </c>
      <c r="W184" s="17">
        <f>IF(OR($A184="",$V184=""),"",TODAY()-$V184)</f>
      </c>
      <c r="X184" s="17">
        <f>IF($A184="","",SUMIF('Ventas'!$D:$D,$A184,'Ventas'!$F:$F))</f>
      </c>
      <c r="Y184" s="19">
        <f>IF($A184="","",IF(AND($X184&gt;=3,$W184&lt;&gt;"",$W184&lt;=15),"🔥 Se vende rápido — REABASTECE",IF($K184="Agotado","🔴 Agotado — reabastece",IF($K184="Stock bajo","🟠 Stock bajo","✅ Ok"))))</f>
      </c>
    </row>
    <row r="185">
      <c r="A185" s="20"/>
      <c r="B185" s="20"/>
      <c r="C185" s="20"/>
      <c r="D185" s="20"/>
      <c r="E185" s="21"/>
      <c r="F185" s="16">
        <f>IF($A185="","",IFERROR(SUMIF('Compras'!$B:$B,$A185,'Compras'!$F:$F)/SUMIF('Compras'!$B:$B,$A185,'Compras'!$D:$D),0))</f>
      </c>
      <c r="G185" s="17">
        <f>IF($A185="","",SUMIF('Compras'!$B:$B,$A185,'Compras'!$D:$D)+SUMIF('Traslados'!$H:$H,$A185&amp;"|Casa",'Traslados'!$D:$D)-SUMIF('Traslados'!$G:$G,$A185&amp;"|Casa",'Traslados'!$D:$D)-SUMIF('Ventas'!$M:$M,$A185&amp;"|Casa",'Ventas'!$F:$F)+SUMIF('Ajustes'!$H:$H,$A185&amp;"|Casa",'Ajustes'!$D:$D))</f>
      </c>
      <c r="H185" s="17">
        <f>IF($A185="","",SUMIF('Traslados'!$H:$H,$A185&amp;"|Mercado Libre",'Traslados'!$D:$D)-SUMIF('Traslados'!$G:$G,$A185&amp;"|Mercado Libre",'Traslados'!$D:$D)-SUMIF('Ventas'!$M:$M,$A185&amp;"|Mercado Libre",'Ventas'!$F:$F)+SUMIF('Ajustes'!$H:$H,$A185&amp;"|Mercado Libre",'Ajustes'!$D:$D))</f>
      </c>
      <c r="I185" s="17">
        <f>IF($A185="","",$G185+$H185)</f>
      </c>
      <c r="J185" s="16">
        <f>IF($A185="","",$I185*$F185)</f>
      </c>
      <c r="K185" s="19">
        <f>IF($A185="","",IF($I185&lt;=0,"Agotado",IF($I185&lt;=$E185,"Stock bajo","Disponible")))</f>
      </c>
      <c r="L185" s="17">
        <f>IF($A185="","",IFERROR(VLOOKUP($C185,'Config'!$D$2:$E$30,2,FALSE),0))</f>
      </c>
      <c r="M185" s="20"/>
      <c r="N185" s="22"/>
      <c r="O185" s="22"/>
      <c r="P185" s="17">
        <f>IF(OR($A185="",$D185&lt;&gt;"Activo"),"",SUMPRODUCT(($C$2:$C$201=$C185)*($D$2:$D$201="Activo")*(($S$2:$S$201&lt;$S185)+(($S$2:$S$201=$S185)*($B$2:$B$201&lt;$B185))))+1)</f>
      </c>
      <c r="Q185" s="19">
        <f>IF($P185="","",$C185&amp;"|"&amp;$P185)</f>
      </c>
      <c r="R185" s="20"/>
      <c r="S185" s="17">
        <f>IF($A185="","",IFERROR(VALUE(TRIM(LEFT($R185,FIND("x",LOWER($R185))-1)))*VALUE(TRIM(MID($R185,FIND("x",LOWER($R185))+1,20))),0))</f>
      </c>
      <c r="T185" s="17">
        <f>IF(OR($A185="",$D185&lt;&gt;"Activo"),"",SUMPRODUCT(($D$2:$D$201="Activo")*(($C$2:$C$201&lt;$C185)+(($C$2:$C$201=$C185)*($S$2:$S$201&lt;$S185))+(($C$2:$C$201=$C185)*($S$2:$S$201=$S185)*($B$2:$B$201&lt;$B185))))+1)</f>
      </c>
      <c r="U185" s="19">
        <f>IF($T185="","","TODAS|"&amp;$T185)</f>
      </c>
      <c r="V185" s="14">
        <f>IF($A185="","",IFERROR(IF(COUNTIF('Compras'!$B:$B,$A185)=0,"",MINIFS('Compras'!$A:$A,'Compras'!$B:$B,$A185)),""))</f>
      </c>
      <c r="W185" s="17">
        <f>IF(OR($A185="",$V185=""),"",TODAY()-$V185)</f>
      </c>
      <c r="X185" s="17">
        <f>IF($A185="","",SUMIF('Ventas'!$D:$D,$A185,'Ventas'!$F:$F))</f>
      </c>
      <c r="Y185" s="19">
        <f>IF($A185="","",IF(AND($X185&gt;=3,$W185&lt;&gt;"",$W185&lt;=15),"🔥 Se vende rápido — REABASTECE",IF($K185="Agotado","🔴 Agotado — reabastece",IF($K185="Stock bajo","🟠 Stock bajo","✅ Ok"))))</f>
      </c>
    </row>
    <row r="186">
      <c r="A186" s="20"/>
      <c r="B186" s="20"/>
      <c r="C186" s="20"/>
      <c r="D186" s="20"/>
      <c r="E186" s="21"/>
      <c r="F186" s="16">
        <f>IF($A186="","",IFERROR(SUMIF('Compras'!$B:$B,$A186,'Compras'!$F:$F)/SUMIF('Compras'!$B:$B,$A186,'Compras'!$D:$D),0))</f>
      </c>
      <c r="G186" s="17">
        <f>IF($A186="","",SUMIF('Compras'!$B:$B,$A186,'Compras'!$D:$D)+SUMIF('Traslados'!$H:$H,$A186&amp;"|Casa",'Traslados'!$D:$D)-SUMIF('Traslados'!$G:$G,$A186&amp;"|Casa",'Traslados'!$D:$D)-SUMIF('Ventas'!$M:$M,$A186&amp;"|Casa",'Ventas'!$F:$F)+SUMIF('Ajustes'!$H:$H,$A186&amp;"|Casa",'Ajustes'!$D:$D))</f>
      </c>
      <c r="H186" s="17">
        <f>IF($A186="","",SUMIF('Traslados'!$H:$H,$A186&amp;"|Mercado Libre",'Traslados'!$D:$D)-SUMIF('Traslados'!$G:$G,$A186&amp;"|Mercado Libre",'Traslados'!$D:$D)-SUMIF('Ventas'!$M:$M,$A186&amp;"|Mercado Libre",'Ventas'!$F:$F)+SUMIF('Ajustes'!$H:$H,$A186&amp;"|Mercado Libre",'Ajustes'!$D:$D))</f>
      </c>
      <c r="I186" s="17">
        <f>IF($A186="","",$G186+$H186)</f>
      </c>
      <c r="J186" s="16">
        <f>IF($A186="","",$I186*$F186)</f>
      </c>
      <c r="K186" s="19">
        <f>IF($A186="","",IF($I186&lt;=0,"Agotado",IF($I186&lt;=$E186,"Stock bajo","Disponible")))</f>
      </c>
      <c r="L186" s="17">
        <f>IF($A186="","",IFERROR(VLOOKUP($C186,'Config'!$D$2:$E$30,2,FALSE),0))</f>
      </c>
      <c r="M186" s="20"/>
      <c r="N186" s="22"/>
      <c r="O186" s="22"/>
      <c r="P186" s="17">
        <f>IF(OR($A186="",$D186&lt;&gt;"Activo"),"",SUMPRODUCT(($C$2:$C$201=$C186)*($D$2:$D$201="Activo")*(($S$2:$S$201&lt;$S186)+(($S$2:$S$201=$S186)*($B$2:$B$201&lt;$B186))))+1)</f>
      </c>
      <c r="Q186" s="19">
        <f>IF($P186="","",$C186&amp;"|"&amp;$P186)</f>
      </c>
      <c r="R186" s="20"/>
      <c r="S186" s="17">
        <f>IF($A186="","",IFERROR(VALUE(TRIM(LEFT($R186,FIND("x",LOWER($R186))-1)))*VALUE(TRIM(MID($R186,FIND("x",LOWER($R186))+1,20))),0))</f>
      </c>
      <c r="T186" s="17">
        <f>IF(OR($A186="",$D186&lt;&gt;"Activo"),"",SUMPRODUCT(($D$2:$D$201="Activo")*(($C$2:$C$201&lt;$C186)+(($C$2:$C$201=$C186)*($S$2:$S$201&lt;$S186))+(($C$2:$C$201=$C186)*($S$2:$S$201=$S186)*($B$2:$B$201&lt;$B186))))+1)</f>
      </c>
      <c r="U186" s="19">
        <f>IF($T186="","","TODAS|"&amp;$T186)</f>
      </c>
      <c r="V186" s="14">
        <f>IF($A186="","",IFERROR(IF(COUNTIF('Compras'!$B:$B,$A186)=0,"",MINIFS('Compras'!$A:$A,'Compras'!$B:$B,$A186)),""))</f>
      </c>
      <c r="W186" s="17">
        <f>IF(OR($A186="",$V186=""),"",TODAY()-$V186)</f>
      </c>
      <c r="X186" s="17">
        <f>IF($A186="","",SUMIF('Ventas'!$D:$D,$A186,'Ventas'!$F:$F))</f>
      </c>
      <c r="Y186" s="19">
        <f>IF($A186="","",IF(AND($X186&gt;=3,$W186&lt;&gt;"",$W186&lt;=15),"🔥 Se vende rápido — REABASTECE",IF($K186="Agotado","🔴 Agotado — reabastece",IF($K186="Stock bajo","🟠 Stock bajo","✅ Ok"))))</f>
      </c>
    </row>
    <row r="187">
      <c r="A187" s="20"/>
      <c r="B187" s="20"/>
      <c r="C187" s="20"/>
      <c r="D187" s="20"/>
      <c r="E187" s="21"/>
      <c r="F187" s="16">
        <f>IF($A187="","",IFERROR(SUMIF('Compras'!$B:$B,$A187,'Compras'!$F:$F)/SUMIF('Compras'!$B:$B,$A187,'Compras'!$D:$D),0))</f>
      </c>
      <c r="G187" s="17">
        <f>IF($A187="","",SUMIF('Compras'!$B:$B,$A187,'Compras'!$D:$D)+SUMIF('Traslados'!$H:$H,$A187&amp;"|Casa",'Traslados'!$D:$D)-SUMIF('Traslados'!$G:$G,$A187&amp;"|Casa",'Traslados'!$D:$D)-SUMIF('Ventas'!$M:$M,$A187&amp;"|Casa",'Ventas'!$F:$F)+SUMIF('Ajustes'!$H:$H,$A187&amp;"|Casa",'Ajustes'!$D:$D))</f>
      </c>
      <c r="H187" s="17">
        <f>IF($A187="","",SUMIF('Traslados'!$H:$H,$A187&amp;"|Mercado Libre",'Traslados'!$D:$D)-SUMIF('Traslados'!$G:$G,$A187&amp;"|Mercado Libre",'Traslados'!$D:$D)-SUMIF('Ventas'!$M:$M,$A187&amp;"|Mercado Libre",'Ventas'!$F:$F)+SUMIF('Ajustes'!$H:$H,$A187&amp;"|Mercado Libre",'Ajustes'!$D:$D))</f>
      </c>
      <c r="I187" s="17">
        <f>IF($A187="","",$G187+$H187)</f>
      </c>
      <c r="J187" s="16">
        <f>IF($A187="","",$I187*$F187)</f>
      </c>
      <c r="K187" s="19">
        <f>IF($A187="","",IF($I187&lt;=0,"Agotado",IF($I187&lt;=$E187,"Stock bajo","Disponible")))</f>
      </c>
      <c r="L187" s="17">
        <f>IF($A187="","",IFERROR(VLOOKUP($C187,'Config'!$D$2:$E$30,2,FALSE),0))</f>
      </c>
      <c r="M187" s="20"/>
      <c r="N187" s="22"/>
      <c r="O187" s="22"/>
      <c r="P187" s="17">
        <f>IF(OR($A187="",$D187&lt;&gt;"Activo"),"",SUMPRODUCT(($C$2:$C$201=$C187)*($D$2:$D$201="Activo")*(($S$2:$S$201&lt;$S187)+(($S$2:$S$201=$S187)*($B$2:$B$201&lt;$B187))))+1)</f>
      </c>
      <c r="Q187" s="19">
        <f>IF($P187="","",$C187&amp;"|"&amp;$P187)</f>
      </c>
      <c r="R187" s="20"/>
      <c r="S187" s="17">
        <f>IF($A187="","",IFERROR(VALUE(TRIM(LEFT($R187,FIND("x",LOWER($R187))-1)))*VALUE(TRIM(MID($R187,FIND("x",LOWER($R187))+1,20))),0))</f>
      </c>
      <c r="T187" s="17">
        <f>IF(OR($A187="",$D187&lt;&gt;"Activo"),"",SUMPRODUCT(($D$2:$D$201="Activo")*(($C$2:$C$201&lt;$C187)+(($C$2:$C$201=$C187)*($S$2:$S$201&lt;$S187))+(($C$2:$C$201=$C187)*($S$2:$S$201=$S187)*($B$2:$B$201&lt;$B187))))+1)</f>
      </c>
      <c r="U187" s="19">
        <f>IF($T187="","","TODAS|"&amp;$T187)</f>
      </c>
      <c r="V187" s="14">
        <f>IF($A187="","",IFERROR(IF(COUNTIF('Compras'!$B:$B,$A187)=0,"",MINIFS('Compras'!$A:$A,'Compras'!$B:$B,$A187)),""))</f>
      </c>
      <c r="W187" s="17">
        <f>IF(OR($A187="",$V187=""),"",TODAY()-$V187)</f>
      </c>
      <c r="X187" s="17">
        <f>IF($A187="","",SUMIF('Ventas'!$D:$D,$A187,'Ventas'!$F:$F))</f>
      </c>
      <c r="Y187" s="19">
        <f>IF($A187="","",IF(AND($X187&gt;=3,$W187&lt;&gt;"",$W187&lt;=15),"🔥 Se vende rápido — REABASTECE",IF($K187="Agotado","🔴 Agotado — reabastece",IF($K187="Stock bajo","🟠 Stock bajo","✅ Ok"))))</f>
      </c>
    </row>
    <row r="188">
      <c r="A188" s="20"/>
      <c r="B188" s="20"/>
      <c r="C188" s="20"/>
      <c r="D188" s="20"/>
      <c r="E188" s="21"/>
      <c r="F188" s="16">
        <f>IF($A188="","",IFERROR(SUMIF('Compras'!$B:$B,$A188,'Compras'!$F:$F)/SUMIF('Compras'!$B:$B,$A188,'Compras'!$D:$D),0))</f>
      </c>
      <c r="G188" s="17">
        <f>IF($A188="","",SUMIF('Compras'!$B:$B,$A188,'Compras'!$D:$D)+SUMIF('Traslados'!$H:$H,$A188&amp;"|Casa",'Traslados'!$D:$D)-SUMIF('Traslados'!$G:$G,$A188&amp;"|Casa",'Traslados'!$D:$D)-SUMIF('Ventas'!$M:$M,$A188&amp;"|Casa",'Ventas'!$F:$F)+SUMIF('Ajustes'!$H:$H,$A188&amp;"|Casa",'Ajustes'!$D:$D))</f>
      </c>
      <c r="H188" s="17">
        <f>IF($A188="","",SUMIF('Traslados'!$H:$H,$A188&amp;"|Mercado Libre",'Traslados'!$D:$D)-SUMIF('Traslados'!$G:$G,$A188&amp;"|Mercado Libre",'Traslados'!$D:$D)-SUMIF('Ventas'!$M:$M,$A188&amp;"|Mercado Libre",'Ventas'!$F:$F)+SUMIF('Ajustes'!$H:$H,$A188&amp;"|Mercado Libre",'Ajustes'!$D:$D))</f>
      </c>
      <c r="I188" s="17">
        <f>IF($A188="","",$G188+$H188)</f>
      </c>
      <c r="J188" s="16">
        <f>IF($A188="","",$I188*$F188)</f>
      </c>
      <c r="K188" s="19">
        <f>IF($A188="","",IF($I188&lt;=0,"Agotado",IF($I188&lt;=$E188,"Stock bajo","Disponible")))</f>
      </c>
      <c r="L188" s="17">
        <f>IF($A188="","",IFERROR(VLOOKUP($C188,'Config'!$D$2:$E$30,2,FALSE),0))</f>
      </c>
      <c r="M188" s="20"/>
      <c r="N188" s="22"/>
      <c r="O188" s="22"/>
      <c r="P188" s="17">
        <f>IF(OR($A188="",$D188&lt;&gt;"Activo"),"",SUMPRODUCT(($C$2:$C$201=$C188)*($D$2:$D$201="Activo")*(($S$2:$S$201&lt;$S188)+(($S$2:$S$201=$S188)*($B$2:$B$201&lt;$B188))))+1)</f>
      </c>
      <c r="Q188" s="19">
        <f>IF($P188="","",$C188&amp;"|"&amp;$P188)</f>
      </c>
      <c r="R188" s="20"/>
      <c r="S188" s="17">
        <f>IF($A188="","",IFERROR(VALUE(TRIM(LEFT($R188,FIND("x",LOWER($R188))-1)))*VALUE(TRIM(MID($R188,FIND("x",LOWER($R188))+1,20))),0))</f>
      </c>
      <c r="T188" s="17">
        <f>IF(OR($A188="",$D188&lt;&gt;"Activo"),"",SUMPRODUCT(($D$2:$D$201="Activo")*(($C$2:$C$201&lt;$C188)+(($C$2:$C$201=$C188)*($S$2:$S$201&lt;$S188))+(($C$2:$C$201=$C188)*($S$2:$S$201=$S188)*($B$2:$B$201&lt;$B188))))+1)</f>
      </c>
      <c r="U188" s="19">
        <f>IF($T188="","","TODAS|"&amp;$T188)</f>
      </c>
      <c r="V188" s="14">
        <f>IF($A188="","",IFERROR(IF(COUNTIF('Compras'!$B:$B,$A188)=0,"",MINIFS('Compras'!$A:$A,'Compras'!$B:$B,$A188)),""))</f>
      </c>
      <c r="W188" s="17">
        <f>IF(OR($A188="",$V188=""),"",TODAY()-$V188)</f>
      </c>
      <c r="X188" s="17">
        <f>IF($A188="","",SUMIF('Ventas'!$D:$D,$A188,'Ventas'!$F:$F))</f>
      </c>
      <c r="Y188" s="19">
        <f>IF($A188="","",IF(AND($X188&gt;=3,$W188&lt;&gt;"",$W188&lt;=15),"🔥 Se vende rápido — REABASTECE",IF($K188="Agotado","🔴 Agotado — reabastece",IF($K188="Stock bajo","🟠 Stock bajo","✅ Ok"))))</f>
      </c>
    </row>
    <row r="189">
      <c r="A189" s="20"/>
      <c r="B189" s="20"/>
      <c r="C189" s="20"/>
      <c r="D189" s="20"/>
      <c r="E189" s="21"/>
      <c r="F189" s="16">
        <f>IF($A189="","",IFERROR(SUMIF('Compras'!$B:$B,$A189,'Compras'!$F:$F)/SUMIF('Compras'!$B:$B,$A189,'Compras'!$D:$D),0))</f>
      </c>
      <c r="G189" s="17">
        <f>IF($A189="","",SUMIF('Compras'!$B:$B,$A189,'Compras'!$D:$D)+SUMIF('Traslados'!$H:$H,$A189&amp;"|Casa",'Traslados'!$D:$D)-SUMIF('Traslados'!$G:$G,$A189&amp;"|Casa",'Traslados'!$D:$D)-SUMIF('Ventas'!$M:$M,$A189&amp;"|Casa",'Ventas'!$F:$F)+SUMIF('Ajustes'!$H:$H,$A189&amp;"|Casa",'Ajustes'!$D:$D))</f>
      </c>
      <c r="H189" s="17">
        <f>IF($A189="","",SUMIF('Traslados'!$H:$H,$A189&amp;"|Mercado Libre",'Traslados'!$D:$D)-SUMIF('Traslados'!$G:$G,$A189&amp;"|Mercado Libre",'Traslados'!$D:$D)-SUMIF('Ventas'!$M:$M,$A189&amp;"|Mercado Libre",'Ventas'!$F:$F)+SUMIF('Ajustes'!$H:$H,$A189&amp;"|Mercado Libre",'Ajustes'!$D:$D))</f>
      </c>
      <c r="I189" s="17">
        <f>IF($A189="","",$G189+$H189)</f>
      </c>
      <c r="J189" s="16">
        <f>IF($A189="","",$I189*$F189)</f>
      </c>
      <c r="K189" s="19">
        <f>IF($A189="","",IF($I189&lt;=0,"Agotado",IF($I189&lt;=$E189,"Stock bajo","Disponible")))</f>
      </c>
      <c r="L189" s="17">
        <f>IF($A189="","",IFERROR(VLOOKUP($C189,'Config'!$D$2:$E$30,2,FALSE),0))</f>
      </c>
      <c r="M189" s="20"/>
      <c r="N189" s="22"/>
      <c r="O189" s="22"/>
      <c r="P189" s="17">
        <f>IF(OR($A189="",$D189&lt;&gt;"Activo"),"",SUMPRODUCT(($C$2:$C$201=$C189)*($D$2:$D$201="Activo")*(($S$2:$S$201&lt;$S189)+(($S$2:$S$201=$S189)*($B$2:$B$201&lt;$B189))))+1)</f>
      </c>
      <c r="Q189" s="19">
        <f>IF($P189="","",$C189&amp;"|"&amp;$P189)</f>
      </c>
      <c r="R189" s="20"/>
      <c r="S189" s="17">
        <f>IF($A189="","",IFERROR(VALUE(TRIM(LEFT($R189,FIND("x",LOWER($R189))-1)))*VALUE(TRIM(MID($R189,FIND("x",LOWER($R189))+1,20))),0))</f>
      </c>
      <c r="T189" s="17">
        <f>IF(OR($A189="",$D189&lt;&gt;"Activo"),"",SUMPRODUCT(($D$2:$D$201="Activo")*(($C$2:$C$201&lt;$C189)+(($C$2:$C$201=$C189)*($S$2:$S$201&lt;$S189))+(($C$2:$C$201=$C189)*($S$2:$S$201=$S189)*($B$2:$B$201&lt;$B189))))+1)</f>
      </c>
      <c r="U189" s="19">
        <f>IF($T189="","","TODAS|"&amp;$T189)</f>
      </c>
      <c r="V189" s="14">
        <f>IF($A189="","",IFERROR(IF(COUNTIF('Compras'!$B:$B,$A189)=0,"",MINIFS('Compras'!$A:$A,'Compras'!$B:$B,$A189)),""))</f>
      </c>
      <c r="W189" s="17">
        <f>IF(OR($A189="",$V189=""),"",TODAY()-$V189)</f>
      </c>
      <c r="X189" s="17">
        <f>IF($A189="","",SUMIF('Ventas'!$D:$D,$A189,'Ventas'!$F:$F))</f>
      </c>
      <c r="Y189" s="19">
        <f>IF($A189="","",IF(AND($X189&gt;=3,$W189&lt;&gt;"",$W189&lt;=15),"🔥 Se vende rápido — REABASTECE",IF($K189="Agotado","🔴 Agotado — reabastece",IF($K189="Stock bajo","🟠 Stock bajo","✅ Ok"))))</f>
      </c>
    </row>
    <row r="190">
      <c r="A190" s="20"/>
      <c r="B190" s="20"/>
      <c r="C190" s="20"/>
      <c r="D190" s="20"/>
      <c r="E190" s="21"/>
      <c r="F190" s="16">
        <f>IF($A190="","",IFERROR(SUMIF('Compras'!$B:$B,$A190,'Compras'!$F:$F)/SUMIF('Compras'!$B:$B,$A190,'Compras'!$D:$D),0))</f>
      </c>
      <c r="G190" s="17">
        <f>IF($A190="","",SUMIF('Compras'!$B:$B,$A190,'Compras'!$D:$D)+SUMIF('Traslados'!$H:$H,$A190&amp;"|Casa",'Traslados'!$D:$D)-SUMIF('Traslados'!$G:$G,$A190&amp;"|Casa",'Traslados'!$D:$D)-SUMIF('Ventas'!$M:$M,$A190&amp;"|Casa",'Ventas'!$F:$F)+SUMIF('Ajustes'!$H:$H,$A190&amp;"|Casa",'Ajustes'!$D:$D))</f>
      </c>
      <c r="H190" s="17">
        <f>IF($A190="","",SUMIF('Traslados'!$H:$H,$A190&amp;"|Mercado Libre",'Traslados'!$D:$D)-SUMIF('Traslados'!$G:$G,$A190&amp;"|Mercado Libre",'Traslados'!$D:$D)-SUMIF('Ventas'!$M:$M,$A190&amp;"|Mercado Libre",'Ventas'!$F:$F)+SUMIF('Ajustes'!$H:$H,$A190&amp;"|Mercado Libre",'Ajustes'!$D:$D))</f>
      </c>
      <c r="I190" s="17">
        <f>IF($A190="","",$G190+$H190)</f>
      </c>
      <c r="J190" s="16">
        <f>IF($A190="","",$I190*$F190)</f>
      </c>
      <c r="K190" s="19">
        <f>IF($A190="","",IF($I190&lt;=0,"Agotado",IF($I190&lt;=$E190,"Stock bajo","Disponible")))</f>
      </c>
      <c r="L190" s="17">
        <f>IF($A190="","",IFERROR(VLOOKUP($C190,'Config'!$D$2:$E$30,2,FALSE),0))</f>
      </c>
      <c r="M190" s="20"/>
      <c r="N190" s="22"/>
      <c r="O190" s="22"/>
      <c r="P190" s="17">
        <f>IF(OR($A190="",$D190&lt;&gt;"Activo"),"",SUMPRODUCT(($C$2:$C$201=$C190)*($D$2:$D$201="Activo")*(($S$2:$S$201&lt;$S190)+(($S$2:$S$201=$S190)*($B$2:$B$201&lt;$B190))))+1)</f>
      </c>
      <c r="Q190" s="19">
        <f>IF($P190="","",$C190&amp;"|"&amp;$P190)</f>
      </c>
      <c r="R190" s="20"/>
      <c r="S190" s="17">
        <f>IF($A190="","",IFERROR(VALUE(TRIM(LEFT($R190,FIND("x",LOWER($R190))-1)))*VALUE(TRIM(MID($R190,FIND("x",LOWER($R190))+1,20))),0))</f>
      </c>
      <c r="T190" s="17">
        <f>IF(OR($A190="",$D190&lt;&gt;"Activo"),"",SUMPRODUCT(($D$2:$D$201="Activo")*(($C$2:$C$201&lt;$C190)+(($C$2:$C$201=$C190)*($S$2:$S$201&lt;$S190))+(($C$2:$C$201=$C190)*($S$2:$S$201=$S190)*($B$2:$B$201&lt;$B190))))+1)</f>
      </c>
      <c r="U190" s="19">
        <f>IF($T190="","","TODAS|"&amp;$T190)</f>
      </c>
      <c r="V190" s="14">
        <f>IF($A190="","",IFERROR(IF(COUNTIF('Compras'!$B:$B,$A190)=0,"",MINIFS('Compras'!$A:$A,'Compras'!$B:$B,$A190)),""))</f>
      </c>
      <c r="W190" s="17">
        <f>IF(OR($A190="",$V190=""),"",TODAY()-$V190)</f>
      </c>
      <c r="X190" s="17">
        <f>IF($A190="","",SUMIF('Ventas'!$D:$D,$A190,'Ventas'!$F:$F))</f>
      </c>
      <c r="Y190" s="19">
        <f>IF($A190="","",IF(AND($X190&gt;=3,$W190&lt;&gt;"",$W190&lt;=15),"🔥 Se vende rápido — REABASTECE",IF($K190="Agotado","🔴 Agotado — reabastece",IF($K190="Stock bajo","🟠 Stock bajo","✅ Ok"))))</f>
      </c>
    </row>
    <row r="191">
      <c r="A191" s="20"/>
      <c r="B191" s="20"/>
      <c r="C191" s="20"/>
      <c r="D191" s="20"/>
      <c r="E191" s="21"/>
      <c r="F191" s="16">
        <f>IF($A191="","",IFERROR(SUMIF('Compras'!$B:$B,$A191,'Compras'!$F:$F)/SUMIF('Compras'!$B:$B,$A191,'Compras'!$D:$D),0))</f>
      </c>
      <c r="G191" s="17">
        <f>IF($A191="","",SUMIF('Compras'!$B:$B,$A191,'Compras'!$D:$D)+SUMIF('Traslados'!$H:$H,$A191&amp;"|Casa",'Traslados'!$D:$D)-SUMIF('Traslados'!$G:$G,$A191&amp;"|Casa",'Traslados'!$D:$D)-SUMIF('Ventas'!$M:$M,$A191&amp;"|Casa",'Ventas'!$F:$F)+SUMIF('Ajustes'!$H:$H,$A191&amp;"|Casa",'Ajustes'!$D:$D))</f>
      </c>
      <c r="H191" s="17">
        <f>IF($A191="","",SUMIF('Traslados'!$H:$H,$A191&amp;"|Mercado Libre",'Traslados'!$D:$D)-SUMIF('Traslados'!$G:$G,$A191&amp;"|Mercado Libre",'Traslados'!$D:$D)-SUMIF('Ventas'!$M:$M,$A191&amp;"|Mercado Libre",'Ventas'!$F:$F)+SUMIF('Ajustes'!$H:$H,$A191&amp;"|Mercado Libre",'Ajustes'!$D:$D))</f>
      </c>
      <c r="I191" s="17">
        <f>IF($A191="","",$G191+$H191)</f>
      </c>
      <c r="J191" s="16">
        <f>IF($A191="","",$I191*$F191)</f>
      </c>
      <c r="K191" s="19">
        <f>IF($A191="","",IF($I191&lt;=0,"Agotado",IF($I191&lt;=$E191,"Stock bajo","Disponible")))</f>
      </c>
      <c r="L191" s="17">
        <f>IF($A191="","",IFERROR(VLOOKUP($C191,'Config'!$D$2:$E$30,2,FALSE),0))</f>
      </c>
      <c r="M191" s="20"/>
      <c r="N191" s="22"/>
      <c r="O191" s="22"/>
      <c r="P191" s="17">
        <f>IF(OR($A191="",$D191&lt;&gt;"Activo"),"",SUMPRODUCT(($C$2:$C$201=$C191)*($D$2:$D$201="Activo")*(($S$2:$S$201&lt;$S191)+(($S$2:$S$201=$S191)*($B$2:$B$201&lt;$B191))))+1)</f>
      </c>
      <c r="Q191" s="19">
        <f>IF($P191="","",$C191&amp;"|"&amp;$P191)</f>
      </c>
      <c r="R191" s="20"/>
      <c r="S191" s="17">
        <f>IF($A191="","",IFERROR(VALUE(TRIM(LEFT($R191,FIND("x",LOWER($R191))-1)))*VALUE(TRIM(MID($R191,FIND("x",LOWER($R191))+1,20))),0))</f>
      </c>
      <c r="T191" s="17">
        <f>IF(OR($A191="",$D191&lt;&gt;"Activo"),"",SUMPRODUCT(($D$2:$D$201="Activo")*(($C$2:$C$201&lt;$C191)+(($C$2:$C$201=$C191)*($S$2:$S$201&lt;$S191))+(($C$2:$C$201=$C191)*($S$2:$S$201=$S191)*($B$2:$B$201&lt;$B191))))+1)</f>
      </c>
      <c r="U191" s="19">
        <f>IF($T191="","","TODAS|"&amp;$T191)</f>
      </c>
      <c r="V191" s="14">
        <f>IF($A191="","",IFERROR(IF(COUNTIF('Compras'!$B:$B,$A191)=0,"",MINIFS('Compras'!$A:$A,'Compras'!$B:$B,$A191)),""))</f>
      </c>
      <c r="W191" s="17">
        <f>IF(OR($A191="",$V191=""),"",TODAY()-$V191)</f>
      </c>
      <c r="X191" s="17">
        <f>IF($A191="","",SUMIF('Ventas'!$D:$D,$A191,'Ventas'!$F:$F))</f>
      </c>
      <c r="Y191" s="19">
        <f>IF($A191="","",IF(AND($X191&gt;=3,$W191&lt;&gt;"",$W191&lt;=15),"🔥 Se vende rápido — REABASTECE",IF($K191="Agotado","🔴 Agotado — reabastece",IF($K191="Stock bajo","🟠 Stock bajo","✅ Ok"))))</f>
      </c>
    </row>
    <row r="192">
      <c r="A192" s="20"/>
      <c r="B192" s="20"/>
      <c r="C192" s="20"/>
      <c r="D192" s="20"/>
      <c r="E192" s="21"/>
      <c r="F192" s="16">
        <f>IF($A192="","",IFERROR(SUMIF('Compras'!$B:$B,$A192,'Compras'!$F:$F)/SUMIF('Compras'!$B:$B,$A192,'Compras'!$D:$D),0))</f>
      </c>
      <c r="G192" s="17">
        <f>IF($A192="","",SUMIF('Compras'!$B:$B,$A192,'Compras'!$D:$D)+SUMIF('Traslados'!$H:$H,$A192&amp;"|Casa",'Traslados'!$D:$D)-SUMIF('Traslados'!$G:$G,$A192&amp;"|Casa",'Traslados'!$D:$D)-SUMIF('Ventas'!$M:$M,$A192&amp;"|Casa",'Ventas'!$F:$F)+SUMIF('Ajustes'!$H:$H,$A192&amp;"|Casa",'Ajustes'!$D:$D))</f>
      </c>
      <c r="H192" s="17">
        <f>IF($A192="","",SUMIF('Traslados'!$H:$H,$A192&amp;"|Mercado Libre",'Traslados'!$D:$D)-SUMIF('Traslados'!$G:$G,$A192&amp;"|Mercado Libre",'Traslados'!$D:$D)-SUMIF('Ventas'!$M:$M,$A192&amp;"|Mercado Libre",'Ventas'!$F:$F)+SUMIF('Ajustes'!$H:$H,$A192&amp;"|Mercado Libre",'Ajustes'!$D:$D))</f>
      </c>
      <c r="I192" s="17">
        <f>IF($A192="","",$G192+$H192)</f>
      </c>
      <c r="J192" s="16">
        <f>IF($A192="","",$I192*$F192)</f>
      </c>
      <c r="K192" s="19">
        <f>IF($A192="","",IF($I192&lt;=0,"Agotado",IF($I192&lt;=$E192,"Stock bajo","Disponible")))</f>
      </c>
      <c r="L192" s="17">
        <f>IF($A192="","",IFERROR(VLOOKUP($C192,'Config'!$D$2:$E$30,2,FALSE),0))</f>
      </c>
      <c r="M192" s="20"/>
      <c r="N192" s="22"/>
      <c r="O192" s="22"/>
      <c r="P192" s="17">
        <f>IF(OR($A192="",$D192&lt;&gt;"Activo"),"",SUMPRODUCT(($C$2:$C$201=$C192)*($D$2:$D$201="Activo")*(($S$2:$S$201&lt;$S192)+(($S$2:$S$201=$S192)*($B$2:$B$201&lt;$B192))))+1)</f>
      </c>
      <c r="Q192" s="19">
        <f>IF($P192="","",$C192&amp;"|"&amp;$P192)</f>
      </c>
      <c r="R192" s="20"/>
      <c r="S192" s="17">
        <f>IF($A192="","",IFERROR(VALUE(TRIM(LEFT($R192,FIND("x",LOWER($R192))-1)))*VALUE(TRIM(MID($R192,FIND("x",LOWER($R192))+1,20))),0))</f>
      </c>
      <c r="T192" s="17">
        <f>IF(OR($A192="",$D192&lt;&gt;"Activo"),"",SUMPRODUCT(($D$2:$D$201="Activo")*(($C$2:$C$201&lt;$C192)+(($C$2:$C$201=$C192)*($S$2:$S$201&lt;$S192))+(($C$2:$C$201=$C192)*($S$2:$S$201=$S192)*($B$2:$B$201&lt;$B192))))+1)</f>
      </c>
      <c r="U192" s="19">
        <f>IF($T192="","","TODAS|"&amp;$T192)</f>
      </c>
      <c r="V192" s="14">
        <f>IF($A192="","",IFERROR(IF(COUNTIF('Compras'!$B:$B,$A192)=0,"",MINIFS('Compras'!$A:$A,'Compras'!$B:$B,$A192)),""))</f>
      </c>
      <c r="W192" s="17">
        <f>IF(OR($A192="",$V192=""),"",TODAY()-$V192)</f>
      </c>
      <c r="X192" s="17">
        <f>IF($A192="","",SUMIF('Ventas'!$D:$D,$A192,'Ventas'!$F:$F))</f>
      </c>
      <c r="Y192" s="19">
        <f>IF($A192="","",IF(AND($X192&gt;=3,$W192&lt;&gt;"",$W192&lt;=15),"🔥 Se vende rápido — REABASTECE",IF($K192="Agotado","🔴 Agotado — reabastece",IF($K192="Stock bajo","🟠 Stock bajo","✅ Ok"))))</f>
      </c>
    </row>
    <row r="193">
      <c r="A193" s="20"/>
      <c r="B193" s="20"/>
      <c r="C193" s="20"/>
      <c r="D193" s="20"/>
      <c r="E193" s="21"/>
      <c r="F193" s="16">
        <f>IF($A193="","",IFERROR(SUMIF('Compras'!$B:$B,$A193,'Compras'!$F:$F)/SUMIF('Compras'!$B:$B,$A193,'Compras'!$D:$D),0))</f>
      </c>
      <c r="G193" s="17">
        <f>IF($A193="","",SUMIF('Compras'!$B:$B,$A193,'Compras'!$D:$D)+SUMIF('Traslados'!$H:$H,$A193&amp;"|Casa",'Traslados'!$D:$D)-SUMIF('Traslados'!$G:$G,$A193&amp;"|Casa",'Traslados'!$D:$D)-SUMIF('Ventas'!$M:$M,$A193&amp;"|Casa",'Ventas'!$F:$F)+SUMIF('Ajustes'!$H:$H,$A193&amp;"|Casa",'Ajustes'!$D:$D))</f>
      </c>
      <c r="H193" s="17">
        <f>IF($A193="","",SUMIF('Traslados'!$H:$H,$A193&amp;"|Mercado Libre",'Traslados'!$D:$D)-SUMIF('Traslados'!$G:$G,$A193&amp;"|Mercado Libre",'Traslados'!$D:$D)-SUMIF('Ventas'!$M:$M,$A193&amp;"|Mercado Libre",'Ventas'!$F:$F)+SUMIF('Ajustes'!$H:$H,$A193&amp;"|Mercado Libre",'Ajustes'!$D:$D))</f>
      </c>
      <c r="I193" s="17">
        <f>IF($A193="","",$G193+$H193)</f>
      </c>
      <c r="J193" s="16">
        <f>IF($A193="","",$I193*$F193)</f>
      </c>
      <c r="K193" s="19">
        <f>IF($A193="","",IF($I193&lt;=0,"Agotado",IF($I193&lt;=$E193,"Stock bajo","Disponible")))</f>
      </c>
      <c r="L193" s="17">
        <f>IF($A193="","",IFERROR(VLOOKUP($C193,'Config'!$D$2:$E$30,2,FALSE),0))</f>
      </c>
      <c r="M193" s="20"/>
      <c r="N193" s="22"/>
      <c r="O193" s="22"/>
      <c r="P193" s="17">
        <f>IF(OR($A193="",$D193&lt;&gt;"Activo"),"",SUMPRODUCT(($C$2:$C$201=$C193)*($D$2:$D$201="Activo")*(($S$2:$S$201&lt;$S193)+(($S$2:$S$201=$S193)*($B$2:$B$201&lt;$B193))))+1)</f>
      </c>
      <c r="Q193" s="19">
        <f>IF($P193="","",$C193&amp;"|"&amp;$P193)</f>
      </c>
      <c r="R193" s="20"/>
      <c r="S193" s="17">
        <f>IF($A193="","",IFERROR(VALUE(TRIM(LEFT($R193,FIND("x",LOWER($R193))-1)))*VALUE(TRIM(MID($R193,FIND("x",LOWER($R193))+1,20))),0))</f>
      </c>
      <c r="T193" s="17">
        <f>IF(OR($A193="",$D193&lt;&gt;"Activo"),"",SUMPRODUCT(($D$2:$D$201="Activo")*(($C$2:$C$201&lt;$C193)+(($C$2:$C$201=$C193)*($S$2:$S$201&lt;$S193))+(($C$2:$C$201=$C193)*($S$2:$S$201=$S193)*($B$2:$B$201&lt;$B193))))+1)</f>
      </c>
      <c r="U193" s="19">
        <f>IF($T193="","","TODAS|"&amp;$T193)</f>
      </c>
      <c r="V193" s="14">
        <f>IF($A193="","",IFERROR(IF(COUNTIF('Compras'!$B:$B,$A193)=0,"",MINIFS('Compras'!$A:$A,'Compras'!$B:$B,$A193)),""))</f>
      </c>
      <c r="W193" s="17">
        <f>IF(OR($A193="",$V193=""),"",TODAY()-$V193)</f>
      </c>
      <c r="X193" s="17">
        <f>IF($A193="","",SUMIF('Ventas'!$D:$D,$A193,'Ventas'!$F:$F))</f>
      </c>
      <c r="Y193" s="19">
        <f>IF($A193="","",IF(AND($X193&gt;=3,$W193&lt;&gt;"",$W193&lt;=15),"🔥 Se vende rápido — REABASTECE",IF($K193="Agotado","🔴 Agotado — reabastece",IF($K193="Stock bajo","🟠 Stock bajo","✅ Ok"))))</f>
      </c>
    </row>
    <row r="194">
      <c r="A194" s="20"/>
      <c r="B194" s="20"/>
      <c r="C194" s="20"/>
      <c r="D194" s="20"/>
      <c r="E194" s="21"/>
      <c r="F194" s="16">
        <f>IF($A194="","",IFERROR(SUMIF('Compras'!$B:$B,$A194,'Compras'!$F:$F)/SUMIF('Compras'!$B:$B,$A194,'Compras'!$D:$D),0))</f>
      </c>
      <c r="G194" s="17">
        <f>IF($A194="","",SUMIF('Compras'!$B:$B,$A194,'Compras'!$D:$D)+SUMIF('Traslados'!$H:$H,$A194&amp;"|Casa",'Traslados'!$D:$D)-SUMIF('Traslados'!$G:$G,$A194&amp;"|Casa",'Traslados'!$D:$D)-SUMIF('Ventas'!$M:$M,$A194&amp;"|Casa",'Ventas'!$F:$F)+SUMIF('Ajustes'!$H:$H,$A194&amp;"|Casa",'Ajustes'!$D:$D))</f>
      </c>
      <c r="H194" s="17">
        <f>IF($A194="","",SUMIF('Traslados'!$H:$H,$A194&amp;"|Mercado Libre",'Traslados'!$D:$D)-SUMIF('Traslados'!$G:$G,$A194&amp;"|Mercado Libre",'Traslados'!$D:$D)-SUMIF('Ventas'!$M:$M,$A194&amp;"|Mercado Libre",'Ventas'!$F:$F)+SUMIF('Ajustes'!$H:$H,$A194&amp;"|Mercado Libre",'Ajustes'!$D:$D))</f>
      </c>
      <c r="I194" s="17">
        <f>IF($A194="","",$G194+$H194)</f>
      </c>
      <c r="J194" s="16">
        <f>IF($A194="","",$I194*$F194)</f>
      </c>
      <c r="K194" s="19">
        <f>IF($A194="","",IF($I194&lt;=0,"Agotado",IF($I194&lt;=$E194,"Stock bajo","Disponible")))</f>
      </c>
      <c r="L194" s="17">
        <f>IF($A194="","",IFERROR(VLOOKUP($C194,'Config'!$D$2:$E$30,2,FALSE),0))</f>
      </c>
      <c r="M194" s="20"/>
      <c r="N194" s="22"/>
      <c r="O194" s="22"/>
      <c r="P194" s="17">
        <f>IF(OR($A194="",$D194&lt;&gt;"Activo"),"",SUMPRODUCT(($C$2:$C$201=$C194)*($D$2:$D$201="Activo")*(($S$2:$S$201&lt;$S194)+(($S$2:$S$201=$S194)*($B$2:$B$201&lt;$B194))))+1)</f>
      </c>
      <c r="Q194" s="19">
        <f>IF($P194="","",$C194&amp;"|"&amp;$P194)</f>
      </c>
      <c r="R194" s="20"/>
      <c r="S194" s="17">
        <f>IF($A194="","",IFERROR(VALUE(TRIM(LEFT($R194,FIND("x",LOWER($R194))-1)))*VALUE(TRIM(MID($R194,FIND("x",LOWER($R194))+1,20))),0))</f>
      </c>
      <c r="T194" s="17">
        <f>IF(OR($A194="",$D194&lt;&gt;"Activo"),"",SUMPRODUCT(($D$2:$D$201="Activo")*(($C$2:$C$201&lt;$C194)+(($C$2:$C$201=$C194)*($S$2:$S$201&lt;$S194))+(($C$2:$C$201=$C194)*($S$2:$S$201=$S194)*($B$2:$B$201&lt;$B194))))+1)</f>
      </c>
      <c r="U194" s="19">
        <f>IF($T194="","","TODAS|"&amp;$T194)</f>
      </c>
      <c r="V194" s="14">
        <f>IF($A194="","",IFERROR(IF(COUNTIF('Compras'!$B:$B,$A194)=0,"",MINIFS('Compras'!$A:$A,'Compras'!$B:$B,$A194)),""))</f>
      </c>
      <c r="W194" s="17">
        <f>IF(OR($A194="",$V194=""),"",TODAY()-$V194)</f>
      </c>
      <c r="X194" s="17">
        <f>IF($A194="","",SUMIF('Ventas'!$D:$D,$A194,'Ventas'!$F:$F))</f>
      </c>
      <c r="Y194" s="19">
        <f>IF($A194="","",IF(AND($X194&gt;=3,$W194&lt;&gt;"",$W194&lt;=15),"🔥 Se vende rápido — REABASTECE",IF($K194="Agotado","🔴 Agotado — reabastece",IF($K194="Stock bajo","🟠 Stock bajo","✅ Ok"))))</f>
      </c>
    </row>
    <row r="195">
      <c r="A195" s="20"/>
      <c r="B195" s="20"/>
      <c r="C195" s="20"/>
      <c r="D195" s="20"/>
      <c r="E195" s="21"/>
      <c r="F195" s="16">
        <f>IF($A195="","",IFERROR(SUMIF('Compras'!$B:$B,$A195,'Compras'!$F:$F)/SUMIF('Compras'!$B:$B,$A195,'Compras'!$D:$D),0))</f>
      </c>
      <c r="G195" s="17">
        <f>IF($A195="","",SUMIF('Compras'!$B:$B,$A195,'Compras'!$D:$D)+SUMIF('Traslados'!$H:$H,$A195&amp;"|Casa",'Traslados'!$D:$D)-SUMIF('Traslados'!$G:$G,$A195&amp;"|Casa",'Traslados'!$D:$D)-SUMIF('Ventas'!$M:$M,$A195&amp;"|Casa",'Ventas'!$F:$F)+SUMIF('Ajustes'!$H:$H,$A195&amp;"|Casa",'Ajustes'!$D:$D))</f>
      </c>
      <c r="H195" s="17">
        <f>IF($A195="","",SUMIF('Traslados'!$H:$H,$A195&amp;"|Mercado Libre",'Traslados'!$D:$D)-SUMIF('Traslados'!$G:$G,$A195&amp;"|Mercado Libre",'Traslados'!$D:$D)-SUMIF('Ventas'!$M:$M,$A195&amp;"|Mercado Libre",'Ventas'!$F:$F)+SUMIF('Ajustes'!$H:$H,$A195&amp;"|Mercado Libre",'Ajustes'!$D:$D))</f>
      </c>
      <c r="I195" s="17">
        <f>IF($A195="","",$G195+$H195)</f>
      </c>
      <c r="J195" s="16">
        <f>IF($A195="","",$I195*$F195)</f>
      </c>
      <c r="K195" s="19">
        <f>IF($A195="","",IF($I195&lt;=0,"Agotado",IF($I195&lt;=$E195,"Stock bajo","Disponible")))</f>
      </c>
      <c r="L195" s="17">
        <f>IF($A195="","",IFERROR(VLOOKUP($C195,'Config'!$D$2:$E$30,2,FALSE),0))</f>
      </c>
      <c r="M195" s="20"/>
      <c r="N195" s="22"/>
      <c r="O195" s="22"/>
      <c r="P195" s="17">
        <f>IF(OR($A195="",$D195&lt;&gt;"Activo"),"",SUMPRODUCT(($C$2:$C$201=$C195)*($D$2:$D$201="Activo")*(($S$2:$S$201&lt;$S195)+(($S$2:$S$201=$S195)*($B$2:$B$201&lt;$B195))))+1)</f>
      </c>
      <c r="Q195" s="19">
        <f>IF($P195="","",$C195&amp;"|"&amp;$P195)</f>
      </c>
      <c r="R195" s="20"/>
      <c r="S195" s="17">
        <f>IF($A195="","",IFERROR(VALUE(TRIM(LEFT($R195,FIND("x",LOWER($R195))-1)))*VALUE(TRIM(MID($R195,FIND("x",LOWER($R195))+1,20))),0))</f>
      </c>
      <c r="T195" s="17">
        <f>IF(OR($A195="",$D195&lt;&gt;"Activo"),"",SUMPRODUCT(($D$2:$D$201="Activo")*(($C$2:$C$201&lt;$C195)+(($C$2:$C$201=$C195)*($S$2:$S$201&lt;$S195))+(($C$2:$C$201=$C195)*($S$2:$S$201=$S195)*($B$2:$B$201&lt;$B195))))+1)</f>
      </c>
      <c r="U195" s="19">
        <f>IF($T195="","","TODAS|"&amp;$T195)</f>
      </c>
      <c r="V195" s="14">
        <f>IF($A195="","",IFERROR(IF(COUNTIF('Compras'!$B:$B,$A195)=0,"",MINIFS('Compras'!$A:$A,'Compras'!$B:$B,$A195)),""))</f>
      </c>
      <c r="W195" s="17">
        <f>IF(OR($A195="",$V195=""),"",TODAY()-$V195)</f>
      </c>
      <c r="X195" s="17">
        <f>IF($A195="","",SUMIF('Ventas'!$D:$D,$A195,'Ventas'!$F:$F))</f>
      </c>
      <c r="Y195" s="19">
        <f>IF($A195="","",IF(AND($X195&gt;=3,$W195&lt;&gt;"",$W195&lt;=15),"🔥 Se vende rápido — REABASTECE",IF($K195="Agotado","🔴 Agotado — reabastece",IF($K195="Stock bajo","🟠 Stock bajo","✅ Ok"))))</f>
      </c>
    </row>
    <row r="196">
      <c r="A196" s="20"/>
      <c r="B196" s="20"/>
      <c r="C196" s="20"/>
      <c r="D196" s="20"/>
      <c r="E196" s="21"/>
      <c r="F196" s="16">
        <f>IF($A196="","",IFERROR(SUMIF('Compras'!$B:$B,$A196,'Compras'!$F:$F)/SUMIF('Compras'!$B:$B,$A196,'Compras'!$D:$D),0))</f>
      </c>
      <c r="G196" s="17">
        <f>IF($A196="","",SUMIF('Compras'!$B:$B,$A196,'Compras'!$D:$D)+SUMIF('Traslados'!$H:$H,$A196&amp;"|Casa",'Traslados'!$D:$D)-SUMIF('Traslados'!$G:$G,$A196&amp;"|Casa",'Traslados'!$D:$D)-SUMIF('Ventas'!$M:$M,$A196&amp;"|Casa",'Ventas'!$F:$F)+SUMIF('Ajustes'!$H:$H,$A196&amp;"|Casa",'Ajustes'!$D:$D))</f>
      </c>
      <c r="H196" s="17">
        <f>IF($A196="","",SUMIF('Traslados'!$H:$H,$A196&amp;"|Mercado Libre",'Traslados'!$D:$D)-SUMIF('Traslados'!$G:$G,$A196&amp;"|Mercado Libre",'Traslados'!$D:$D)-SUMIF('Ventas'!$M:$M,$A196&amp;"|Mercado Libre",'Ventas'!$F:$F)+SUMIF('Ajustes'!$H:$H,$A196&amp;"|Mercado Libre",'Ajustes'!$D:$D))</f>
      </c>
      <c r="I196" s="17">
        <f>IF($A196="","",$G196+$H196)</f>
      </c>
      <c r="J196" s="16">
        <f>IF($A196="","",$I196*$F196)</f>
      </c>
      <c r="K196" s="19">
        <f>IF($A196="","",IF($I196&lt;=0,"Agotado",IF($I196&lt;=$E196,"Stock bajo","Disponible")))</f>
      </c>
      <c r="L196" s="17">
        <f>IF($A196="","",IFERROR(VLOOKUP($C196,'Config'!$D$2:$E$30,2,FALSE),0))</f>
      </c>
      <c r="M196" s="20"/>
      <c r="N196" s="22"/>
      <c r="O196" s="22"/>
      <c r="P196" s="17">
        <f>IF(OR($A196="",$D196&lt;&gt;"Activo"),"",SUMPRODUCT(($C$2:$C$201=$C196)*($D$2:$D$201="Activo")*(($S$2:$S$201&lt;$S196)+(($S$2:$S$201=$S196)*($B$2:$B$201&lt;$B196))))+1)</f>
      </c>
      <c r="Q196" s="19">
        <f>IF($P196="","",$C196&amp;"|"&amp;$P196)</f>
      </c>
      <c r="R196" s="20"/>
      <c r="S196" s="17">
        <f>IF($A196="","",IFERROR(VALUE(TRIM(LEFT($R196,FIND("x",LOWER($R196))-1)))*VALUE(TRIM(MID($R196,FIND("x",LOWER($R196))+1,20))),0))</f>
      </c>
      <c r="T196" s="17">
        <f>IF(OR($A196="",$D196&lt;&gt;"Activo"),"",SUMPRODUCT(($D$2:$D$201="Activo")*(($C$2:$C$201&lt;$C196)+(($C$2:$C$201=$C196)*($S$2:$S$201&lt;$S196))+(($C$2:$C$201=$C196)*($S$2:$S$201=$S196)*($B$2:$B$201&lt;$B196))))+1)</f>
      </c>
      <c r="U196" s="19">
        <f>IF($T196="","","TODAS|"&amp;$T196)</f>
      </c>
      <c r="V196" s="14">
        <f>IF($A196="","",IFERROR(IF(COUNTIF('Compras'!$B:$B,$A196)=0,"",MINIFS('Compras'!$A:$A,'Compras'!$B:$B,$A196)),""))</f>
      </c>
      <c r="W196" s="17">
        <f>IF(OR($A196="",$V196=""),"",TODAY()-$V196)</f>
      </c>
      <c r="X196" s="17">
        <f>IF($A196="","",SUMIF('Ventas'!$D:$D,$A196,'Ventas'!$F:$F))</f>
      </c>
      <c r="Y196" s="19">
        <f>IF($A196="","",IF(AND($X196&gt;=3,$W196&lt;&gt;"",$W196&lt;=15),"🔥 Se vende rápido — REABASTECE",IF($K196="Agotado","🔴 Agotado — reabastece",IF($K196="Stock bajo","🟠 Stock bajo","✅ Ok"))))</f>
      </c>
    </row>
    <row r="197">
      <c r="A197" s="20"/>
      <c r="B197" s="20"/>
      <c r="C197" s="20"/>
      <c r="D197" s="20"/>
      <c r="E197" s="21"/>
      <c r="F197" s="16">
        <f>IF($A197="","",IFERROR(SUMIF('Compras'!$B:$B,$A197,'Compras'!$F:$F)/SUMIF('Compras'!$B:$B,$A197,'Compras'!$D:$D),0))</f>
      </c>
      <c r="G197" s="17">
        <f>IF($A197="","",SUMIF('Compras'!$B:$B,$A197,'Compras'!$D:$D)+SUMIF('Traslados'!$H:$H,$A197&amp;"|Casa",'Traslados'!$D:$D)-SUMIF('Traslados'!$G:$G,$A197&amp;"|Casa",'Traslados'!$D:$D)-SUMIF('Ventas'!$M:$M,$A197&amp;"|Casa",'Ventas'!$F:$F)+SUMIF('Ajustes'!$H:$H,$A197&amp;"|Casa",'Ajustes'!$D:$D))</f>
      </c>
      <c r="H197" s="17">
        <f>IF($A197="","",SUMIF('Traslados'!$H:$H,$A197&amp;"|Mercado Libre",'Traslados'!$D:$D)-SUMIF('Traslados'!$G:$G,$A197&amp;"|Mercado Libre",'Traslados'!$D:$D)-SUMIF('Ventas'!$M:$M,$A197&amp;"|Mercado Libre",'Ventas'!$F:$F)+SUMIF('Ajustes'!$H:$H,$A197&amp;"|Mercado Libre",'Ajustes'!$D:$D))</f>
      </c>
      <c r="I197" s="17">
        <f>IF($A197="","",$G197+$H197)</f>
      </c>
      <c r="J197" s="16">
        <f>IF($A197="","",$I197*$F197)</f>
      </c>
      <c r="K197" s="19">
        <f>IF($A197="","",IF($I197&lt;=0,"Agotado",IF($I197&lt;=$E197,"Stock bajo","Disponible")))</f>
      </c>
      <c r="L197" s="17">
        <f>IF($A197="","",IFERROR(VLOOKUP($C197,'Config'!$D$2:$E$30,2,FALSE),0))</f>
      </c>
      <c r="M197" s="20"/>
      <c r="N197" s="22"/>
      <c r="O197" s="22"/>
      <c r="P197" s="17">
        <f>IF(OR($A197="",$D197&lt;&gt;"Activo"),"",SUMPRODUCT(($C$2:$C$201=$C197)*($D$2:$D$201="Activo")*(($S$2:$S$201&lt;$S197)+(($S$2:$S$201=$S197)*($B$2:$B$201&lt;$B197))))+1)</f>
      </c>
      <c r="Q197" s="19">
        <f>IF($P197="","",$C197&amp;"|"&amp;$P197)</f>
      </c>
      <c r="R197" s="20"/>
      <c r="S197" s="17">
        <f>IF($A197="","",IFERROR(VALUE(TRIM(LEFT($R197,FIND("x",LOWER($R197))-1)))*VALUE(TRIM(MID($R197,FIND("x",LOWER($R197))+1,20))),0))</f>
      </c>
      <c r="T197" s="17">
        <f>IF(OR($A197="",$D197&lt;&gt;"Activo"),"",SUMPRODUCT(($D$2:$D$201="Activo")*(($C$2:$C$201&lt;$C197)+(($C$2:$C$201=$C197)*($S$2:$S$201&lt;$S197))+(($C$2:$C$201=$C197)*($S$2:$S$201=$S197)*($B$2:$B$201&lt;$B197))))+1)</f>
      </c>
      <c r="U197" s="19">
        <f>IF($T197="","","TODAS|"&amp;$T197)</f>
      </c>
      <c r="V197" s="14">
        <f>IF($A197="","",IFERROR(IF(COUNTIF('Compras'!$B:$B,$A197)=0,"",MINIFS('Compras'!$A:$A,'Compras'!$B:$B,$A197)),""))</f>
      </c>
      <c r="W197" s="17">
        <f>IF(OR($A197="",$V197=""),"",TODAY()-$V197)</f>
      </c>
      <c r="X197" s="17">
        <f>IF($A197="","",SUMIF('Ventas'!$D:$D,$A197,'Ventas'!$F:$F))</f>
      </c>
      <c r="Y197" s="19">
        <f>IF($A197="","",IF(AND($X197&gt;=3,$W197&lt;&gt;"",$W197&lt;=15),"🔥 Se vende rápido — REABASTECE",IF($K197="Agotado","🔴 Agotado — reabastece",IF($K197="Stock bajo","🟠 Stock bajo","✅ Ok"))))</f>
      </c>
    </row>
    <row r="198">
      <c r="A198" s="20"/>
      <c r="B198" s="20"/>
      <c r="C198" s="20"/>
      <c r="D198" s="20"/>
      <c r="E198" s="21"/>
      <c r="F198" s="16">
        <f>IF($A198="","",IFERROR(SUMIF('Compras'!$B:$B,$A198,'Compras'!$F:$F)/SUMIF('Compras'!$B:$B,$A198,'Compras'!$D:$D),0))</f>
      </c>
      <c r="G198" s="17">
        <f>IF($A198="","",SUMIF('Compras'!$B:$B,$A198,'Compras'!$D:$D)+SUMIF('Traslados'!$H:$H,$A198&amp;"|Casa",'Traslados'!$D:$D)-SUMIF('Traslados'!$G:$G,$A198&amp;"|Casa",'Traslados'!$D:$D)-SUMIF('Ventas'!$M:$M,$A198&amp;"|Casa",'Ventas'!$F:$F)+SUMIF('Ajustes'!$H:$H,$A198&amp;"|Casa",'Ajustes'!$D:$D))</f>
      </c>
      <c r="H198" s="17">
        <f>IF($A198="","",SUMIF('Traslados'!$H:$H,$A198&amp;"|Mercado Libre",'Traslados'!$D:$D)-SUMIF('Traslados'!$G:$G,$A198&amp;"|Mercado Libre",'Traslados'!$D:$D)-SUMIF('Ventas'!$M:$M,$A198&amp;"|Mercado Libre",'Ventas'!$F:$F)+SUMIF('Ajustes'!$H:$H,$A198&amp;"|Mercado Libre",'Ajustes'!$D:$D))</f>
      </c>
      <c r="I198" s="17">
        <f>IF($A198="","",$G198+$H198)</f>
      </c>
      <c r="J198" s="16">
        <f>IF($A198="","",$I198*$F198)</f>
      </c>
      <c r="K198" s="19">
        <f>IF($A198="","",IF($I198&lt;=0,"Agotado",IF($I198&lt;=$E198,"Stock bajo","Disponible")))</f>
      </c>
      <c r="L198" s="17">
        <f>IF($A198="","",IFERROR(VLOOKUP($C198,'Config'!$D$2:$E$30,2,FALSE),0))</f>
      </c>
      <c r="M198" s="20"/>
      <c r="N198" s="22"/>
      <c r="O198" s="22"/>
      <c r="P198" s="17">
        <f>IF(OR($A198="",$D198&lt;&gt;"Activo"),"",SUMPRODUCT(($C$2:$C$201=$C198)*($D$2:$D$201="Activo")*(($S$2:$S$201&lt;$S198)+(($S$2:$S$201=$S198)*($B$2:$B$201&lt;$B198))))+1)</f>
      </c>
      <c r="Q198" s="19">
        <f>IF($P198="","",$C198&amp;"|"&amp;$P198)</f>
      </c>
      <c r="R198" s="20"/>
      <c r="S198" s="17">
        <f>IF($A198="","",IFERROR(VALUE(TRIM(LEFT($R198,FIND("x",LOWER($R198))-1)))*VALUE(TRIM(MID($R198,FIND("x",LOWER($R198))+1,20))),0))</f>
      </c>
      <c r="T198" s="17">
        <f>IF(OR($A198="",$D198&lt;&gt;"Activo"),"",SUMPRODUCT(($D$2:$D$201="Activo")*(($C$2:$C$201&lt;$C198)+(($C$2:$C$201=$C198)*($S$2:$S$201&lt;$S198))+(($C$2:$C$201=$C198)*($S$2:$S$201=$S198)*($B$2:$B$201&lt;$B198))))+1)</f>
      </c>
      <c r="U198" s="19">
        <f>IF($T198="","","TODAS|"&amp;$T198)</f>
      </c>
      <c r="V198" s="14">
        <f>IF($A198="","",IFERROR(IF(COUNTIF('Compras'!$B:$B,$A198)=0,"",MINIFS('Compras'!$A:$A,'Compras'!$B:$B,$A198)),""))</f>
      </c>
      <c r="W198" s="17">
        <f>IF(OR($A198="",$V198=""),"",TODAY()-$V198)</f>
      </c>
      <c r="X198" s="17">
        <f>IF($A198="","",SUMIF('Ventas'!$D:$D,$A198,'Ventas'!$F:$F))</f>
      </c>
      <c r="Y198" s="19">
        <f>IF($A198="","",IF(AND($X198&gt;=3,$W198&lt;&gt;"",$W198&lt;=15),"🔥 Se vende rápido — REABASTECE",IF($K198="Agotado","🔴 Agotado — reabastece",IF($K198="Stock bajo","🟠 Stock bajo","✅ Ok"))))</f>
      </c>
    </row>
    <row r="199">
      <c r="A199" s="20"/>
      <c r="B199" s="20"/>
      <c r="C199" s="20"/>
      <c r="D199" s="20"/>
      <c r="E199" s="21"/>
      <c r="F199" s="16">
        <f>IF($A199="","",IFERROR(SUMIF('Compras'!$B:$B,$A199,'Compras'!$F:$F)/SUMIF('Compras'!$B:$B,$A199,'Compras'!$D:$D),0))</f>
      </c>
      <c r="G199" s="17">
        <f>IF($A199="","",SUMIF('Compras'!$B:$B,$A199,'Compras'!$D:$D)+SUMIF('Traslados'!$H:$H,$A199&amp;"|Casa",'Traslados'!$D:$D)-SUMIF('Traslados'!$G:$G,$A199&amp;"|Casa",'Traslados'!$D:$D)-SUMIF('Ventas'!$M:$M,$A199&amp;"|Casa",'Ventas'!$F:$F)+SUMIF('Ajustes'!$H:$H,$A199&amp;"|Casa",'Ajustes'!$D:$D))</f>
      </c>
      <c r="H199" s="17">
        <f>IF($A199="","",SUMIF('Traslados'!$H:$H,$A199&amp;"|Mercado Libre",'Traslados'!$D:$D)-SUMIF('Traslados'!$G:$G,$A199&amp;"|Mercado Libre",'Traslados'!$D:$D)-SUMIF('Ventas'!$M:$M,$A199&amp;"|Mercado Libre",'Ventas'!$F:$F)+SUMIF('Ajustes'!$H:$H,$A199&amp;"|Mercado Libre",'Ajustes'!$D:$D))</f>
      </c>
      <c r="I199" s="17">
        <f>IF($A199="","",$G199+$H199)</f>
      </c>
      <c r="J199" s="16">
        <f>IF($A199="","",$I199*$F199)</f>
      </c>
      <c r="K199" s="19">
        <f>IF($A199="","",IF($I199&lt;=0,"Agotado",IF($I199&lt;=$E199,"Stock bajo","Disponible")))</f>
      </c>
      <c r="L199" s="17">
        <f>IF($A199="","",IFERROR(VLOOKUP($C199,'Config'!$D$2:$E$30,2,FALSE),0))</f>
      </c>
      <c r="M199" s="20"/>
      <c r="N199" s="22"/>
      <c r="O199" s="22"/>
      <c r="P199" s="17">
        <f>IF(OR($A199="",$D199&lt;&gt;"Activo"),"",SUMPRODUCT(($C$2:$C$201=$C199)*($D$2:$D$201="Activo")*(($S$2:$S$201&lt;$S199)+(($S$2:$S$201=$S199)*($B$2:$B$201&lt;$B199))))+1)</f>
      </c>
      <c r="Q199" s="19">
        <f>IF($P199="","",$C199&amp;"|"&amp;$P199)</f>
      </c>
      <c r="R199" s="20"/>
      <c r="S199" s="17">
        <f>IF($A199="","",IFERROR(VALUE(TRIM(LEFT($R199,FIND("x",LOWER($R199))-1)))*VALUE(TRIM(MID($R199,FIND("x",LOWER($R199))+1,20))),0))</f>
      </c>
      <c r="T199" s="17">
        <f>IF(OR($A199="",$D199&lt;&gt;"Activo"),"",SUMPRODUCT(($D$2:$D$201="Activo")*(($C$2:$C$201&lt;$C199)+(($C$2:$C$201=$C199)*($S$2:$S$201&lt;$S199))+(($C$2:$C$201=$C199)*($S$2:$S$201=$S199)*($B$2:$B$201&lt;$B199))))+1)</f>
      </c>
      <c r="U199" s="19">
        <f>IF($T199="","","TODAS|"&amp;$T199)</f>
      </c>
      <c r="V199" s="14">
        <f>IF($A199="","",IFERROR(IF(COUNTIF('Compras'!$B:$B,$A199)=0,"",MINIFS('Compras'!$A:$A,'Compras'!$B:$B,$A199)),""))</f>
      </c>
      <c r="W199" s="17">
        <f>IF(OR($A199="",$V199=""),"",TODAY()-$V199)</f>
      </c>
      <c r="X199" s="17">
        <f>IF($A199="","",SUMIF('Ventas'!$D:$D,$A199,'Ventas'!$F:$F))</f>
      </c>
      <c r="Y199" s="19">
        <f>IF($A199="","",IF(AND($X199&gt;=3,$W199&lt;&gt;"",$W199&lt;=15),"🔥 Se vende rápido — REABASTECE",IF($K199="Agotado","🔴 Agotado — reabastece",IF($K199="Stock bajo","🟠 Stock bajo","✅ Ok"))))</f>
      </c>
    </row>
    <row r="200">
      <c r="A200" s="20"/>
      <c r="B200" s="20"/>
      <c r="C200" s="20"/>
      <c r="D200" s="20"/>
      <c r="E200" s="21"/>
      <c r="F200" s="16">
        <f>IF($A200="","",IFERROR(SUMIF('Compras'!$B:$B,$A200,'Compras'!$F:$F)/SUMIF('Compras'!$B:$B,$A200,'Compras'!$D:$D),0))</f>
      </c>
      <c r="G200" s="17">
        <f>IF($A200="","",SUMIF('Compras'!$B:$B,$A200,'Compras'!$D:$D)+SUMIF('Traslados'!$H:$H,$A200&amp;"|Casa",'Traslados'!$D:$D)-SUMIF('Traslados'!$G:$G,$A200&amp;"|Casa",'Traslados'!$D:$D)-SUMIF('Ventas'!$M:$M,$A200&amp;"|Casa",'Ventas'!$F:$F)+SUMIF('Ajustes'!$H:$H,$A200&amp;"|Casa",'Ajustes'!$D:$D))</f>
      </c>
      <c r="H200" s="17">
        <f>IF($A200="","",SUMIF('Traslados'!$H:$H,$A200&amp;"|Mercado Libre",'Traslados'!$D:$D)-SUMIF('Traslados'!$G:$G,$A200&amp;"|Mercado Libre",'Traslados'!$D:$D)-SUMIF('Ventas'!$M:$M,$A200&amp;"|Mercado Libre",'Ventas'!$F:$F)+SUMIF('Ajustes'!$H:$H,$A200&amp;"|Mercado Libre",'Ajustes'!$D:$D))</f>
      </c>
      <c r="I200" s="17">
        <f>IF($A200="","",$G200+$H200)</f>
      </c>
      <c r="J200" s="16">
        <f>IF($A200="","",$I200*$F200)</f>
      </c>
      <c r="K200" s="19">
        <f>IF($A200="","",IF($I200&lt;=0,"Agotado",IF($I200&lt;=$E200,"Stock bajo","Disponible")))</f>
      </c>
      <c r="L200" s="17">
        <f>IF($A200="","",IFERROR(VLOOKUP($C200,'Config'!$D$2:$E$30,2,FALSE),0))</f>
      </c>
      <c r="M200" s="20"/>
      <c r="N200" s="22"/>
      <c r="O200" s="22"/>
      <c r="P200" s="17">
        <f>IF(OR($A200="",$D200&lt;&gt;"Activo"),"",SUMPRODUCT(($C$2:$C$201=$C200)*($D$2:$D$201="Activo")*(($S$2:$S$201&lt;$S200)+(($S$2:$S$201=$S200)*($B$2:$B$201&lt;$B200))))+1)</f>
      </c>
      <c r="Q200" s="19">
        <f>IF($P200="","",$C200&amp;"|"&amp;$P200)</f>
      </c>
      <c r="R200" s="20"/>
      <c r="S200" s="17">
        <f>IF($A200="","",IFERROR(VALUE(TRIM(LEFT($R200,FIND("x",LOWER($R200))-1)))*VALUE(TRIM(MID($R200,FIND("x",LOWER($R200))+1,20))),0))</f>
      </c>
      <c r="T200" s="17">
        <f>IF(OR($A200="",$D200&lt;&gt;"Activo"),"",SUMPRODUCT(($D$2:$D$201="Activo")*(($C$2:$C$201&lt;$C200)+(($C$2:$C$201=$C200)*($S$2:$S$201&lt;$S200))+(($C$2:$C$201=$C200)*($S$2:$S$201=$S200)*($B$2:$B$201&lt;$B200))))+1)</f>
      </c>
      <c r="U200" s="19">
        <f>IF($T200="","","TODAS|"&amp;$T200)</f>
      </c>
      <c r="V200" s="14">
        <f>IF($A200="","",IFERROR(IF(COUNTIF('Compras'!$B:$B,$A200)=0,"",MINIFS('Compras'!$A:$A,'Compras'!$B:$B,$A200)),""))</f>
      </c>
      <c r="W200" s="17">
        <f>IF(OR($A200="",$V200=""),"",TODAY()-$V200)</f>
      </c>
      <c r="X200" s="17">
        <f>IF($A200="","",SUMIF('Ventas'!$D:$D,$A200,'Ventas'!$F:$F))</f>
      </c>
      <c r="Y200" s="19">
        <f>IF($A200="","",IF(AND($X200&gt;=3,$W200&lt;&gt;"",$W200&lt;=15),"🔥 Se vende rápido — REABASTECE",IF($K200="Agotado","🔴 Agotado — reabastece",IF($K200="Stock bajo","🟠 Stock bajo","✅ Ok"))))</f>
      </c>
    </row>
    <row r="201">
      <c r="A201" s="20"/>
      <c r="B201" s="20"/>
      <c r="C201" s="20"/>
      <c r="D201" s="20"/>
      <c r="E201" s="21"/>
      <c r="F201" s="16">
        <f>IF($A201="","",IFERROR(SUMIF('Compras'!$B:$B,$A201,'Compras'!$F:$F)/SUMIF('Compras'!$B:$B,$A201,'Compras'!$D:$D),0))</f>
      </c>
      <c r="G201" s="17">
        <f>IF($A201="","",SUMIF('Compras'!$B:$B,$A201,'Compras'!$D:$D)+SUMIF('Traslados'!$H:$H,$A201&amp;"|Casa",'Traslados'!$D:$D)-SUMIF('Traslados'!$G:$G,$A201&amp;"|Casa",'Traslados'!$D:$D)-SUMIF('Ventas'!$M:$M,$A201&amp;"|Casa",'Ventas'!$F:$F)+SUMIF('Ajustes'!$H:$H,$A201&amp;"|Casa",'Ajustes'!$D:$D))</f>
      </c>
      <c r="H201" s="17">
        <f>IF($A201="","",SUMIF('Traslados'!$H:$H,$A201&amp;"|Mercado Libre",'Traslados'!$D:$D)-SUMIF('Traslados'!$G:$G,$A201&amp;"|Mercado Libre",'Traslados'!$D:$D)-SUMIF('Ventas'!$M:$M,$A201&amp;"|Mercado Libre",'Ventas'!$F:$F)+SUMIF('Ajustes'!$H:$H,$A201&amp;"|Mercado Libre",'Ajustes'!$D:$D))</f>
      </c>
      <c r="I201" s="17">
        <f>IF($A201="","",$G201+$H201)</f>
      </c>
      <c r="J201" s="16">
        <f>IF($A201="","",$I201*$F201)</f>
      </c>
      <c r="K201" s="19">
        <f>IF($A201="","",IF($I201&lt;=0,"Agotado",IF($I201&lt;=$E201,"Stock bajo","Disponible")))</f>
      </c>
      <c r="L201" s="17">
        <f>IF($A201="","",IFERROR(VLOOKUP($C201,'Config'!$D$2:$E$30,2,FALSE),0))</f>
      </c>
      <c r="M201" s="20"/>
      <c r="N201" s="22"/>
      <c r="O201" s="22"/>
      <c r="P201" s="17">
        <f>IF(OR($A201="",$D201&lt;&gt;"Activo"),"",SUMPRODUCT(($C$2:$C$201=$C201)*($D$2:$D$201="Activo")*(($S$2:$S$201&lt;$S201)+(($S$2:$S$201=$S201)*($B$2:$B$201&lt;$B201))))+1)</f>
      </c>
      <c r="Q201" s="19">
        <f>IF($P201="","",$C201&amp;"|"&amp;$P201)</f>
      </c>
      <c r="R201" s="20"/>
      <c r="S201" s="17">
        <f>IF($A201="","",IFERROR(VALUE(TRIM(LEFT($R201,FIND("x",LOWER($R201))-1)))*VALUE(TRIM(MID($R201,FIND("x",LOWER($R201))+1,20))),0))</f>
      </c>
      <c r="T201" s="17">
        <f>IF(OR($A201="",$D201&lt;&gt;"Activo"),"",SUMPRODUCT(($D$2:$D$201="Activo")*(($C$2:$C$201&lt;$C201)+(($C$2:$C$201=$C201)*($S$2:$S$201&lt;$S201))+(($C$2:$C$201=$C201)*($S$2:$S$201=$S201)*($B$2:$B$201&lt;$B201))))+1)</f>
      </c>
      <c r="U201" s="19">
        <f>IF($T201="","","TODAS|"&amp;$T201)</f>
      </c>
      <c r="V201" s="14">
        <f>IF($A201="","",IFERROR(IF(COUNTIF('Compras'!$B:$B,$A201)=0,"",MINIFS('Compras'!$A:$A,'Compras'!$B:$B,$A201)),""))</f>
      </c>
      <c r="W201" s="17">
        <f>IF(OR($A201="",$V201=""),"",TODAY()-$V201)</f>
      </c>
      <c r="X201" s="17">
        <f>IF($A201="","",SUMIF('Ventas'!$D:$D,$A201,'Ventas'!$F:$F))</f>
      </c>
      <c r="Y201" s="19">
        <f>IF($A201="","",IF(AND($X201&gt;=3,$W201&lt;&gt;"",$W201&lt;=15),"🔥 Se vende rápido — REABASTECE",IF($K201="Agotado","🔴 Agotado — reabastece",IF($K201="Stock bajo","🟠 Stock bajo","✅ Ok"))))</f>
      </c>
    </row>
  </sheetData>
  <dataValidations count="2">
    <dataValidation type="list" allowBlank="1" showInputMessage="1" showErrorMessage="0" sqref="C2:C201">
      <formula1>'Config'!$D$2:$D$30</formula1>
    </dataValidation>
    <dataValidation type="list" allowBlank="1" showInputMessage="1" showErrorMessage="0" sqref="D2:D201">
      <formula1>'Config'!$H$2:$H$3</formula1>
    </dataValidation>
  </dataValidations>
  <pageMargins left="0.5" right="0.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01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2.00" customWidth="1"/>
    <col min="2" max="2" width="12.00" customWidth="1"/>
    <col min="3" max="3" width="26.00" customWidth="1"/>
    <col min="4" max="4" width="10.00" customWidth="1"/>
    <col min="5" max="5" width="14.00" customWidth="1"/>
    <col min="6" max="6" width="14.00" customWidth="1"/>
    <col min="7" max="7" width="18.00" customWidth="1"/>
    <col min="8" max="8" width="11.00" customWidth="1"/>
    <col min="9" max="9" width="13.00" customWidth="1"/>
    <col min="10" max="10" width="14.00" customWidth="1"/>
    <col min="11" max="11" width="13.00" customWidth="1"/>
    <col min="12" max="12" width="14.00" customWidth="1"/>
    <col min="13" max="13" width="14.00" customWidth="1"/>
    <col min="14" max="14" width="30.00" customWidth="1"/>
    <col min="15" max="15" width="13.00" customWidth="1"/>
    <col min="16" max="16" width="13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</t>
        </is>
      </c>
      <c r="E1" s="1" t="inlineStr">
        <is>
          <t xml:space="preserve">Costo Unitario</t>
        </is>
      </c>
      <c r="F1" s="1" t="inlineStr">
        <is>
          <t xml:space="preserve">Costo Total</t>
        </is>
      </c>
      <c r="G1" s="1" t="inlineStr">
        <is>
          <t xml:space="preserve">Medio de Pago</t>
        </is>
      </c>
      <c r="H1" s="1" t="inlineStr">
        <is>
          <t xml:space="preserve">¿A crédito?</t>
        </is>
      </c>
      <c r="I1" s="1" t="inlineStr">
        <is>
          <t xml:space="preserve">Fecha Cierre</t>
        </is>
      </c>
      <c r="J1" s="1" t="inlineStr">
        <is>
          <t xml:space="preserve">Fecha Límite Pago</t>
        </is>
      </c>
      <c r="K1" s="1" t="inlineStr">
        <is>
          <t xml:space="preserve">Abonado</t>
        </is>
      </c>
      <c r="L1" s="1" t="inlineStr">
        <is>
          <t xml:space="preserve">Saldo</t>
        </is>
      </c>
      <c r="M1" s="1" t="inlineStr">
        <is>
          <t xml:space="preserve">Estado Pago</t>
        </is>
      </c>
      <c r="N1" s="1" t="inlineStr">
        <is>
          <t xml:space="preserve">Alerta Pago</t>
        </is>
      </c>
      <c r="O1" s="1" t="inlineStr">
        <is>
          <t xml:space="preserve">Fecha Llegada</t>
        </is>
      </c>
      <c r="P1" s="1" t="inlineStr">
        <is>
          <t xml:space="preserve">Días en Llegar</t>
        </is>
      </c>
    </row>
    <row r="2">
      <c r="A2" s="23"/>
      <c r="B2" s="20"/>
      <c r="C2" s="19">
        <f>IF($B2="","",IFERROR(VLOOKUP($B2,'Catálogo'!$A:$B,2,FALSE),"⚠ Código no existe"))</f>
      </c>
      <c r="D2" s="21"/>
      <c r="E2" s="22"/>
      <c r="F2" s="16">
        <f>IF($B2="","",$D2*$E2)</f>
      </c>
      <c r="G2" s="20"/>
      <c r="H2" s="20"/>
      <c r="I2" s="14">
        <f>IF(OR($B2="",$H2&lt;&gt;"Sí"),"",IF(DAY($A2)&lt;='Config'!$B$13,DATE(YEAR($A2),MONTH($A2),'Config'!$B$13),EOMONTH($A2,0)+'Config'!$B$13))</f>
      </c>
      <c r="J2" s="14">
        <f>IF($I2="","",DATE(YEAR(EOMONTH($I2,0)+1),MONTH(EOMONTH($I2,0)+1),'Config'!$B$14))</f>
      </c>
      <c r="K2" s="22"/>
      <c r="L2" s="16">
        <f>IF($B2="","",MAX($F2-$K2,0))</f>
      </c>
      <c r="M2" s="19">
        <f>IF($B2="","",IF($H2&lt;&gt;"Sí","Pagado (contado)",IF($L2&lt;=0,"Pagado",IF($K2&gt;0,"Abono parcial","Pendiente"))))</f>
      </c>
      <c r="N2" s="19">
        <f>IF(OR($B2="",$H2&lt;&gt;"Sí",$L2&lt;=0),"",IF(TODAY()&gt;$J2,"🔴 VENCIDO hace "&amp;(TODAY()-$J2)&amp;" día(s)",IF($J2-TODAY()&lt;='Config'!$B$15,"🟠 Faltan "&amp;($J2-TODAY())&amp;" día(s) para pagar","🟢 Al día (paga el "&amp;TEXT($J2,"dd/mm")&amp;")")))</f>
      </c>
      <c r="O2" s="23"/>
      <c r="P2" s="17">
        <f>IF(OR($B2="",$O2=""),"",$O2-$A2)</f>
      </c>
    </row>
    <row r="3">
      <c r="A3" s="23"/>
      <c r="B3" s="20"/>
      <c r="C3" s="19">
        <f>IF($B3="","",IFERROR(VLOOKUP($B3,'Catálogo'!$A:$B,2,FALSE),"⚠ Código no existe"))</f>
      </c>
      <c r="D3" s="21"/>
      <c r="E3" s="22"/>
      <c r="F3" s="16">
        <f>IF($B3="","",$D3*$E3)</f>
      </c>
      <c r="G3" s="20"/>
      <c r="H3" s="20"/>
      <c r="I3" s="14">
        <f>IF(OR($B3="",$H3&lt;&gt;"Sí"),"",IF(DAY($A3)&lt;='Config'!$B$13,DATE(YEAR($A3),MONTH($A3),'Config'!$B$13),EOMONTH($A3,0)+'Config'!$B$13))</f>
      </c>
      <c r="J3" s="14">
        <f>IF($I3="","",DATE(YEAR(EOMONTH($I3,0)+1),MONTH(EOMONTH($I3,0)+1),'Config'!$B$14))</f>
      </c>
      <c r="K3" s="22"/>
      <c r="L3" s="16">
        <f>IF($B3="","",MAX($F3-$K3,0))</f>
      </c>
      <c r="M3" s="19">
        <f>IF($B3="","",IF($H3&lt;&gt;"Sí","Pagado (contado)",IF($L3&lt;=0,"Pagado",IF($K3&gt;0,"Abono parcial","Pendiente"))))</f>
      </c>
      <c r="N3" s="19">
        <f>IF(OR($B3="",$H3&lt;&gt;"Sí",$L3&lt;=0),"",IF(TODAY()&gt;$J3,"🔴 VENCIDO hace "&amp;(TODAY()-$J3)&amp;" día(s)",IF($J3-TODAY()&lt;='Config'!$B$15,"🟠 Faltan "&amp;($J3-TODAY())&amp;" día(s) para pagar","🟢 Al día (paga el "&amp;TEXT($J3,"dd/mm")&amp;")")))</f>
      </c>
      <c r="O3" s="23"/>
      <c r="P3" s="17">
        <f>IF(OR($B3="",$O3=""),"",$O3-$A3)</f>
      </c>
    </row>
    <row r="4">
      <c r="A4" s="23"/>
      <c r="B4" s="20"/>
      <c r="C4" s="19">
        <f>IF($B4="","",IFERROR(VLOOKUP($B4,'Catálogo'!$A:$B,2,FALSE),"⚠ Código no existe"))</f>
      </c>
      <c r="D4" s="21"/>
      <c r="E4" s="22"/>
      <c r="F4" s="16">
        <f>IF($B4="","",$D4*$E4)</f>
      </c>
      <c r="G4" s="20"/>
      <c r="H4" s="20"/>
      <c r="I4" s="14">
        <f>IF(OR($B4="",$H4&lt;&gt;"Sí"),"",IF(DAY($A4)&lt;='Config'!$B$13,DATE(YEAR($A4),MONTH($A4),'Config'!$B$13),EOMONTH($A4,0)+'Config'!$B$13))</f>
      </c>
      <c r="J4" s="14">
        <f>IF($I4="","",DATE(YEAR(EOMONTH($I4,0)+1),MONTH(EOMONTH($I4,0)+1),'Config'!$B$14))</f>
      </c>
      <c r="K4" s="22"/>
      <c r="L4" s="16">
        <f>IF($B4="","",MAX($F4-$K4,0))</f>
      </c>
      <c r="M4" s="19">
        <f>IF($B4="","",IF($H4&lt;&gt;"Sí","Pagado (contado)",IF($L4&lt;=0,"Pagado",IF($K4&gt;0,"Abono parcial","Pendiente"))))</f>
      </c>
      <c r="N4" s="19">
        <f>IF(OR($B4="",$H4&lt;&gt;"Sí",$L4&lt;=0),"",IF(TODAY()&gt;$J4,"🔴 VENCIDO hace "&amp;(TODAY()-$J4)&amp;" día(s)",IF($J4-TODAY()&lt;='Config'!$B$15,"🟠 Faltan "&amp;($J4-TODAY())&amp;" día(s) para pagar","🟢 Al día (paga el "&amp;TEXT($J4,"dd/mm")&amp;")")))</f>
      </c>
      <c r="O4" s="23"/>
      <c r="P4" s="17">
        <f>IF(OR($B4="",$O4=""),"",$O4-$A4)</f>
      </c>
    </row>
    <row r="5">
      <c r="A5" s="23"/>
      <c r="B5" s="20"/>
      <c r="C5" s="19">
        <f>IF($B5="","",IFERROR(VLOOKUP($B5,'Catálogo'!$A:$B,2,FALSE),"⚠ Código no existe"))</f>
      </c>
      <c r="D5" s="21"/>
      <c r="E5" s="22"/>
      <c r="F5" s="16">
        <f>IF($B5="","",$D5*$E5)</f>
      </c>
      <c r="G5" s="20"/>
      <c r="H5" s="20"/>
      <c r="I5" s="14">
        <f>IF(OR($B5="",$H5&lt;&gt;"Sí"),"",IF(DAY($A5)&lt;='Config'!$B$13,DATE(YEAR($A5),MONTH($A5),'Config'!$B$13),EOMONTH($A5,0)+'Config'!$B$13))</f>
      </c>
      <c r="J5" s="14">
        <f>IF($I5="","",DATE(YEAR(EOMONTH($I5,0)+1),MONTH(EOMONTH($I5,0)+1),'Config'!$B$14))</f>
      </c>
      <c r="K5" s="22"/>
      <c r="L5" s="16">
        <f>IF($B5="","",MAX($F5-$K5,0))</f>
      </c>
      <c r="M5" s="19">
        <f>IF($B5="","",IF($H5&lt;&gt;"Sí","Pagado (contado)",IF($L5&lt;=0,"Pagado",IF($K5&gt;0,"Abono parcial","Pendiente"))))</f>
      </c>
      <c r="N5" s="19">
        <f>IF(OR($B5="",$H5&lt;&gt;"Sí",$L5&lt;=0),"",IF(TODAY()&gt;$J5,"🔴 VENCIDO hace "&amp;(TODAY()-$J5)&amp;" día(s)",IF($J5-TODAY()&lt;='Config'!$B$15,"🟠 Faltan "&amp;($J5-TODAY())&amp;" día(s) para pagar","🟢 Al día (paga el "&amp;TEXT($J5,"dd/mm")&amp;")")))</f>
      </c>
      <c r="O5" s="23"/>
      <c r="P5" s="17">
        <f>IF(OR($B5="",$O5=""),"",$O5-$A5)</f>
      </c>
    </row>
    <row r="6">
      <c r="A6" s="23"/>
      <c r="B6" s="20"/>
      <c r="C6" s="19">
        <f>IF($B6="","",IFERROR(VLOOKUP($B6,'Catálogo'!$A:$B,2,FALSE),"⚠ Código no existe"))</f>
      </c>
      <c r="D6" s="21"/>
      <c r="E6" s="22"/>
      <c r="F6" s="16">
        <f>IF($B6="","",$D6*$E6)</f>
      </c>
      <c r="G6" s="20"/>
      <c r="H6" s="20"/>
      <c r="I6" s="14">
        <f>IF(OR($B6="",$H6&lt;&gt;"Sí"),"",IF(DAY($A6)&lt;='Config'!$B$13,DATE(YEAR($A6),MONTH($A6),'Config'!$B$13),EOMONTH($A6,0)+'Config'!$B$13))</f>
      </c>
      <c r="J6" s="14">
        <f>IF($I6="","",DATE(YEAR(EOMONTH($I6,0)+1),MONTH(EOMONTH($I6,0)+1),'Config'!$B$14))</f>
      </c>
      <c r="K6" s="22"/>
      <c r="L6" s="16">
        <f>IF($B6="","",MAX($F6-$K6,0))</f>
      </c>
      <c r="M6" s="19">
        <f>IF($B6="","",IF($H6&lt;&gt;"Sí","Pagado (contado)",IF($L6&lt;=0,"Pagado",IF($K6&gt;0,"Abono parcial","Pendiente"))))</f>
      </c>
      <c r="N6" s="19">
        <f>IF(OR($B6="",$H6&lt;&gt;"Sí",$L6&lt;=0),"",IF(TODAY()&gt;$J6,"🔴 VENCIDO hace "&amp;(TODAY()-$J6)&amp;" día(s)",IF($J6-TODAY()&lt;='Config'!$B$15,"🟠 Faltan "&amp;($J6-TODAY())&amp;" día(s) para pagar","🟢 Al día (paga el "&amp;TEXT($J6,"dd/mm")&amp;")")))</f>
      </c>
      <c r="O6" s="23"/>
      <c r="P6" s="17">
        <f>IF(OR($B6="",$O6=""),"",$O6-$A6)</f>
      </c>
    </row>
    <row r="7">
      <c r="A7" s="23"/>
      <c r="B7" s="20"/>
      <c r="C7" s="19">
        <f>IF($B7="","",IFERROR(VLOOKUP($B7,'Catálogo'!$A:$B,2,FALSE),"⚠ Código no existe"))</f>
      </c>
      <c r="D7" s="21"/>
      <c r="E7" s="22"/>
      <c r="F7" s="16">
        <f>IF($B7="","",$D7*$E7)</f>
      </c>
      <c r="G7" s="20"/>
      <c r="H7" s="20"/>
      <c r="I7" s="14">
        <f>IF(OR($B7="",$H7&lt;&gt;"Sí"),"",IF(DAY($A7)&lt;='Config'!$B$13,DATE(YEAR($A7),MONTH($A7),'Config'!$B$13),EOMONTH($A7,0)+'Config'!$B$13))</f>
      </c>
      <c r="J7" s="14">
        <f>IF($I7="","",DATE(YEAR(EOMONTH($I7,0)+1),MONTH(EOMONTH($I7,0)+1),'Config'!$B$14))</f>
      </c>
      <c r="K7" s="22"/>
      <c r="L7" s="16">
        <f>IF($B7="","",MAX($F7-$K7,0))</f>
      </c>
      <c r="M7" s="19">
        <f>IF($B7="","",IF($H7&lt;&gt;"Sí","Pagado (contado)",IF($L7&lt;=0,"Pagado",IF($K7&gt;0,"Abono parcial","Pendiente"))))</f>
      </c>
      <c r="N7" s="19">
        <f>IF(OR($B7="",$H7&lt;&gt;"Sí",$L7&lt;=0),"",IF(TODAY()&gt;$J7,"🔴 VENCIDO hace "&amp;(TODAY()-$J7)&amp;" día(s)",IF($J7-TODAY()&lt;='Config'!$B$15,"🟠 Faltan "&amp;($J7-TODAY())&amp;" día(s) para pagar","🟢 Al día (paga el "&amp;TEXT($J7,"dd/mm")&amp;")")))</f>
      </c>
      <c r="O7" s="23"/>
      <c r="P7" s="17">
        <f>IF(OR($B7="",$O7=""),"",$O7-$A7)</f>
      </c>
    </row>
    <row r="8">
      <c r="A8" s="23"/>
      <c r="B8" s="20"/>
      <c r="C8" s="19">
        <f>IF($B8="","",IFERROR(VLOOKUP($B8,'Catálogo'!$A:$B,2,FALSE),"⚠ Código no existe"))</f>
      </c>
      <c r="D8" s="21"/>
      <c r="E8" s="22"/>
      <c r="F8" s="16">
        <f>IF($B8="","",$D8*$E8)</f>
      </c>
      <c r="G8" s="20"/>
      <c r="H8" s="20"/>
      <c r="I8" s="14">
        <f>IF(OR($B8="",$H8&lt;&gt;"Sí"),"",IF(DAY($A8)&lt;='Config'!$B$13,DATE(YEAR($A8),MONTH($A8),'Config'!$B$13),EOMONTH($A8,0)+'Config'!$B$13))</f>
      </c>
      <c r="J8" s="14">
        <f>IF($I8="","",DATE(YEAR(EOMONTH($I8,0)+1),MONTH(EOMONTH($I8,0)+1),'Config'!$B$14))</f>
      </c>
      <c r="K8" s="22"/>
      <c r="L8" s="16">
        <f>IF($B8="","",MAX($F8-$K8,0))</f>
      </c>
      <c r="M8" s="19">
        <f>IF($B8="","",IF($H8&lt;&gt;"Sí","Pagado (contado)",IF($L8&lt;=0,"Pagado",IF($K8&gt;0,"Abono parcial","Pendiente"))))</f>
      </c>
      <c r="N8" s="19">
        <f>IF(OR($B8="",$H8&lt;&gt;"Sí",$L8&lt;=0),"",IF(TODAY()&gt;$J8,"🔴 VENCIDO hace "&amp;(TODAY()-$J8)&amp;" día(s)",IF($J8-TODAY()&lt;='Config'!$B$15,"🟠 Faltan "&amp;($J8-TODAY())&amp;" día(s) para pagar","🟢 Al día (paga el "&amp;TEXT($J8,"dd/mm")&amp;")")))</f>
      </c>
      <c r="O8" s="23"/>
      <c r="P8" s="17">
        <f>IF(OR($B8="",$O8=""),"",$O8-$A8)</f>
      </c>
    </row>
    <row r="9">
      <c r="A9" s="23"/>
      <c r="B9" s="20"/>
      <c r="C9" s="19">
        <f>IF($B9="","",IFERROR(VLOOKUP($B9,'Catálogo'!$A:$B,2,FALSE),"⚠ Código no existe"))</f>
      </c>
      <c r="D9" s="21"/>
      <c r="E9" s="22"/>
      <c r="F9" s="16">
        <f>IF($B9="","",$D9*$E9)</f>
      </c>
      <c r="G9" s="20"/>
      <c r="H9" s="20"/>
      <c r="I9" s="14">
        <f>IF(OR($B9="",$H9&lt;&gt;"Sí"),"",IF(DAY($A9)&lt;='Config'!$B$13,DATE(YEAR($A9),MONTH($A9),'Config'!$B$13),EOMONTH($A9,0)+'Config'!$B$13))</f>
      </c>
      <c r="J9" s="14">
        <f>IF($I9="","",DATE(YEAR(EOMONTH($I9,0)+1),MONTH(EOMONTH($I9,0)+1),'Config'!$B$14))</f>
      </c>
      <c r="K9" s="22"/>
      <c r="L9" s="16">
        <f>IF($B9="","",MAX($F9-$K9,0))</f>
      </c>
      <c r="M9" s="19">
        <f>IF($B9="","",IF($H9&lt;&gt;"Sí","Pagado (contado)",IF($L9&lt;=0,"Pagado",IF($K9&gt;0,"Abono parcial","Pendiente"))))</f>
      </c>
      <c r="N9" s="19">
        <f>IF(OR($B9="",$H9&lt;&gt;"Sí",$L9&lt;=0),"",IF(TODAY()&gt;$J9,"🔴 VENCIDO hace "&amp;(TODAY()-$J9)&amp;" día(s)",IF($J9-TODAY()&lt;='Config'!$B$15,"🟠 Faltan "&amp;($J9-TODAY())&amp;" día(s) para pagar","🟢 Al día (paga el "&amp;TEXT($J9,"dd/mm")&amp;")")))</f>
      </c>
      <c r="O9" s="23"/>
      <c r="P9" s="17">
        <f>IF(OR($B9="",$O9=""),"",$O9-$A9)</f>
      </c>
    </row>
    <row r="10">
      <c r="A10" s="23"/>
      <c r="B10" s="20"/>
      <c r="C10" s="19">
        <f>IF($B10="","",IFERROR(VLOOKUP($B10,'Catálogo'!$A:$B,2,FALSE),"⚠ Código no existe"))</f>
      </c>
      <c r="D10" s="21"/>
      <c r="E10" s="22"/>
      <c r="F10" s="16">
        <f>IF($B10="","",$D10*$E10)</f>
      </c>
      <c r="G10" s="20"/>
      <c r="H10" s="20"/>
      <c r="I10" s="14">
        <f>IF(OR($B10="",$H10&lt;&gt;"Sí"),"",IF(DAY($A10)&lt;='Config'!$B$13,DATE(YEAR($A10),MONTH($A10),'Config'!$B$13),EOMONTH($A10,0)+'Config'!$B$13))</f>
      </c>
      <c r="J10" s="14">
        <f>IF($I10="","",DATE(YEAR(EOMONTH($I10,0)+1),MONTH(EOMONTH($I10,0)+1),'Config'!$B$14))</f>
      </c>
      <c r="K10" s="22"/>
      <c r="L10" s="16">
        <f>IF($B10="","",MAX($F10-$K10,0))</f>
      </c>
      <c r="M10" s="19">
        <f>IF($B10="","",IF($H10&lt;&gt;"Sí","Pagado (contado)",IF($L10&lt;=0,"Pagado",IF($K10&gt;0,"Abono parcial","Pendiente"))))</f>
      </c>
      <c r="N10" s="19">
        <f>IF(OR($B10="",$H10&lt;&gt;"Sí",$L10&lt;=0),"",IF(TODAY()&gt;$J10,"🔴 VENCIDO hace "&amp;(TODAY()-$J10)&amp;" día(s)",IF($J10-TODAY()&lt;='Config'!$B$15,"🟠 Faltan "&amp;($J10-TODAY())&amp;" día(s) para pagar","🟢 Al día (paga el "&amp;TEXT($J10,"dd/mm")&amp;")")))</f>
      </c>
      <c r="O10" s="23"/>
      <c r="P10" s="17">
        <f>IF(OR($B10="",$O10=""),"",$O10-$A10)</f>
      </c>
    </row>
    <row r="11">
      <c r="A11" s="23"/>
      <c r="B11" s="20"/>
      <c r="C11" s="19">
        <f>IF($B11="","",IFERROR(VLOOKUP($B11,'Catálogo'!$A:$B,2,FALSE),"⚠ Código no existe"))</f>
      </c>
      <c r="D11" s="21"/>
      <c r="E11" s="22"/>
      <c r="F11" s="16">
        <f>IF($B11="","",$D11*$E11)</f>
      </c>
      <c r="G11" s="20"/>
      <c r="H11" s="20"/>
      <c r="I11" s="14">
        <f>IF(OR($B11="",$H11&lt;&gt;"Sí"),"",IF(DAY($A11)&lt;='Config'!$B$13,DATE(YEAR($A11),MONTH($A11),'Config'!$B$13),EOMONTH($A11,0)+'Config'!$B$13))</f>
      </c>
      <c r="J11" s="14">
        <f>IF($I11="","",DATE(YEAR(EOMONTH($I11,0)+1),MONTH(EOMONTH($I11,0)+1),'Config'!$B$14))</f>
      </c>
      <c r="K11" s="22"/>
      <c r="L11" s="16">
        <f>IF($B11="","",MAX($F11-$K11,0))</f>
      </c>
      <c r="M11" s="19">
        <f>IF($B11="","",IF($H11&lt;&gt;"Sí","Pagado (contado)",IF($L11&lt;=0,"Pagado",IF($K11&gt;0,"Abono parcial","Pendiente"))))</f>
      </c>
      <c r="N11" s="19">
        <f>IF(OR($B11="",$H11&lt;&gt;"Sí",$L11&lt;=0),"",IF(TODAY()&gt;$J11,"🔴 VENCIDO hace "&amp;(TODAY()-$J11)&amp;" día(s)",IF($J11-TODAY()&lt;='Config'!$B$15,"🟠 Faltan "&amp;($J11-TODAY())&amp;" día(s) para pagar","🟢 Al día (paga el "&amp;TEXT($J11,"dd/mm")&amp;")")))</f>
      </c>
      <c r="O11" s="23"/>
      <c r="P11" s="17">
        <f>IF(OR($B11="",$O11=""),"",$O11-$A11)</f>
      </c>
    </row>
    <row r="12">
      <c r="A12" s="23"/>
      <c r="B12" s="20"/>
      <c r="C12" s="19">
        <f>IF($B12="","",IFERROR(VLOOKUP($B12,'Catálogo'!$A:$B,2,FALSE),"⚠ Código no existe"))</f>
      </c>
      <c r="D12" s="21"/>
      <c r="E12" s="22"/>
      <c r="F12" s="16">
        <f>IF($B12="","",$D12*$E12)</f>
      </c>
      <c r="G12" s="20"/>
      <c r="H12" s="20"/>
      <c r="I12" s="14">
        <f>IF(OR($B12="",$H12&lt;&gt;"Sí"),"",IF(DAY($A12)&lt;='Config'!$B$13,DATE(YEAR($A12),MONTH($A12),'Config'!$B$13),EOMONTH($A12,0)+'Config'!$B$13))</f>
      </c>
      <c r="J12" s="14">
        <f>IF($I12="","",DATE(YEAR(EOMONTH($I12,0)+1),MONTH(EOMONTH($I12,0)+1),'Config'!$B$14))</f>
      </c>
      <c r="K12" s="22"/>
      <c r="L12" s="16">
        <f>IF($B12="","",MAX($F12-$K12,0))</f>
      </c>
      <c r="M12" s="19">
        <f>IF($B12="","",IF($H12&lt;&gt;"Sí","Pagado (contado)",IF($L12&lt;=0,"Pagado",IF($K12&gt;0,"Abono parcial","Pendiente"))))</f>
      </c>
      <c r="N12" s="19">
        <f>IF(OR($B12="",$H12&lt;&gt;"Sí",$L12&lt;=0),"",IF(TODAY()&gt;$J12,"🔴 VENCIDO hace "&amp;(TODAY()-$J12)&amp;" día(s)",IF($J12-TODAY()&lt;='Config'!$B$15,"🟠 Faltan "&amp;($J12-TODAY())&amp;" día(s) para pagar","🟢 Al día (paga el "&amp;TEXT($J12,"dd/mm")&amp;")")))</f>
      </c>
      <c r="O12" s="23"/>
      <c r="P12" s="17">
        <f>IF(OR($B12="",$O12=""),"",$O12-$A12)</f>
      </c>
    </row>
    <row r="13">
      <c r="A13" s="23"/>
      <c r="B13" s="20"/>
      <c r="C13" s="19">
        <f>IF($B13="","",IFERROR(VLOOKUP($B13,'Catálogo'!$A:$B,2,FALSE),"⚠ Código no existe"))</f>
      </c>
      <c r="D13" s="21"/>
      <c r="E13" s="22"/>
      <c r="F13" s="16">
        <f>IF($B13="","",$D13*$E13)</f>
      </c>
      <c r="G13" s="20"/>
      <c r="H13" s="20"/>
      <c r="I13" s="14">
        <f>IF(OR($B13="",$H13&lt;&gt;"Sí"),"",IF(DAY($A13)&lt;='Config'!$B$13,DATE(YEAR($A13),MONTH($A13),'Config'!$B$13),EOMONTH($A13,0)+'Config'!$B$13))</f>
      </c>
      <c r="J13" s="14">
        <f>IF($I13="","",DATE(YEAR(EOMONTH($I13,0)+1),MONTH(EOMONTH($I13,0)+1),'Config'!$B$14))</f>
      </c>
      <c r="K13" s="22"/>
      <c r="L13" s="16">
        <f>IF($B13="","",MAX($F13-$K13,0))</f>
      </c>
      <c r="M13" s="19">
        <f>IF($B13="","",IF($H13&lt;&gt;"Sí","Pagado (contado)",IF($L13&lt;=0,"Pagado",IF($K13&gt;0,"Abono parcial","Pendiente"))))</f>
      </c>
      <c r="N13" s="19">
        <f>IF(OR($B13="",$H13&lt;&gt;"Sí",$L13&lt;=0),"",IF(TODAY()&gt;$J13,"🔴 VENCIDO hace "&amp;(TODAY()-$J13)&amp;" día(s)",IF($J13-TODAY()&lt;='Config'!$B$15,"🟠 Faltan "&amp;($J13-TODAY())&amp;" día(s) para pagar","🟢 Al día (paga el "&amp;TEXT($J13,"dd/mm")&amp;")")))</f>
      </c>
      <c r="O13" s="23"/>
      <c r="P13" s="17">
        <f>IF(OR($B13="",$O13=""),"",$O13-$A13)</f>
      </c>
    </row>
    <row r="14">
      <c r="A14" s="23"/>
      <c r="B14" s="20"/>
      <c r="C14" s="19">
        <f>IF($B14="","",IFERROR(VLOOKUP($B14,'Catálogo'!$A:$B,2,FALSE),"⚠ Código no existe"))</f>
      </c>
      <c r="D14" s="21"/>
      <c r="E14" s="22"/>
      <c r="F14" s="16">
        <f>IF($B14="","",$D14*$E14)</f>
      </c>
      <c r="G14" s="20"/>
      <c r="H14" s="20"/>
      <c r="I14" s="14">
        <f>IF(OR($B14="",$H14&lt;&gt;"Sí"),"",IF(DAY($A14)&lt;='Config'!$B$13,DATE(YEAR($A14),MONTH($A14),'Config'!$B$13),EOMONTH($A14,0)+'Config'!$B$13))</f>
      </c>
      <c r="J14" s="14">
        <f>IF($I14="","",DATE(YEAR(EOMONTH($I14,0)+1),MONTH(EOMONTH($I14,0)+1),'Config'!$B$14))</f>
      </c>
      <c r="K14" s="22"/>
      <c r="L14" s="16">
        <f>IF($B14="","",MAX($F14-$K14,0))</f>
      </c>
      <c r="M14" s="19">
        <f>IF($B14="","",IF($H14&lt;&gt;"Sí","Pagado (contado)",IF($L14&lt;=0,"Pagado",IF($K14&gt;0,"Abono parcial","Pendiente"))))</f>
      </c>
      <c r="N14" s="19">
        <f>IF(OR($B14="",$H14&lt;&gt;"Sí",$L14&lt;=0),"",IF(TODAY()&gt;$J14,"🔴 VENCIDO hace "&amp;(TODAY()-$J14)&amp;" día(s)",IF($J14-TODAY()&lt;='Config'!$B$15,"🟠 Faltan "&amp;($J14-TODAY())&amp;" día(s) para pagar","🟢 Al día (paga el "&amp;TEXT($J14,"dd/mm")&amp;")")))</f>
      </c>
      <c r="O14" s="23"/>
      <c r="P14" s="17">
        <f>IF(OR($B14="",$O14=""),"",$O14-$A14)</f>
      </c>
    </row>
    <row r="15">
      <c r="A15" s="23"/>
      <c r="B15" s="20"/>
      <c r="C15" s="19">
        <f>IF($B15="","",IFERROR(VLOOKUP($B15,'Catálogo'!$A:$B,2,FALSE),"⚠ Código no existe"))</f>
      </c>
      <c r="D15" s="21"/>
      <c r="E15" s="22"/>
      <c r="F15" s="16">
        <f>IF($B15="","",$D15*$E15)</f>
      </c>
      <c r="G15" s="20"/>
      <c r="H15" s="20"/>
      <c r="I15" s="14">
        <f>IF(OR($B15="",$H15&lt;&gt;"Sí"),"",IF(DAY($A15)&lt;='Config'!$B$13,DATE(YEAR($A15),MONTH($A15),'Config'!$B$13),EOMONTH($A15,0)+'Config'!$B$13))</f>
      </c>
      <c r="J15" s="14">
        <f>IF($I15="","",DATE(YEAR(EOMONTH($I15,0)+1),MONTH(EOMONTH($I15,0)+1),'Config'!$B$14))</f>
      </c>
      <c r="K15" s="22"/>
      <c r="L15" s="16">
        <f>IF($B15="","",MAX($F15-$K15,0))</f>
      </c>
      <c r="M15" s="19">
        <f>IF($B15="","",IF($H15&lt;&gt;"Sí","Pagado (contado)",IF($L15&lt;=0,"Pagado",IF($K15&gt;0,"Abono parcial","Pendiente"))))</f>
      </c>
      <c r="N15" s="19">
        <f>IF(OR($B15="",$H15&lt;&gt;"Sí",$L15&lt;=0),"",IF(TODAY()&gt;$J15,"🔴 VENCIDO hace "&amp;(TODAY()-$J15)&amp;" día(s)",IF($J15-TODAY()&lt;='Config'!$B$15,"🟠 Faltan "&amp;($J15-TODAY())&amp;" día(s) para pagar","🟢 Al día (paga el "&amp;TEXT($J15,"dd/mm")&amp;")")))</f>
      </c>
      <c r="O15" s="23"/>
      <c r="P15" s="17">
        <f>IF(OR($B15="",$O15=""),"",$O15-$A15)</f>
      </c>
    </row>
    <row r="16">
      <c r="A16" s="23"/>
      <c r="B16" s="20"/>
      <c r="C16" s="19">
        <f>IF($B16="","",IFERROR(VLOOKUP($B16,'Catálogo'!$A:$B,2,FALSE),"⚠ Código no existe"))</f>
      </c>
      <c r="D16" s="21"/>
      <c r="E16" s="22"/>
      <c r="F16" s="16">
        <f>IF($B16="","",$D16*$E16)</f>
      </c>
      <c r="G16" s="20"/>
      <c r="H16" s="20"/>
      <c r="I16" s="14">
        <f>IF(OR($B16="",$H16&lt;&gt;"Sí"),"",IF(DAY($A16)&lt;='Config'!$B$13,DATE(YEAR($A16),MONTH($A16),'Config'!$B$13),EOMONTH($A16,0)+'Config'!$B$13))</f>
      </c>
      <c r="J16" s="14">
        <f>IF($I16="","",DATE(YEAR(EOMONTH($I16,0)+1),MONTH(EOMONTH($I16,0)+1),'Config'!$B$14))</f>
      </c>
      <c r="K16" s="22"/>
      <c r="L16" s="16">
        <f>IF($B16="","",MAX($F16-$K16,0))</f>
      </c>
      <c r="M16" s="19">
        <f>IF($B16="","",IF($H16&lt;&gt;"Sí","Pagado (contado)",IF($L16&lt;=0,"Pagado",IF($K16&gt;0,"Abono parcial","Pendiente"))))</f>
      </c>
      <c r="N16" s="19">
        <f>IF(OR($B16="",$H16&lt;&gt;"Sí",$L16&lt;=0),"",IF(TODAY()&gt;$J16,"🔴 VENCIDO hace "&amp;(TODAY()-$J16)&amp;" día(s)",IF($J16-TODAY()&lt;='Config'!$B$15,"🟠 Faltan "&amp;($J16-TODAY())&amp;" día(s) para pagar","🟢 Al día (paga el "&amp;TEXT($J16,"dd/mm")&amp;")")))</f>
      </c>
      <c r="O16" s="23"/>
      <c r="P16" s="17">
        <f>IF(OR($B16="",$O16=""),"",$O16-$A16)</f>
      </c>
    </row>
    <row r="17">
      <c r="A17" s="23"/>
      <c r="B17" s="20"/>
      <c r="C17" s="19">
        <f>IF($B17="","",IFERROR(VLOOKUP($B17,'Catálogo'!$A:$B,2,FALSE),"⚠ Código no existe"))</f>
      </c>
      <c r="D17" s="21"/>
      <c r="E17" s="22"/>
      <c r="F17" s="16">
        <f>IF($B17="","",$D17*$E17)</f>
      </c>
      <c r="G17" s="20"/>
      <c r="H17" s="20"/>
      <c r="I17" s="14">
        <f>IF(OR($B17="",$H17&lt;&gt;"Sí"),"",IF(DAY($A17)&lt;='Config'!$B$13,DATE(YEAR($A17),MONTH($A17),'Config'!$B$13),EOMONTH($A17,0)+'Config'!$B$13))</f>
      </c>
      <c r="J17" s="14">
        <f>IF($I17="","",DATE(YEAR(EOMONTH($I17,0)+1),MONTH(EOMONTH($I17,0)+1),'Config'!$B$14))</f>
      </c>
      <c r="K17" s="22"/>
      <c r="L17" s="16">
        <f>IF($B17="","",MAX($F17-$K17,0))</f>
      </c>
      <c r="M17" s="19">
        <f>IF($B17="","",IF($H17&lt;&gt;"Sí","Pagado (contado)",IF($L17&lt;=0,"Pagado",IF($K17&gt;0,"Abono parcial","Pendiente"))))</f>
      </c>
      <c r="N17" s="19">
        <f>IF(OR($B17="",$H17&lt;&gt;"Sí",$L17&lt;=0),"",IF(TODAY()&gt;$J17,"🔴 VENCIDO hace "&amp;(TODAY()-$J17)&amp;" día(s)",IF($J17-TODAY()&lt;='Config'!$B$15,"🟠 Faltan "&amp;($J17-TODAY())&amp;" día(s) para pagar","🟢 Al día (paga el "&amp;TEXT($J17,"dd/mm")&amp;")")))</f>
      </c>
      <c r="O17" s="23"/>
      <c r="P17" s="17">
        <f>IF(OR($B17="",$O17=""),"",$O17-$A17)</f>
      </c>
    </row>
    <row r="18">
      <c r="A18" s="23"/>
      <c r="B18" s="20"/>
      <c r="C18" s="19">
        <f>IF($B18="","",IFERROR(VLOOKUP($B18,'Catálogo'!$A:$B,2,FALSE),"⚠ Código no existe"))</f>
      </c>
      <c r="D18" s="21"/>
      <c r="E18" s="22"/>
      <c r="F18" s="16">
        <f>IF($B18="","",$D18*$E18)</f>
      </c>
      <c r="G18" s="20"/>
      <c r="H18" s="20"/>
      <c r="I18" s="14">
        <f>IF(OR($B18="",$H18&lt;&gt;"Sí"),"",IF(DAY($A18)&lt;='Config'!$B$13,DATE(YEAR($A18),MONTH($A18),'Config'!$B$13),EOMONTH($A18,0)+'Config'!$B$13))</f>
      </c>
      <c r="J18" s="14">
        <f>IF($I18="","",DATE(YEAR(EOMONTH($I18,0)+1),MONTH(EOMONTH($I18,0)+1),'Config'!$B$14))</f>
      </c>
      <c r="K18" s="22"/>
      <c r="L18" s="16">
        <f>IF($B18="","",MAX($F18-$K18,0))</f>
      </c>
      <c r="M18" s="19">
        <f>IF($B18="","",IF($H18&lt;&gt;"Sí","Pagado (contado)",IF($L18&lt;=0,"Pagado",IF($K18&gt;0,"Abono parcial","Pendiente"))))</f>
      </c>
      <c r="N18" s="19">
        <f>IF(OR($B18="",$H18&lt;&gt;"Sí",$L18&lt;=0),"",IF(TODAY()&gt;$J18,"🔴 VENCIDO hace "&amp;(TODAY()-$J18)&amp;" día(s)",IF($J18-TODAY()&lt;='Config'!$B$15,"🟠 Faltan "&amp;($J18-TODAY())&amp;" día(s) para pagar","🟢 Al día (paga el "&amp;TEXT($J18,"dd/mm")&amp;")")))</f>
      </c>
      <c r="O18" s="23"/>
      <c r="P18" s="17">
        <f>IF(OR($B18="",$O18=""),"",$O18-$A18)</f>
      </c>
    </row>
    <row r="19">
      <c r="A19" s="23"/>
      <c r="B19" s="20"/>
      <c r="C19" s="19">
        <f>IF($B19="","",IFERROR(VLOOKUP($B19,'Catálogo'!$A:$B,2,FALSE),"⚠ Código no existe"))</f>
      </c>
      <c r="D19" s="21"/>
      <c r="E19" s="22"/>
      <c r="F19" s="16">
        <f>IF($B19="","",$D19*$E19)</f>
      </c>
      <c r="G19" s="20"/>
      <c r="H19" s="20"/>
      <c r="I19" s="14">
        <f>IF(OR($B19="",$H19&lt;&gt;"Sí"),"",IF(DAY($A19)&lt;='Config'!$B$13,DATE(YEAR($A19),MONTH($A19),'Config'!$B$13),EOMONTH($A19,0)+'Config'!$B$13))</f>
      </c>
      <c r="J19" s="14">
        <f>IF($I19="","",DATE(YEAR(EOMONTH($I19,0)+1),MONTH(EOMONTH($I19,0)+1),'Config'!$B$14))</f>
      </c>
      <c r="K19" s="22"/>
      <c r="L19" s="16">
        <f>IF($B19="","",MAX($F19-$K19,0))</f>
      </c>
      <c r="M19" s="19">
        <f>IF($B19="","",IF($H19&lt;&gt;"Sí","Pagado (contado)",IF($L19&lt;=0,"Pagado",IF($K19&gt;0,"Abono parcial","Pendiente"))))</f>
      </c>
      <c r="N19" s="19">
        <f>IF(OR($B19="",$H19&lt;&gt;"Sí",$L19&lt;=0),"",IF(TODAY()&gt;$J19,"🔴 VENCIDO hace "&amp;(TODAY()-$J19)&amp;" día(s)",IF($J19-TODAY()&lt;='Config'!$B$15,"🟠 Faltan "&amp;($J19-TODAY())&amp;" día(s) para pagar","🟢 Al día (paga el "&amp;TEXT($J19,"dd/mm")&amp;")")))</f>
      </c>
      <c r="O19" s="23"/>
      <c r="P19" s="17">
        <f>IF(OR($B19="",$O19=""),"",$O19-$A19)</f>
      </c>
    </row>
    <row r="20">
      <c r="A20" s="23"/>
      <c r="B20" s="20"/>
      <c r="C20" s="19">
        <f>IF($B20="","",IFERROR(VLOOKUP($B20,'Catálogo'!$A:$B,2,FALSE),"⚠ Código no existe"))</f>
      </c>
      <c r="D20" s="21"/>
      <c r="E20" s="22"/>
      <c r="F20" s="16">
        <f>IF($B20="","",$D20*$E20)</f>
      </c>
      <c r="G20" s="20"/>
      <c r="H20" s="20"/>
      <c r="I20" s="14">
        <f>IF(OR($B20="",$H20&lt;&gt;"Sí"),"",IF(DAY($A20)&lt;='Config'!$B$13,DATE(YEAR($A20),MONTH($A20),'Config'!$B$13),EOMONTH($A20,0)+'Config'!$B$13))</f>
      </c>
      <c r="J20" s="14">
        <f>IF($I20="","",DATE(YEAR(EOMONTH($I20,0)+1),MONTH(EOMONTH($I20,0)+1),'Config'!$B$14))</f>
      </c>
      <c r="K20" s="22"/>
      <c r="L20" s="16">
        <f>IF($B20="","",MAX($F20-$K20,0))</f>
      </c>
      <c r="M20" s="19">
        <f>IF($B20="","",IF($H20&lt;&gt;"Sí","Pagado (contado)",IF($L20&lt;=0,"Pagado",IF($K20&gt;0,"Abono parcial","Pendiente"))))</f>
      </c>
      <c r="N20" s="19">
        <f>IF(OR($B20="",$H20&lt;&gt;"Sí",$L20&lt;=0),"",IF(TODAY()&gt;$J20,"🔴 VENCIDO hace "&amp;(TODAY()-$J20)&amp;" día(s)",IF($J20-TODAY()&lt;='Config'!$B$15,"🟠 Faltan "&amp;($J20-TODAY())&amp;" día(s) para pagar","🟢 Al día (paga el "&amp;TEXT($J20,"dd/mm")&amp;")")))</f>
      </c>
      <c r="O20" s="23"/>
      <c r="P20" s="17">
        <f>IF(OR($B20="",$O20=""),"",$O20-$A20)</f>
      </c>
    </row>
    <row r="21">
      <c r="A21" s="23"/>
      <c r="B21" s="20"/>
      <c r="C21" s="19">
        <f>IF($B21="","",IFERROR(VLOOKUP($B21,'Catálogo'!$A:$B,2,FALSE),"⚠ Código no existe"))</f>
      </c>
      <c r="D21" s="21"/>
      <c r="E21" s="22"/>
      <c r="F21" s="16">
        <f>IF($B21="","",$D21*$E21)</f>
      </c>
      <c r="G21" s="20"/>
      <c r="H21" s="20"/>
      <c r="I21" s="14">
        <f>IF(OR($B21="",$H21&lt;&gt;"Sí"),"",IF(DAY($A21)&lt;='Config'!$B$13,DATE(YEAR($A21),MONTH($A21),'Config'!$B$13),EOMONTH($A21,0)+'Config'!$B$13))</f>
      </c>
      <c r="J21" s="14">
        <f>IF($I21="","",DATE(YEAR(EOMONTH($I21,0)+1),MONTH(EOMONTH($I21,0)+1),'Config'!$B$14))</f>
      </c>
      <c r="K21" s="22"/>
      <c r="L21" s="16">
        <f>IF($B21="","",MAX($F21-$K21,0))</f>
      </c>
      <c r="M21" s="19">
        <f>IF($B21="","",IF($H21&lt;&gt;"Sí","Pagado (contado)",IF($L21&lt;=0,"Pagado",IF($K21&gt;0,"Abono parcial","Pendiente"))))</f>
      </c>
      <c r="N21" s="19">
        <f>IF(OR($B21="",$H21&lt;&gt;"Sí",$L21&lt;=0),"",IF(TODAY()&gt;$J21,"🔴 VENCIDO hace "&amp;(TODAY()-$J21)&amp;" día(s)",IF($J21-TODAY()&lt;='Config'!$B$15,"🟠 Faltan "&amp;($J21-TODAY())&amp;" día(s) para pagar","🟢 Al día (paga el "&amp;TEXT($J21,"dd/mm")&amp;")")))</f>
      </c>
      <c r="O21" s="23"/>
      <c r="P21" s="17">
        <f>IF(OR($B21="",$O21=""),"",$O21-$A21)</f>
      </c>
    </row>
    <row r="22">
      <c r="A22" s="23"/>
      <c r="B22" s="20"/>
      <c r="C22" s="19">
        <f>IF($B22="","",IFERROR(VLOOKUP($B22,'Catálogo'!$A:$B,2,FALSE),"⚠ Código no existe"))</f>
      </c>
      <c r="D22" s="21"/>
      <c r="E22" s="22"/>
      <c r="F22" s="16">
        <f>IF($B22="","",$D22*$E22)</f>
      </c>
      <c r="G22" s="20"/>
      <c r="H22" s="20"/>
      <c r="I22" s="14">
        <f>IF(OR($B22="",$H22&lt;&gt;"Sí"),"",IF(DAY($A22)&lt;='Config'!$B$13,DATE(YEAR($A22),MONTH($A22),'Config'!$B$13),EOMONTH($A22,0)+'Config'!$B$13))</f>
      </c>
      <c r="J22" s="14">
        <f>IF($I22="","",DATE(YEAR(EOMONTH($I22,0)+1),MONTH(EOMONTH($I22,0)+1),'Config'!$B$14))</f>
      </c>
      <c r="K22" s="22"/>
      <c r="L22" s="16">
        <f>IF($B22="","",MAX($F22-$K22,0))</f>
      </c>
      <c r="M22" s="19">
        <f>IF($B22="","",IF($H22&lt;&gt;"Sí","Pagado (contado)",IF($L22&lt;=0,"Pagado",IF($K22&gt;0,"Abono parcial","Pendiente"))))</f>
      </c>
      <c r="N22" s="19">
        <f>IF(OR($B22="",$H22&lt;&gt;"Sí",$L22&lt;=0),"",IF(TODAY()&gt;$J22,"🔴 VENCIDO hace "&amp;(TODAY()-$J22)&amp;" día(s)",IF($J22-TODAY()&lt;='Config'!$B$15,"🟠 Faltan "&amp;($J22-TODAY())&amp;" día(s) para pagar","🟢 Al día (paga el "&amp;TEXT($J22,"dd/mm")&amp;")")))</f>
      </c>
      <c r="O22" s="23"/>
      <c r="P22" s="17">
        <f>IF(OR($B22="",$O22=""),"",$O22-$A22)</f>
      </c>
    </row>
    <row r="23">
      <c r="A23" s="23"/>
      <c r="B23" s="20"/>
      <c r="C23" s="19">
        <f>IF($B23="","",IFERROR(VLOOKUP($B23,'Catálogo'!$A:$B,2,FALSE),"⚠ Código no existe"))</f>
      </c>
      <c r="D23" s="21"/>
      <c r="E23" s="22"/>
      <c r="F23" s="16">
        <f>IF($B23="","",$D23*$E23)</f>
      </c>
      <c r="G23" s="20"/>
      <c r="H23" s="20"/>
      <c r="I23" s="14">
        <f>IF(OR($B23="",$H23&lt;&gt;"Sí"),"",IF(DAY($A23)&lt;='Config'!$B$13,DATE(YEAR($A23),MONTH($A23),'Config'!$B$13),EOMONTH($A23,0)+'Config'!$B$13))</f>
      </c>
      <c r="J23" s="14">
        <f>IF($I23="","",DATE(YEAR(EOMONTH($I23,0)+1),MONTH(EOMONTH($I23,0)+1),'Config'!$B$14))</f>
      </c>
      <c r="K23" s="22"/>
      <c r="L23" s="16">
        <f>IF($B23="","",MAX($F23-$K23,0))</f>
      </c>
      <c r="M23" s="19">
        <f>IF($B23="","",IF($H23&lt;&gt;"Sí","Pagado (contado)",IF($L23&lt;=0,"Pagado",IF($K23&gt;0,"Abono parcial","Pendiente"))))</f>
      </c>
      <c r="N23" s="19">
        <f>IF(OR($B23="",$H23&lt;&gt;"Sí",$L23&lt;=0),"",IF(TODAY()&gt;$J23,"🔴 VENCIDO hace "&amp;(TODAY()-$J23)&amp;" día(s)",IF($J23-TODAY()&lt;='Config'!$B$15,"🟠 Faltan "&amp;($J23-TODAY())&amp;" día(s) para pagar","🟢 Al día (paga el "&amp;TEXT($J23,"dd/mm")&amp;")")))</f>
      </c>
      <c r="O23" s="23"/>
      <c r="P23" s="17">
        <f>IF(OR($B23="",$O23=""),"",$O23-$A23)</f>
      </c>
    </row>
    <row r="24">
      <c r="A24" s="23"/>
      <c r="B24" s="20"/>
      <c r="C24" s="19">
        <f>IF($B24="","",IFERROR(VLOOKUP($B24,'Catálogo'!$A:$B,2,FALSE),"⚠ Código no existe"))</f>
      </c>
      <c r="D24" s="21"/>
      <c r="E24" s="22"/>
      <c r="F24" s="16">
        <f>IF($B24="","",$D24*$E24)</f>
      </c>
      <c r="G24" s="20"/>
      <c r="H24" s="20"/>
      <c r="I24" s="14">
        <f>IF(OR($B24="",$H24&lt;&gt;"Sí"),"",IF(DAY($A24)&lt;='Config'!$B$13,DATE(YEAR($A24),MONTH($A24),'Config'!$B$13),EOMONTH($A24,0)+'Config'!$B$13))</f>
      </c>
      <c r="J24" s="14">
        <f>IF($I24="","",DATE(YEAR(EOMONTH($I24,0)+1),MONTH(EOMONTH($I24,0)+1),'Config'!$B$14))</f>
      </c>
      <c r="K24" s="22"/>
      <c r="L24" s="16">
        <f>IF($B24="","",MAX($F24-$K24,0))</f>
      </c>
      <c r="M24" s="19">
        <f>IF($B24="","",IF($H24&lt;&gt;"Sí","Pagado (contado)",IF($L24&lt;=0,"Pagado",IF($K24&gt;0,"Abono parcial","Pendiente"))))</f>
      </c>
      <c r="N24" s="19">
        <f>IF(OR($B24="",$H24&lt;&gt;"Sí",$L24&lt;=0),"",IF(TODAY()&gt;$J24,"🔴 VENCIDO hace "&amp;(TODAY()-$J24)&amp;" día(s)",IF($J24-TODAY()&lt;='Config'!$B$15,"🟠 Faltan "&amp;($J24-TODAY())&amp;" día(s) para pagar","🟢 Al día (paga el "&amp;TEXT($J24,"dd/mm")&amp;")")))</f>
      </c>
      <c r="O24" s="23"/>
      <c r="P24" s="17">
        <f>IF(OR($B24="",$O24=""),"",$O24-$A24)</f>
      </c>
    </row>
    <row r="25">
      <c r="A25" s="23"/>
      <c r="B25" s="20"/>
      <c r="C25" s="19">
        <f>IF($B25="","",IFERROR(VLOOKUP($B25,'Catálogo'!$A:$B,2,FALSE),"⚠ Código no existe"))</f>
      </c>
      <c r="D25" s="21"/>
      <c r="E25" s="22"/>
      <c r="F25" s="16">
        <f>IF($B25="","",$D25*$E25)</f>
      </c>
      <c r="G25" s="20"/>
      <c r="H25" s="20"/>
      <c r="I25" s="14">
        <f>IF(OR($B25="",$H25&lt;&gt;"Sí"),"",IF(DAY($A25)&lt;='Config'!$B$13,DATE(YEAR($A25),MONTH($A25),'Config'!$B$13),EOMONTH($A25,0)+'Config'!$B$13))</f>
      </c>
      <c r="J25" s="14">
        <f>IF($I25="","",DATE(YEAR(EOMONTH($I25,0)+1),MONTH(EOMONTH($I25,0)+1),'Config'!$B$14))</f>
      </c>
      <c r="K25" s="22"/>
      <c r="L25" s="16">
        <f>IF($B25="","",MAX($F25-$K25,0))</f>
      </c>
      <c r="M25" s="19">
        <f>IF($B25="","",IF($H25&lt;&gt;"Sí","Pagado (contado)",IF($L25&lt;=0,"Pagado",IF($K25&gt;0,"Abono parcial","Pendiente"))))</f>
      </c>
      <c r="N25" s="19">
        <f>IF(OR($B25="",$H25&lt;&gt;"Sí",$L25&lt;=0),"",IF(TODAY()&gt;$J25,"🔴 VENCIDO hace "&amp;(TODAY()-$J25)&amp;" día(s)",IF($J25-TODAY()&lt;='Config'!$B$15,"🟠 Faltan "&amp;($J25-TODAY())&amp;" día(s) para pagar","🟢 Al día (paga el "&amp;TEXT($J25,"dd/mm")&amp;")")))</f>
      </c>
      <c r="O25" s="23"/>
      <c r="P25" s="17">
        <f>IF(OR($B25="",$O25=""),"",$O25-$A25)</f>
      </c>
    </row>
    <row r="26">
      <c r="A26" s="23"/>
      <c r="B26" s="20"/>
      <c r="C26" s="19">
        <f>IF($B26="","",IFERROR(VLOOKUP($B26,'Catálogo'!$A:$B,2,FALSE),"⚠ Código no existe"))</f>
      </c>
      <c r="D26" s="21"/>
      <c r="E26" s="22"/>
      <c r="F26" s="16">
        <f>IF($B26="","",$D26*$E26)</f>
      </c>
      <c r="G26" s="20"/>
      <c r="H26" s="20"/>
      <c r="I26" s="14">
        <f>IF(OR($B26="",$H26&lt;&gt;"Sí"),"",IF(DAY($A26)&lt;='Config'!$B$13,DATE(YEAR($A26),MONTH($A26),'Config'!$B$13),EOMONTH($A26,0)+'Config'!$B$13))</f>
      </c>
      <c r="J26" s="14">
        <f>IF($I26="","",DATE(YEAR(EOMONTH($I26,0)+1),MONTH(EOMONTH($I26,0)+1),'Config'!$B$14))</f>
      </c>
      <c r="K26" s="22"/>
      <c r="L26" s="16">
        <f>IF($B26="","",MAX($F26-$K26,0))</f>
      </c>
      <c r="M26" s="19">
        <f>IF($B26="","",IF($H26&lt;&gt;"Sí","Pagado (contado)",IF($L26&lt;=0,"Pagado",IF($K26&gt;0,"Abono parcial","Pendiente"))))</f>
      </c>
      <c r="N26" s="19">
        <f>IF(OR($B26="",$H26&lt;&gt;"Sí",$L26&lt;=0),"",IF(TODAY()&gt;$J26,"🔴 VENCIDO hace "&amp;(TODAY()-$J26)&amp;" día(s)",IF($J26-TODAY()&lt;='Config'!$B$15,"🟠 Faltan "&amp;($J26-TODAY())&amp;" día(s) para pagar","🟢 Al día (paga el "&amp;TEXT($J26,"dd/mm")&amp;")")))</f>
      </c>
      <c r="O26" s="23"/>
      <c r="P26" s="17">
        <f>IF(OR($B26="",$O26=""),"",$O26-$A26)</f>
      </c>
    </row>
    <row r="27">
      <c r="A27" s="23"/>
      <c r="B27" s="20"/>
      <c r="C27" s="19">
        <f>IF($B27="","",IFERROR(VLOOKUP($B27,'Catálogo'!$A:$B,2,FALSE),"⚠ Código no existe"))</f>
      </c>
      <c r="D27" s="21"/>
      <c r="E27" s="22"/>
      <c r="F27" s="16">
        <f>IF($B27="","",$D27*$E27)</f>
      </c>
      <c r="G27" s="20"/>
      <c r="H27" s="20"/>
      <c r="I27" s="14">
        <f>IF(OR($B27="",$H27&lt;&gt;"Sí"),"",IF(DAY($A27)&lt;='Config'!$B$13,DATE(YEAR($A27),MONTH($A27),'Config'!$B$13),EOMONTH($A27,0)+'Config'!$B$13))</f>
      </c>
      <c r="J27" s="14">
        <f>IF($I27="","",DATE(YEAR(EOMONTH($I27,0)+1),MONTH(EOMONTH($I27,0)+1),'Config'!$B$14))</f>
      </c>
      <c r="K27" s="22"/>
      <c r="L27" s="16">
        <f>IF($B27="","",MAX($F27-$K27,0))</f>
      </c>
      <c r="M27" s="19">
        <f>IF($B27="","",IF($H27&lt;&gt;"Sí","Pagado (contado)",IF($L27&lt;=0,"Pagado",IF($K27&gt;0,"Abono parcial","Pendiente"))))</f>
      </c>
      <c r="N27" s="19">
        <f>IF(OR($B27="",$H27&lt;&gt;"Sí",$L27&lt;=0),"",IF(TODAY()&gt;$J27,"🔴 VENCIDO hace "&amp;(TODAY()-$J27)&amp;" día(s)",IF($J27-TODAY()&lt;='Config'!$B$15,"🟠 Faltan "&amp;($J27-TODAY())&amp;" día(s) para pagar","🟢 Al día (paga el "&amp;TEXT($J27,"dd/mm")&amp;")")))</f>
      </c>
      <c r="O27" s="23"/>
      <c r="P27" s="17">
        <f>IF(OR($B27="",$O27=""),"",$O27-$A27)</f>
      </c>
    </row>
    <row r="28">
      <c r="A28" s="23"/>
      <c r="B28" s="20"/>
      <c r="C28" s="19">
        <f>IF($B28="","",IFERROR(VLOOKUP($B28,'Catálogo'!$A:$B,2,FALSE),"⚠ Código no existe"))</f>
      </c>
      <c r="D28" s="21"/>
      <c r="E28" s="22"/>
      <c r="F28" s="16">
        <f>IF($B28="","",$D28*$E28)</f>
      </c>
      <c r="G28" s="20"/>
      <c r="H28" s="20"/>
      <c r="I28" s="14">
        <f>IF(OR($B28="",$H28&lt;&gt;"Sí"),"",IF(DAY($A28)&lt;='Config'!$B$13,DATE(YEAR($A28),MONTH($A28),'Config'!$B$13),EOMONTH($A28,0)+'Config'!$B$13))</f>
      </c>
      <c r="J28" s="14">
        <f>IF($I28="","",DATE(YEAR(EOMONTH($I28,0)+1),MONTH(EOMONTH($I28,0)+1),'Config'!$B$14))</f>
      </c>
      <c r="K28" s="22"/>
      <c r="L28" s="16">
        <f>IF($B28="","",MAX($F28-$K28,0))</f>
      </c>
      <c r="M28" s="19">
        <f>IF($B28="","",IF($H28&lt;&gt;"Sí","Pagado (contado)",IF($L28&lt;=0,"Pagado",IF($K28&gt;0,"Abono parcial","Pendiente"))))</f>
      </c>
      <c r="N28" s="19">
        <f>IF(OR($B28="",$H28&lt;&gt;"Sí",$L28&lt;=0),"",IF(TODAY()&gt;$J28,"🔴 VENCIDO hace "&amp;(TODAY()-$J28)&amp;" día(s)",IF($J28-TODAY()&lt;='Config'!$B$15,"🟠 Faltan "&amp;($J28-TODAY())&amp;" día(s) para pagar","🟢 Al día (paga el "&amp;TEXT($J28,"dd/mm")&amp;")")))</f>
      </c>
      <c r="O28" s="23"/>
      <c r="P28" s="17">
        <f>IF(OR($B28="",$O28=""),"",$O28-$A28)</f>
      </c>
    </row>
    <row r="29">
      <c r="A29" s="23"/>
      <c r="B29" s="20"/>
      <c r="C29" s="19">
        <f>IF($B29="","",IFERROR(VLOOKUP($B29,'Catálogo'!$A:$B,2,FALSE),"⚠ Código no existe"))</f>
      </c>
      <c r="D29" s="21"/>
      <c r="E29" s="22"/>
      <c r="F29" s="16">
        <f>IF($B29="","",$D29*$E29)</f>
      </c>
      <c r="G29" s="20"/>
      <c r="H29" s="20"/>
      <c r="I29" s="14">
        <f>IF(OR($B29="",$H29&lt;&gt;"Sí"),"",IF(DAY($A29)&lt;='Config'!$B$13,DATE(YEAR($A29),MONTH($A29),'Config'!$B$13),EOMONTH($A29,0)+'Config'!$B$13))</f>
      </c>
      <c r="J29" s="14">
        <f>IF($I29="","",DATE(YEAR(EOMONTH($I29,0)+1),MONTH(EOMONTH($I29,0)+1),'Config'!$B$14))</f>
      </c>
      <c r="K29" s="22"/>
      <c r="L29" s="16">
        <f>IF($B29="","",MAX($F29-$K29,0))</f>
      </c>
      <c r="M29" s="19">
        <f>IF($B29="","",IF($H29&lt;&gt;"Sí","Pagado (contado)",IF($L29&lt;=0,"Pagado",IF($K29&gt;0,"Abono parcial","Pendiente"))))</f>
      </c>
      <c r="N29" s="19">
        <f>IF(OR($B29="",$H29&lt;&gt;"Sí",$L29&lt;=0),"",IF(TODAY()&gt;$J29,"🔴 VENCIDO hace "&amp;(TODAY()-$J29)&amp;" día(s)",IF($J29-TODAY()&lt;='Config'!$B$15,"🟠 Faltan "&amp;($J29-TODAY())&amp;" día(s) para pagar","🟢 Al día (paga el "&amp;TEXT($J29,"dd/mm")&amp;")")))</f>
      </c>
      <c r="O29" s="23"/>
      <c r="P29" s="17">
        <f>IF(OR($B29="",$O29=""),"",$O29-$A29)</f>
      </c>
    </row>
    <row r="30">
      <c r="A30" s="23"/>
      <c r="B30" s="20"/>
      <c r="C30" s="19">
        <f>IF($B30="","",IFERROR(VLOOKUP($B30,'Catálogo'!$A:$B,2,FALSE),"⚠ Código no existe"))</f>
      </c>
      <c r="D30" s="21"/>
      <c r="E30" s="22"/>
      <c r="F30" s="16">
        <f>IF($B30="","",$D30*$E30)</f>
      </c>
      <c r="G30" s="20"/>
      <c r="H30" s="20"/>
      <c r="I30" s="14">
        <f>IF(OR($B30="",$H30&lt;&gt;"Sí"),"",IF(DAY($A30)&lt;='Config'!$B$13,DATE(YEAR($A30),MONTH($A30),'Config'!$B$13),EOMONTH($A30,0)+'Config'!$B$13))</f>
      </c>
      <c r="J30" s="14">
        <f>IF($I30="","",DATE(YEAR(EOMONTH($I30,0)+1),MONTH(EOMONTH($I30,0)+1),'Config'!$B$14))</f>
      </c>
      <c r="K30" s="22"/>
      <c r="L30" s="16">
        <f>IF($B30="","",MAX($F30-$K30,0))</f>
      </c>
      <c r="M30" s="19">
        <f>IF($B30="","",IF($H30&lt;&gt;"Sí","Pagado (contado)",IF($L30&lt;=0,"Pagado",IF($K30&gt;0,"Abono parcial","Pendiente"))))</f>
      </c>
      <c r="N30" s="19">
        <f>IF(OR($B30="",$H30&lt;&gt;"Sí",$L30&lt;=0),"",IF(TODAY()&gt;$J30,"🔴 VENCIDO hace "&amp;(TODAY()-$J30)&amp;" día(s)",IF($J30-TODAY()&lt;='Config'!$B$15,"🟠 Faltan "&amp;($J30-TODAY())&amp;" día(s) para pagar","🟢 Al día (paga el "&amp;TEXT($J30,"dd/mm")&amp;")")))</f>
      </c>
      <c r="O30" s="23"/>
      <c r="P30" s="17">
        <f>IF(OR($B30="",$O30=""),"",$O30-$A30)</f>
      </c>
    </row>
    <row r="31">
      <c r="A31" s="23"/>
      <c r="B31" s="20"/>
      <c r="C31" s="19">
        <f>IF($B31="","",IFERROR(VLOOKUP($B31,'Catálogo'!$A:$B,2,FALSE),"⚠ Código no existe"))</f>
      </c>
      <c r="D31" s="21"/>
      <c r="E31" s="22"/>
      <c r="F31" s="16">
        <f>IF($B31="","",$D31*$E31)</f>
      </c>
      <c r="G31" s="20"/>
      <c r="H31" s="20"/>
      <c r="I31" s="14">
        <f>IF(OR($B31="",$H31&lt;&gt;"Sí"),"",IF(DAY($A31)&lt;='Config'!$B$13,DATE(YEAR($A31),MONTH($A31),'Config'!$B$13),EOMONTH($A31,0)+'Config'!$B$13))</f>
      </c>
      <c r="J31" s="14">
        <f>IF($I31="","",DATE(YEAR(EOMONTH($I31,0)+1),MONTH(EOMONTH($I31,0)+1),'Config'!$B$14))</f>
      </c>
      <c r="K31" s="22"/>
      <c r="L31" s="16">
        <f>IF($B31="","",MAX($F31-$K31,0))</f>
      </c>
      <c r="M31" s="19">
        <f>IF($B31="","",IF($H31&lt;&gt;"Sí","Pagado (contado)",IF($L31&lt;=0,"Pagado",IF($K31&gt;0,"Abono parcial","Pendiente"))))</f>
      </c>
      <c r="N31" s="19">
        <f>IF(OR($B31="",$H31&lt;&gt;"Sí",$L31&lt;=0),"",IF(TODAY()&gt;$J31,"🔴 VENCIDO hace "&amp;(TODAY()-$J31)&amp;" día(s)",IF($J31-TODAY()&lt;='Config'!$B$15,"🟠 Faltan "&amp;($J31-TODAY())&amp;" día(s) para pagar","🟢 Al día (paga el "&amp;TEXT($J31,"dd/mm")&amp;")")))</f>
      </c>
      <c r="O31" s="23"/>
      <c r="P31" s="17">
        <f>IF(OR($B31="",$O31=""),"",$O31-$A31)</f>
      </c>
    </row>
    <row r="32">
      <c r="A32" s="23"/>
      <c r="B32" s="20"/>
      <c r="C32" s="19">
        <f>IF($B32="","",IFERROR(VLOOKUP($B32,'Catálogo'!$A:$B,2,FALSE),"⚠ Código no existe"))</f>
      </c>
      <c r="D32" s="21"/>
      <c r="E32" s="22"/>
      <c r="F32" s="16">
        <f>IF($B32="","",$D32*$E32)</f>
      </c>
      <c r="G32" s="20"/>
      <c r="H32" s="20"/>
      <c r="I32" s="14">
        <f>IF(OR($B32="",$H32&lt;&gt;"Sí"),"",IF(DAY($A32)&lt;='Config'!$B$13,DATE(YEAR($A32),MONTH($A32),'Config'!$B$13),EOMONTH($A32,0)+'Config'!$B$13))</f>
      </c>
      <c r="J32" s="14">
        <f>IF($I32="","",DATE(YEAR(EOMONTH($I32,0)+1),MONTH(EOMONTH($I32,0)+1),'Config'!$B$14))</f>
      </c>
      <c r="K32" s="22"/>
      <c r="L32" s="16">
        <f>IF($B32="","",MAX($F32-$K32,0))</f>
      </c>
      <c r="M32" s="19">
        <f>IF($B32="","",IF($H32&lt;&gt;"Sí","Pagado (contado)",IF($L32&lt;=0,"Pagado",IF($K32&gt;0,"Abono parcial","Pendiente"))))</f>
      </c>
      <c r="N32" s="19">
        <f>IF(OR($B32="",$H32&lt;&gt;"Sí",$L32&lt;=0),"",IF(TODAY()&gt;$J32,"🔴 VENCIDO hace "&amp;(TODAY()-$J32)&amp;" día(s)",IF($J32-TODAY()&lt;='Config'!$B$15,"🟠 Faltan "&amp;($J32-TODAY())&amp;" día(s) para pagar","🟢 Al día (paga el "&amp;TEXT($J32,"dd/mm")&amp;")")))</f>
      </c>
      <c r="O32" s="23"/>
      <c r="P32" s="17">
        <f>IF(OR($B32="",$O32=""),"",$O32-$A32)</f>
      </c>
    </row>
    <row r="33">
      <c r="A33" s="23"/>
      <c r="B33" s="20"/>
      <c r="C33" s="19">
        <f>IF($B33="","",IFERROR(VLOOKUP($B33,'Catálogo'!$A:$B,2,FALSE),"⚠ Código no existe"))</f>
      </c>
      <c r="D33" s="21"/>
      <c r="E33" s="22"/>
      <c r="F33" s="16">
        <f>IF($B33="","",$D33*$E33)</f>
      </c>
      <c r="G33" s="20"/>
      <c r="H33" s="20"/>
      <c r="I33" s="14">
        <f>IF(OR($B33="",$H33&lt;&gt;"Sí"),"",IF(DAY($A33)&lt;='Config'!$B$13,DATE(YEAR($A33),MONTH($A33),'Config'!$B$13),EOMONTH($A33,0)+'Config'!$B$13))</f>
      </c>
      <c r="J33" s="14">
        <f>IF($I33="","",DATE(YEAR(EOMONTH($I33,0)+1),MONTH(EOMONTH($I33,0)+1),'Config'!$B$14))</f>
      </c>
      <c r="K33" s="22"/>
      <c r="L33" s="16">
        <f>IF($B33="","",MAX($F33-$K33,0))</f>
      </c>
      <c r="M33" s="19">
        <f>IF($B33="","",IF($H33&lt;&gt;"Sí","Pagado (contado)",IF($L33&lt;=0,"Pagado",IF($K33&gt;0,"Abono parcial","Pendiente"))))</f>
      </c>
      <c r="N33" s="19">
        <f>IF(OR($B33="",$H33&lt;&gt;"Sí",$L33&lt;=0),"",IF(TODAY()&gt;$J33,"🔴 VENCIDO hace "&amp;(TODAY()-$J33)&amp;" día(s)",IF($J33-TODAY()&lt;='Config'!$B$15,"🟠 Faltan "&amp;($J33-TODAY())&amp;" día(s) para pagar","🟢 Al día (paga el "&amp;TEXT($J33,"dd/mm")&amp;")")))</f>
      </c>
      <c r="O33" s="23"/>
      <c r="P33" s="17">
        <f>IF(OR($B33="",$O33=""),"",$O33-$A33)</f>
      </c>
    </row>
    <row r="34">
      <c r="A34" s="23"/>
      <c r="B34" s="20"/>
      <c r="C34" s="19">
        <f>IF($B34="","",IFERROR(VLOOKUP($B34,'Catálogo'!$A:$B,2,FALSE),"⚠ Código no existe"))</f>
      </c>
      <c r="D34" s="21"/>
      <c r="E34" s="22"/>
      <c r="F34" s="16">
        <f>IF($B34="","",$D34*$E34)</f>
      </c>
      <c r="G34" s="20"/>
      <c r="H34" s="20"/>
      <c r="I34" s="14">
        <f>IF(OR($B34="",$H34&lt;&gt;"Sí"),"",IF(DAY($A34)&lt;='Config'!$B$13,DATE(YEAR($A34),MONTH($A34),'Config'!$B$13),EOMONTH($A34,0)+'Config'!$B$13))</f>
      </c>
      <c r="J34" s="14">
        <f>IF($I34="","",DATE(YEAR(EOMONTH($I34,0)+1),MONTH(EOMONTH($I34,0)+1),'Config'!$B$14))</f>
      </c>
      <c r="K34" s="22"/>
      <c r="L34" s="16">
        <f>IF($B34="","",MAX($F34-$K34,0))</f>
      </c>
      <c r="M34" s="19">
        <f>IF($B34="","",IF($H34&lt;&gt;"Sí","Pagado (contado)",IF($L34&lt;=0,"Pagado",IF($K34&gt;0,"Abono parcial","Pendiente"))))</f>
      </c>
      <c r="N34" s="19">
        <f>IF(OR($B34="",$H34&lt;&gt;"Sí",$L34&lt;=0),"",IF(TODAY()&gt;$J34,"🔴 VENCIDO hace "&amp;(TODAY()-$J34)&amp;" día(s)",IF($J34-TODAY()&lt;='Config'!$B$15,"🟠 Faltan "&amp;($J34-TODAY())&amp;" día(s) para pagar","🟢 Al día (paga el "&amp;TEXT($J34,"dd/mm")&amp;")")))</f>
      </c>
      <c r="O34" s="23"/>
      <c r="P34" s="17">
        <f>IF(OR($B34="",$O34=""),"",$O34-$A34)</f>
      </c>
    </row>
    <row r="35">
      <c r="A35" s="23"/>
      <c r="B35" s="20"/>
      <c r="C35" s="19">
        <f>IF($B35="","",IFERROR(VLOOKUP($B35,'Catálogo'!$A:$B,2,FALSE),"⚠ Código no existe"))</f>
      </c>
      <c r="D35" s="21"/>
      <c r="E35" s="22"/>
      <c r="F35" s="16">
        <f>IF($B35="","",$D35*$E35)</f>
      </c>
      <c r="G35" s="20"/>
      <c r="H35" s="20"/>
      <c r="I35" s="14">
        <f>IF(OR($B35="",$H35&lt;&gt;"Sí"),"",IF(DAY($A35)&lt;='Config'!$B$13,DATE(YEAR($A35),MONTH($A35),'Config'!$B$13),EOMONTH($A35,0)+'Config'!$B$13))</f>
      </c>
      <c r="J35" s="14">
        <f>IF($I35="","",DATE(YEAR(EOMONTH($I35,0)+1),MONTH(EOMONTH($I35,0)+1),'Config'!$B$14))</f>
      </c>
      <c r="K35" s="22"/>
      <c r="L35" s="16">
        <f>IF($B35="","",MAX($F35-$K35,0))</f>
      </c>
      <c r="M35" s="19">
        <f>IF($B35="","",IF($H35&lt;&gt;"Sí","Pagado (contado)",IF($L35&lt;=0,"Pagado",IF($K35&gt;0,"Abono parcial","Pendiente"))))</f>
      </c>
      <c r="N35" s="19">
        <f>IF(OR($B35="",$H35&lt;&gt;"Sí",$L35&lt;=0),"",IF(TODAY()&gt;$J35,"🔴 VENCIDO hace "&amp;(TODAY()-$J35)&amp;" día(s)",IF($J35-TODAY()&lt;='Config'!$B$15,"🟠 Faltan "&amp;($J35-TODAY())&amp;" día(s) para pagar","🟢 Al día (paga el "&amp;TEXT($J35,"dd/mm")&amp;")")))</f>
      </c>
      <c r="O35" s="23"/>
      <c r="P35" s="17">
        <f>IF(OR($B35="",$O35=""),"",$O35-$A35)</f>
      </c>
    </row>
    <row r="36">
      <c r="A36" s="23"/>
      <c r="B36" s="20"/>
      <c r="C36" s="19">
        <f>IF($B36="","",IFERROR(VLOOKUP($B36,'Catálogo'!$A:$B,2,FALSE),"⚠ Código no existe"))</f>
      </c>
      <c r="D36" s="21"/>
      <c r="E36" s="22"/>
      <c r="F36" s="16">
        <f>IF($B36="","",$D36*$E36)</f>
      </c>
      <c r="G36" s="20"/>
      <c r="H36" s="20"/>
      <c r="I36" s="14">
        <f>IF(OR($B36="",$H36&lt;&gt;"Sí"),"",IF(DAY($A36)&lt;='Config'!$B$13,DATE(YEAR($A36),MONTH($A36),'Config'!$B$13),EOMONTH($A36,0)+'Config'!$B$13))</f>
      </c>
      <c r="J36" s="14">
        <f>IF($I36="","",DATE(YEAR(EOMONTH($I36,0)+1),MONTH(EOMONTH($I36,0)+1),'Config'!$B$14))</f>
      </c>
      <c r="K36" s="22"/>
      <c r="L36" s="16">
        <f>IF($B36="","",MAX($F36-$K36,0))</f>
      </c>
      <c r="M36" s="19">
        <f>IF($B36="","",IF($H36&lt;&gt;"Sí","Pagado (contado)",IF($L36&lt;=0,"Pagado",IF($K36&gt;0,"Abono parcial","Pendiente"))))</f>
      </c>
      <c r="N36" s="19">
        <f>IF(OR($B36="",$H36&lt;&gt;"Sí",$L36&lt;=0),"",IF(TODAY()&gt;$J36,"🔴 VENCIDO hace "&amp;(TODAY()-$J36)&amp;" día(s)",IF($J36-TODAY()&lt;='Config'!$B$15,"🟠 Faltan "&amp;($J36-TODAY())&amp;" día(s) para pagar","🟢 Al día (paga el "&amp;TEXT($J36,"dd/mm")&amp;")")))</f>
      </c>
      <c r="O36" s="23"/>
      <c r="P36" s="17">
        <f>IF(OR($B36="",$O36=""),"",$O36-$A36)</f>
      </c>
    </row>
    <row r="37">
      <c r="A37" s="23"/>
      <c r="B37" s="20"/>
      <c r="C37" s="19">
        <f>IF($B37="","",IFERROR(VLOOKUP($B37,'Catálogo'!$A:$B,2,FALSE),"⚠ Código no existe"))</f>
      </c>
      <c r="D37" s="21"/>
      <c r="E37" s="22"/>
      <c r="F37" s="16">
        <f>IF($B37="","",$D37*$E37)</f>
      </c>
      <c r="G37" s="20"/>
      <c r="H37" s="20"/>
      <c r="I37" s="14">
        <f>IF(OR($B37="",$H37&lt;&gt;"Sí"),"",IF(DAY($A37)&lt;='Config'!$B$13,DATE(YEAR($A37),MONTH($A37),'Config'!$B$13),EOMONTH($A37,0)+'Config'!$B$13))</f>
      </c>
      <c r="J37" s="14">
        <f>IF($I37="","",DATE(YEAR(EOMONTH($I37,0)+1),MONTH(EOMONTH($I37,0)+1),'Config'!$B$14))</f>
      </c>
      <c r="K37" s="22"/>
      <c r="L37" s="16">
        <f>IF($B37="","",MAX($F37-$K37,0))</f>
      </c>
      <c r="M37" s="19">
        <f>IF($B37="","",IF($H37&lt;&gt;"Sí","Pagado (contado)",IF($L37&lt;=0,"Pagado",IF($K37&gt;0,"Abono parcial","Pendiente"))))</f>
      </c>
      <c r="N37" s="19">
        <f>IF(OR($B37="",$H37&lt;&gt;"Sí",$L37&lt;=0),"",IF(TODAY()&gt;$J37,"🔴 VENCIDO hace "&amp;(TODAY()-$J37)&amp;" día(s)",IF($J37-TODAY()&lt;='Config'!$B$15,"🟠 Faltan "&amp;($J37-TODAY())&amp;" día(s) para pagar","🟢 Al día (paga el "&amp;TEXT($J37,"dd/mm")&amp;")")))</f>
      </c>
      <c r="O37" s="23"/>
      <c r="P37" s="17">
        <f>IF(OR($B37="",$O37=""),"",$O37-$A37)</f>
      </c>
    </row>
    <row r="38">
      <c r="A38" s="23"/>
      <c r="B38" s="20"/>
      <c r="C38" s="19">
        <f>IF($B38="","",IFERROR(VLOOKUP($B38,'Catálogo'!$A:$B,2,FALSE),"⚠ Código no existe"))</f>
      </c>
      <c r="D38" s="21"/>
      <c r="E38" s="22"/>
      <c r="F38" s="16">
        <f>IF($B38="","",$D38*$E38)</f>
      </c>
      <c r="G38" s="20"/>
      <c r="H38" s="20"/>
      <c r="I38" s="14">
        <f>IF(OR($B38="",$H38&lt;&gt;"Sí"),"",IF(DAY($A38)&lt;='Config'!$B$13,DATE(YEAR($A38),MONTH($A38),'Config'!$B$13),EOMONTH($A38,0)+'Config'!$B$13))</f>
      </c>
      <c r="J38" s="14">
        <f>IF($I38="","",DATE(YEAR(EOMONTH($I38,0)+1),MONTH(EOMONTH($I38,0)+1),'Config'!$B$14))</f>
      </c>
      <c r="K38" s="22"/>
      <c r="L38" s="16">
        <f>IF($B38="","",MAX($F38-$K38,0))</f>
      </c>
      <c r="M38" s="19">
        <f>IF($B38="","",IF($H38&lt;&gt;"Sí","Pagado (contado)",IF($L38&lt;=0,"Pagado",IF($K38&gt;0,"Abono parcial","Pendiente"))))</f>
      </c>
      <c r="N38" s="19">
        <f>IF(OR($B38="",$H38&lt;&gt;"Sí",$L38&lt;=0),"",IF(TODAY()&gt;$J38,"🔴 VENCIDO hace "&amp;(TODAY()-$J38)&amp;" día(s)",IF($J38-TODAY()&lt;='Config'!$B$15,"🟠 Faltan "&amp;($J38-TODAY())&amp;" día(s) para pagar","🟢 Al día (paga el "&amp;TEXT($J38,"dd/mm")&amp;")")))</f>
      </c>
      <c r="O38" s="23"/>
      <c r="P38" s="17">
        <f>IF(OR($B38="",$O38=""),"",$O38-$A38)</f>
      </c>
    </row>
    <row r="39">
      <c r="A39" s="23"/>
      <c r="B39" s="20"/>
      <c r="C39" s="19">
        <f>IF($B39="","",IFERROR(VLOOKUP($B39,'Catálogo'!$A:$B,2,FALSE),"⚠ Código no existe"))</f>
      </c>
      <c r="D39" s="21"/>
      <c r="E39" s="22"/>
      <c r="F39" s="16">
        <f>IF($B39="","",$D39*$E39)</f>
      </c>
      <c r="G39" s="20"/>
      <c r="H39" s="20"/>
      <c r="I39" s="14">
        <f>IF(OR($B39="",$H39&lt;&gt;"Sí"),"",IF(DAY($A39)&lt;='Config'!$B$13,DATE(YEAR($A39),MONTH($A39),'Config'!$B$13),EOMONTH($A39,0)+'Config'!$B$13))</f>
      </c>
      <c r="J39" s="14">
        <f>IF($I39="","",DATE(YEAR(EOMONTH($I39,0)+1),MONTH(EOMONTH($I39,0)+1),'Config'!$B$14))</f>
      </c>
      <c r="K39" s="22"/>
      <c r="L39" s="16">
        <f>IF($B39="","",MAX($F39-$K39,0))</f>
      </c>
      <c r="M39" s="19">
        <f>IF($B39="","",IF($H39&lt;&gt;"Sí","Pagado (contado)",IF($L39&lt;=0,"Pagado",IF($K39&gt;0,"Abono parcial","Pendiente"))))</f>
      </c>
      <c r="N39" s="19">
        <f>IF(OR($B39="",$H39&lt;&gt;"Sí",$L39&lt;=0),"",IF(TODAY()&gt;$J39,"🔴 VENCIDO hace "&amp;(TODAY()-$J39)&amp;" día(s)",IF($J39-TODAY()&lt;='Config'!$B$15,"🟠 Faltan "&amp;($J39-TODAY())&amp;" día(s) para pagar","🟢 Al día (paga el "&amp;TEXT($J39,"dd/mm")&amp;")")))</f>
      </c>
      <c r="O39" s="23"/>
      <c r="P39" s="17">
        <f>IF(OR($B39="",$O39=""),"",$O39-$A39)</f>
      </c>
    </row>
    <row r="40">
      <c r="A40" s="23"/>
      <c r="B40" s="20"/>
      <c r="C40" s="19">
        <f>IF($B40="","",IFERROR(VLOOKUP($B40,'Catálogo'!$A:$B,2,FALSE),"⚠ Código no existe"))</f>
      </c>
      <c r="D40" s="21"/>
      <c r="E40" s="22"/>
      <c r="F40" s="16">
        <f>IF($B40="","",$D40*$E40)</f>
      </c>
      <c r="G40" s="20"/>
      <c r="H40" s="20"/>
      <c r="I40" s="14">
        <f>IF(OR($B40="",$H40&lt;&gt;"Sí"),"",IF(DAY($A40)&lt;='Config'!$B$13,DATE(YEAR($A40),MONTH($A40),'Config'!$B$13),EOMONTH($A40,0)+'Config'!$B$13))</f>
      </c>
      <c r="J40" s="14">
        <f>IF($I40="","",DATE(YEAR(EOMONTH($I40,0)+1),MONTH(EOMONTH($I40,0)+1),'Config'!$B$14))</f>
      </c>
      <c r="K40" s="22"/>
      <c r="L40" s="16">
        <f>IF($B40="","",MAX($F40-$K40,0))</f>
      </c>
      <c r="M40" s="19">
        <f>IF($B40="","",IF($H40&lt;&gt;"Sí","Pagado (contado)",IF($L40&lt;=0,"Pagado",IF($K40&gt;0,"Abono parcial","Pendiente"))))</f>
      </c>
      <c r="N40" s="19">
        <f>IF(OR($B40="",$H40&lt;&gt;"Sí",$L40&lt;=0),"",IF(TODAY()&gt;$J40,"🔴 VENCIDO hace "&amp;(TODAY()-$J40)&amp;" día(s)",IF($J40-TODAY()&lt;='Config'!$B$15,"🟠 Faltan "&amp;($J40-TODAY())&amp;" día(s) para pagar","🟢 Al día (paga el "&amp;TEXT($J40,"dd/mm")&amp;")")))</f>
      </c>
      <c r="O40" s="23"/>
      <c r="P40" s="17">
        <f>IF(OR($B40="",$O40=""),"",$O40-$A40)</f>
      </c>
    </row>
    <row r="41">
      <c r="A41" s="23"/>
      <c r="B41" s="20"/>
      <c r="C41" s="19">
        <f>IF($B41="","",IFERROR(VLOOKUP($B41,'Catálogo'!$A:$B,2,FALSE),"⚠ Código no existe"))</f>
      </c>
      <c r="D41" s="21"/>
      <c r="E41" s="22"/>
      <c r="F41" s="16">
        <f>IF($B41="","",$D41*$E41)</f>
      </c>
      <c r="G41" s="20"/>
      <c r="H41" s="20"/>
      <c r="I41" s="14">
        <f>IF(OR($B41="",$H41&lt;&gt;"Sí"),"",IF(DAY($A41)&lt;='Config'!$B$13,DATE(YEAR($A41),MONTH($A41),'Config'!$B$13),EOMONTH($A41,0)+'Config'!$B$13))</f>
      </c>
      <c r="J41" s="14">
        <f>IF($I41="","",DATE(YEAR(EOMONTH($I41,0)+1),MONTH(EOMONTH($I41,0)+1),'Config'!$B$14))</f>
      </c>
      <c r="K41" s="22"/>
      <c r="L41" s="16">
        <f>IF($B41="","",MAX($F41-$K41,0))</f>
      </c>
      <c r="M41" s="19">
        <f>IF($B41="","",IF($H41&lt;&gt;"Sí","Pagado (contado)",IF($L41&lt;=0,"Pagado",IF($K41&gt;0,"Abono parcial","Pendiente"))))</f>
      </c>
      <c r="N41" s="19">
        <f>IF(OR($B41="",$H41&lt;&gt;"Sí",$L41&lt;=0),"",IF(TODAY()&gt;$J41,"🔴 VENCIDO hace "&amp;(TODAY()-$J41)&amp;" día(s)",IF($J41-TODAY()&lt;='Config'!$B$15,"🟠 Faltan "&amp;($J41-TODAY())&amp;" día(s) para pagar","🟢 Al día (paga el "&amp;TEXT($J41,"dd/mm")&amp;")")))</f>
      </c>
      <c r="O41" s="23"/>
      <c r="P41" s="17">
        <f>IF(OR($B41="",$O41=""),"",$O41-$A41)</f>
      </c>
    </row>
    <row r="42">
      <c r="A42" s="23"/>
      <c r="B42" s="20"/>
      <c r="C42" s="19">
        <f>IF($B42="","",IFERROR(VLOOKUP($B42,'Catálogo'!$A:$B,2,FALSE),"⚠ Código no existe"))</f>
      </c>
      <c r="D42" s="21"/>
      <c r="E42" s="22"/>
      <c r="F42" s="16">
        <f>IF($B42="","",$D42*$E42)</f>
      </c>
      <c r="G42" s="20"/>
      <c r="H42" s="20"/>
      <c r="I42" s="14">
        <f>IF(OR($B42="",$H42&lt;&gt;"Sí"),"",IF(DAY($A42)&lt;='Config'!$B$13,DATE(YEAR($A42),MONTH($A42),'Config'!$B$13),EOMONTH($A42,0)+'Config'!$B$13))</f>
      </c>
      <c r="J42" s="14">
        <f>IF($I42="","",DATE(YEAR(EOMONTH($I42,0)+1),MONTH(EOMONTH($I42,0)+1),'Config'!$B$14))</f>
      </c>
      <c r="K42" s="22"/>
      <c r="L42" s="16">
        <f>IF($B42="","",MAX($F42-$K42,0))</f>
      </c>
      <c r="M42" s="19">
        <f>IF($B42="","",IF($H42&lt;&gt;"Sí","Pagado (contado)",IF($L42&lt;=0,"Pagado",IF($K42&gt;0,"Abono parcial","Pendiente"))))</f>
      </c>
      <c r="N42" s="19">
        <f>IF(OR($B42="",$H42&lt;&gt;"Sí",$L42&lt;=0),"",IF(TODAY()&gt;$J42,"🔴 VENCIDO hace "&amp;(TODAY()-$J42)&amp;" día(s)",IF($J42-TODAY()&lt;='Config'!$B$15,"🟠 Faltan "&amp;($J42-TODAY())&amp;" día(s) para pagar","🟢 Al día (paga el "&amp;TEXT($J42,"dd/mm")&amp;")")))</f>
      </c>
      <c r="O42" s="23"/>
      <c r="P42" s="17">
        <f>IF(OR($B42="",$O42=""),"",$O42-$A42)</f>
      </c>
    </row>
    <row r="43">
      <c r="A43" s="23"/>
      <c r="B43" s="20"/>
      <c r="C43" s="19">
        <f>IF($B43="","",IFERROR(VLOOKUP($B43,'Catálogo'!$A:$B,2,FALSE),"⚠ Código no existe"))</f>
      </c>
      <c r="D43" s="21"/>
      <c r="E43" s="22"/>
      <c r="F43" s="16">
        <f>IF($B43="","",$D43*$E43)</f>
      </c>
      <c r="G43" s="20"/>
      <c r="H43" s="20"/>
      <c r="I43" s="14">
        <f>IF(OR($B43="",$H43&lt;&gt;"Sí"),"",IF(DAY($A43)&lt;='Config'!$B$13,DATE(YEAR($A43),MONTH($A43),'Config'!$B$13),EOMONTH($A43,0)+'Config'!$B$13))</f>
      </c>
      <c r="J43" s="14">
        <f>IF($I43="","",DATE(YEAR(EOMONTH($I43,0)+1),MONTH(EOMONTH($I43,0)+1),'Config'!$B$14))</f>
      </c>
      <c r="K43" s="22"/>
      <c r="L43" s="16">
        <f>IF($B43="","",MAX($F43-$K43,0))</f>
      </c>
      <c r="M43" s="19">
        <f>IF($B43="","",IF($H43&lt;&gt;"Sí","Pagado (contado)",IF($L43&lt;=0,"Pagado",IF($K43&gt;0,"Abono parcial","Pendiente"))))</f>
      </c>
      <c r="N43" s="19">
        <f>IF(OR($B43="",$H43&lt;&gt;"Sí",$L43&lt;=0),"",IF(TODAY()&gt;$J43,"🔴 VENCIDO hace "&amp;(TODAY()-$J43)&amp;" día(s)",IF($J43-TODAY()&lt;='Config'!$B$15,"🟠 Faltan "&amp;($J43-TODAY())&amp;" día(s) para pagar","🟢 Al día (paga el "&amp;TEXT($J43,"dd/mm")&amp;")")))</f>
      </c>
      <c r="O43" s="23"/>
      <c r="P43" s="17">
        <f>IF(OR($B43="",$O43=""),"",$O43-$A43)</f>
      </c>
    </row>
    <row r="44">
      <c r="A44" s="23"/>
      <c r="B44" s="20"/>
      <c r="C44" s="19">
        <f>IF($B44="","",IFERROR(VLOOKUP($B44,'Catálogo'!$A:$B,2,FALSE),"⚠ Código no existe"))</f>
      </c>
      <c r="D44" s="21"/>
      <c r="E44" s="22"/>
      <c r="F44" s="16">
        <f>IF($B44="","",$D44*$E44)</f>
      </c>
      <c r="G44" s="20"/>
      <c r="H44" s="20"/>
      <c r="I44" s="14">
        <f>IF(OR($B44="",$H44&lt;&gt;"Sí"),"",IF(DAY($A44)&lt;='Config'!$B$13,DATE(YEAR($A44),MONTH($A44),'Config'!$B$13),EOMONTH($A44,0)+'Config'!$B$13))</f>
      </c>
      <c r="J44" s="14">
        <f>IF($I44="","",DATE(YEAR(EOMONTH($I44,0)+1),MONTH(EOMONTH($I44,0)+1),'Config'!$B$14))</f>
      </c>
      <c r="K44" s="22"/>
      <c r="L44" s="16">
        <f>IF($B44="","",MAX($F44-$K44,0))</f>
      </c>
      <c r="M44" s="19">
        <f>IF($B44="","",IF($H44&lt;&gt;"Sí","Pagado (contado)",IF($L44&lt;=0,"Pagado",IF($K44&gt;0,"Abono parcial","Pendiente"))))</f>
      </c>
      <c r="N44" s="19">
        <f>IF(OR($B44="",$H44&lt;&gt;"Sí",$L44&lt;=0),"",IF(TODAY()&gt;$J44,"🔴 VENCIDO hace "&amp;(TODAY()-$J44)&amp;" día(s)",IF($J44-TODAY()&lt;='Config'!$B$15,"🟠 Faltan "&amp;($J44-TODAY())&amp;" día(s) para pagar","🟢 Al día (paga el "&amp;TEXT($J44,"dd/mm")&amp;")")))</f>
      </c>
      <c r="O44" s="23"/>
      <c r="P44" s="17">
        <f>IF(OR($B44="",$O44=""),"",$O44-$A44)</f>
      </c>
    </row>
    <row r="45">
      <c r="A45" s="23"/>
      <c r="B45" s="20"/>
      <c r="C45" s="19">
        <f>IF($B45="","",IFERROR(VLOOKUP($B45,'Catálogo'!$A:$B,2,FALSE),"⚠ Código no existe"))</f>
      </c>
      <c r="D45" s="21"/>
      <c r="E45" s="22"/>
      <c r="F45" s="16">
        <f>IF($B45="","",$D45*$E45)</f>
      </c>
      <c r="G45" s="20"/>
      <c r="H45" s="20"/>
      <c r="I45" s="14">
        <f>IF(OR($B45="",$H45&lt;&gt;"Sí"),"",IF(DAY($A45)&lt;='Config'!$B$13,DATE(YEAR($A45),MONTH($A45),'Config'!$B$13),EOMONTH($A45,0)+'Config'!$B$13))</f>
      </c>
      <c r="J45" s="14">
        <f>IF($I45="","",DATE(YEAR(EOMONTH($I45,0)+1),MONTH(EOMONTH($I45,0)+1),'Config'!$B$14))</f>
      </c>
      <c r="K45" s="22"/>
      <c r="L45" s="16">
        <f>IF($B45="","",MAX($F45-$K45,0))</f>
      </c>
      <c r="M45" s="19">
        <f>IF($B45="","",IF($H45&lt;&gt;"Sí","Pagado (contado)",IF($L45&lt;=0,"Pagado",IF($K45&gt;0,"Abono parcial","Pendiente"))))</f>
      </c>
      <c r="N45" s="19">
        <f>IF(OR($B45="",$H45&lt;&gt;"Sí",$L45&lt;=0),"",IF(TODAY()&gt;$J45,"🔴 VENCIDO hace "&amp;(TODAY()-$J45)&amp;" día(s)",IF($J45-TODAY()&lt;='Config'!$B$15,"🟠 Faltan "&amp;($J45-TODAY())&amp;" día(s) para pagar","🟢 Al día (paga el "&amp;TEXT($J45,"dd/mm")&amp;")")))</f>
      </c>
      <c r="O45" s="23"/>
      <c r="P45" s="17">
        <f>IF(OR($B45="",$O45=""),"",$O45-$A45)</f>
      </c>
    </row>
    <row r="46">
      <c r="A46" s="23"/>
      <c r="B46" s="20"/>
      <c r="C46" s="19">
        <f>IF($B46="","",IFERROR(VLOOKUP($B46,'Catálogo'!$A:$B,2,FALSE),"⚠ Código no existe"))</f>
      </c>
      <c r="D46" s="21"/>
      <c r="E46" s="22"/>
      <c r="F46" s="16">
        <f>IF($B46="","",$D46*$E46)</f>
      </c>
      <c r="G46" s="20"/>
      <c r="H46" s="20"/>
      <c r="I46" s="14">
        <f>IF(OR($B46="",$H46&lt;&gt;"Sí"),"",IF(DAY($A46)&lt;='Config'!$B$13,DATE(YEAR($A46),MONTH($A46),'Config'!$B$13),EOMONTH($A46,0)+'Config'!$B$13))</f>
      </c>
      <c r="J46" s="14">
        <f>IF($I46="","",DATE(YEAR(EOMONTH($I46,0)+1),MONTH(EOMONTH($I46,0)+1),'Config'!$B$14))</f>
      </c>
      <c r="K46" s="22"/>
      <c r="L46" s="16">
        <f>IF($B46="","",MAX($F46-$K46,0))</f>
      </c>
      <c r="M46" s="19">
        <f>IF($B46="","",IF($H46&lt;&gt;"Sí","Pagado (contado)",IF($L46&lt;=0,"Pagado",IF($K46&gt;0,"Abono parcial","Pendiente"))))</f>
      </c>
      <c r="N46" s="19">
        <f>IF(OR($B46="",$H46&lt;&gt;"Sí",$L46&lt;=0),"",IF(TODAY()&gt;$J46,"🔴 VENCIDO hace "&amp;(TODAY()-$J46)&amp;" día(s)",IF($J46-TODAY()&lt;='Config'!$B$15,"🟠 Faltan "&amp;($J46-TODAY())&amp;" día(s) para pagar","🟢 Al día (paga el "&amp;TEXT($J46,"dd/mm")&amp;")")))</f>
      </c>
      <c r="O46" s="23"/>
      <c r="P46" s="17">
        <f>IF(OR($B46="",$O46=""),"",$O46-$A46)</f>
      </c>
    </row>
    <row r="47">
      <c r="A47" s="23"/>
      <c r="B47" s="20"/>
      <c r="C47" s="19">
        <f>IF($B47="","",IFERROR(VLOOKUP($B47,'Catálogo'!$A:$B,2,FALSE),"⚠ Código no existe"))</f>
      </c>
      <c r="D47" s="21"/>
      <c r="E47" s="22"/>
      <c r="F47" s="16">
        <f>IF($B47="","",$D47*$E47)</f>
      </c>
      <c r="G47" s="20"/>
      <c r="H47" s="20"/>
      <c r="I47" s="14">
        <f>IF(OR($B47="",$H47&lt;&gt;"Sí"),"",IF(DAY($A47)&lt;='Config'!$B$13,DATE(YEAR($A47),MONTH($A47),'Config'!$B$13),EOMONTH($A47,0)+'Config'!$B$13))</f>
      </c>
      <c r="J47" s="14">
        <f>IF($I47="","",DATE(YEAR(EOMONTH($I47,0)+1),MONTH(EOMONTH($I47,0)+1),'Config'!$B$14))</f>
      </c>
      <c r="K47" s="22"/>
      <c r="L47" s="16">
        <f>IF($B47="","",MAX($F47-$K47,0))</f>
      </c>
      <c r="M47" s="19">
        <f>IF($B47="","",IF($H47&lt;&gt;"Sí","Pagado (contado)",IF($L47&lt;=0,"Pagado",IF($K47&gt;0,"Abono parcial","Pendiente"))))</f>
      </c>
      <c r="N47" s="19">
        <f>IF(OR($B47="",$H47&lt;&gt;"Sí",$L47&lt;=0),"",IF(TODAY()&gt;$J47,"🔴 VENCIDO hace "&amp;(TODAY()-$J47)&amp;" día(s)",IF($J47-TODAY()&lt;='Config'!$B$15,"🟠 Faltan "&amp;($J47-TODAY())&amp;" día(s) para pagar","🟢 Al día (paga el "&amp;TEXT($J47,"dd/mm")&amp;")")))</f>
      </c>
      <c r="O47" s="23"/>
      <c r="P47" s="17">
        <f>IF(OR($B47="",$O47=""),"",$O47-$A47)</f>
      </c>
    </row>
    <row r="48">
      <c r="A48" s="23"/>
      <c r="B48" s="20"/>
      <c r="C48" s="19">
        <f>IF($B48="","",IFERROR(VLOOKUP($B48,'Catálogo'!$A:$B,2,FALSE),"⚠ Código no existe"))</f>
      </c>
      <c r="D48" s="21"/>
      <c r="E48" s="22"/>
      <c r="F48" s="16">
        <f>IF($B48="","",$D48*$E48)</f>
      </c>
      <c r="G48" s="20"/>
      <c r="H48" s="20"/>
      <c r="I48" s="14">
        <f>IF(OR($B48="",$H48&lt;&gt;"Sí"),"",IF(DAY($A48)&lt;='Config'!$B$13,DATE(YEAR($A48),MONTH($A48),'Config'!$B$13),EOMONTH($A48,0)+'Config'!$B$13))</f>
      </c>
      <c r="J48" s="14">
        <f>IF($I48="","",DATE(YEAR(EOMONTH($I48,0)+1),MONTH(EOMONTH($I48,0)+1),'Config'!$B$14))</f>
      </c>
      <c r="K48" s="22"/>
      <c r="L48" s="16">
        <f>IF($B48="","",MAX($F48-$K48,0))</f>
      </c>
      <c r="M48" s="19">
        <f>IF($B48="","",IF($H48&lt;&gt;"Sí","Pagado (contado)",IF($L48&lt;=0,"Pagado",IF($K48&gt;0,"Abono parcial","Pendiente"))))</f>
      </c>
      <c r="N48" s="19">
        <f>IF(OR($B48="",$H48&lt;&gt;"Sí",$L48&lt;=0),"",IF(TODAY()&gt;$J48,"🔴 VENCIDO hace "&amp;(TODAY()-$J48)&amp;" día(s)",IF($J48-TODAY()&lt;='Config'!$B$15,"🟠 Faltan "&amp;($J48-TODAY())&amp;" día(s) para pagar","🟢 Al día (paga el "&amp;TEXT($J48,"dd/mm")&amp;")")))</f>
      </c>
      <c r="O48" s="23"/>
      <c r="P48" s="17">
        <f>IF(OR($B48="",$O48=""),"",$O48-$A48)</f>
      </c>
    </row>
    <row r="49">
      <c r="A49" s="23"/>
      <c r="B49" s="20"/>
      <c r="C49" s="19">
        <f>IF($B49="","",IFERROR(VLOOKUP($B49,'Catálogo'!$A:$B,2,FALSE),"⚠ Código no existe"))</f>
      </c>
      <c r="D49" s="21"/>
      <c r="E49" s="22"/>
      <c r="F49" s="16">
        <f>IF($B49="","",$D49*$E49)</f>
      </c>
      <c r="G49" s="20"/>
      <c r="H49" s="20"/>
      <c r="I49" s="14">
        <f>IF(OR($B49="",$H49&lt;&gt;"Sí"),"",IF(DAY($A49)&lt;='Config'!$B$13,DATE(YEAR($A49),MONTH($A49),'Config'!$B$13),EOMONTH($A49,0)+'Config'!$B$13))</f>
      </c>
      <c r="J49" s="14">
        <f>IF($I49="","",DATE(YEAR(EOMONTH($I49,0)+1),MONTH(EOMONTH($I49,0)+1),'Config'!$B$14))</f>
      </c>
      <c r="K49" s="22"/>
      <c r="L49" s="16">
        <f>IF($B49="","",MAX($F49-$K49,0))</f>
      </c>
      <c r="M49" s="19">
        <f>IF($B49="","",IF($H49&lt;&gt;"Sí","Pagado (contado)",IF($L49&lt;=0,"Pagado",IF($K49&gt;0,"Abono parcial","Pendiente"))))</f>
      </c>
      <c r="N49" s="19">
        <f>IF(OR($B49="",$H49&lt;&gt;"Sí",$L49&lt;=0),"",IF(TODAY()&gt;$J49,"🔴 VENCIDO hace "&amp;(TODAY()-$J49)&amp;" día(s)",IF($J49-TODAY()&lt;='Config'!$B$15,"🟠 Faltan "&amp;($J49-TODAY())&amp;" día(s) para pagar","🟢 Al día (paga el "&amp;TEXT($J49,"dd/mm")&amp;")")))</f>
      </c>
      <c r="O49" s="23"/>
      <c r="P49" s="17">
        <f>IF(OR($B49="",$O49=""),"",$O49-$A49)</f>
      </c>
    </row>
    <row r="50">
      <c r="A50" s="23"/>
      <c r="B50" s="20"/>
      <c r="C50" s="19">
        <f>IF($B50="","",IFERROR(VLOOKUP($B50,'Catálogo'!$A:$B,2,FALSE),"⚠ Código no existe"))</f>
      </c>
      <c r="D50" s="21"/>
      <c r="E50" s="22"/>
      <c r="F50" s="16">
        <f>IF($B50="","",$D50*$E50)</f>
      </c>
      <c r="G50" s="20"/>
      <c r="H50" s="20"/>
      <c r="I50" s="14">
        <f>IF(OR($B50="",$H50&lt;&gt;"Sí"),"",IF(DAY($A50)&lt;='Config'!$B$13,DATE(YEAR($A50),MONTH($A50),'Config'!$B$13),EOMONTH($A50,0)+'Config'!$B$13))</f>
      </c>
      <c r="J50" s="14">
        <f>IF($I50="","",DATE(YEAR(EOMONTH($I50,0)+1),MONTH(EOMONTH($I50,0)+1),'Config'!$B$14))</f>
      </c>
      <c r="K50" s="22"/>
      <c r="L50" s="16">
        <f>IF($B50="","",MAX($F50-$K50,0))</f>
      </c>
      <c r="M50" s="19">
        <f>IF($B50="","",IF($H50&lt;&gt;"Sí","Pagado (contado)",IF($L50&lt;=0,"Pagado",IF($K50&gt;0,"Abono parcial","Pendiente"))))</f>
      </c>
      <c r="N50" s="19">
        <f>IF(OR($B50="",$H50&lt;&gt;"Sí",$L50&lt;=0),"",IF(TODAY()&gt;$J50,"🔴 VENCIDO hace "&amp;(TODAY()-$J50)&amp;" día(s)",IF($J50-TODAY()&lt;='Config'!$B$15,"🟠 Faltan "&amp;($J50-TODAY())&amp;" día(s) para pagar","🟢 Al día (paga el "&amp;TEXT($J50,"dd/mm")&amp;")")))</f>
      </c>
      <c r="O50" s="23"/>
      <c r="P50" s="17">
        <f>IF(OR($B50="",$O50=""),"",$O50-$A50)</f>
      </c>
    </row>
    <row r="51">
      <c r="A51" s="23"/>
      <c r="B51" s="20"/>
      <c r="C51" s="19">
        <f>IF($B51="","",IFERROR(VLOOKUP($B51,'Catálogo'!$A:$B,2,FALSE),"⚠ Código no existe"))</f>
      </c>
      <c r="D51" s="21"/>
      <c r="E51" s="22"/>
      <c r="F51" s="16">
        <f>IF($B51="","",$D51*$E51)</f>
      </c>
      <c r="G51" s="20"/>
      <c r="H51" s="20"/>
      <c r="I51" s="14">
        <f>IF(OR($B51="",$H51&lt;&gt;"Sí"),"",IF(DAY($A51)&lt;='Config'!$B$13,DATE(YEAR($A51),MONTH($A51),'Config'!$B$13),EOMONTH($A51,0)+'Config'!$B$13))</f>
      </c>
      <c r="J51" s="14">
        <f>IF($I51="","",DATE(YEAR(EOMONTH($I51,0)+1),MONTH(EOMONTH($I51,0)+1),'Config'!$B$14))</f>
      </c>
      <c r="K51" s="22"/>
      <c r="L51" s="16">
        <f>IF($B51="","",MAX($F51-$K51,0))</f>
      </c>
      <c r="M51" s="19">
        <f>IF($B51="","",IF($H51&lt;&gt;"Sí","Pagado (contado)",IF($L51&lt;=0,"Pagado",IF($K51&gt;0,"Abono parcial","Pendiente"))))</f>
      </c>
      <c r="N51" s="19">
        <f>IF(OR($B51="",$H51&lt;&gt;"Sí",$L51&lt;=0),"",IF(TODAY()&gt;$J51,"🔴 VENCIDO hace "&amp;(TODAY()-$J51)&amp;" día(s)",IF($J51-TODAY()&lt;='Config'!$B$15,"🟠 Faltan "&amp;($J51-TODAY())&amp;" día(s) para pagar","🟢 Al día (paga el "&amp;TEXT($J51,"dd/mm")&amp;")")))</f>
      </c>
      <c r="O51" s="23"/>
      <c r="P51" s="17">
        <f>IF(OR($B51="",$O51=""),"",$O51-$A51)</f>
      </c>
    </row>
    <row r="52">
      <c r="A52" s="23"/>
      <c r="B52" s="20"/>
      <c r="C52" s="19">
        <f>IF($B52="","",IFERROR(VLOOKUP($B52,'Catálogo'!$A:$B,2,FALSE),"⚠ Código no existe"))</f>
      </c>
      <c r="D52" s="21"/>
      <c r="E52" s="22"/>
      <c r="F52" s="16">
        <f>IF($B52="","",$D52*$E52)</f>
      </c>
      <c r="G52" s="20"/>
      <c r="H52" s="20"/>
      <c r="I52" s="14">
        <f>IF(OR($B52="",$H52&lt;&gt;"Sí"),"",IF(DAY($A52)&lt;='Config'!$B$13,DATE(YEAR($A52),MONTH($A52),'Config'!$B$13),EOMONTH($A52,0)+'Config'!$B$13))</f>
      </c>
      <c r="J52" s="14">
        <f>IF($I52="","",DATE(YEAR(EOMONTH($I52,0)+1),MONTH(EOMONTH($I52,0)+1),'Config'!$B$14))</f>
      </c>
      <c r="K52" s="22"/>
      <c r="L52" s="16">
        <f>IF($B52="","",MAX($F52-$K52,0))</f>
      </c>
      <c r="M52" s="19">
        <f>IF($B52="","",IF($H52&lt;&gt;"Sí","Pagado (contado)",IF($L52&lt;=0,"Pagado",IF($K52&gt;0,"Abono parcial","Pendiente"))))</f>
      </c>
      <c r="N52" s="19">
        <f>IF(OR($B52="",$H52&lt;&gt;"Sí",$L52&lt;=0),"",IF(TODAY()&gt;$J52,"🔴 VENCIDO hace "&amp;(TODAY()-$J52)&amp;" día(s)",IF($J52-TODAY()&lt;='Config'!$B$15,"🟠 Faltan "&amp;($J52-TODAY())&amp;" día(s) para pagar","🟢 Al día (paga el "&amp;TEXT($J52,"dd/mm")&amp;")")))</f>
      </c>
      <c r="O52" s="23"/>
      <c r="P52" s="17">
        <f>IF(OR($B52="",$O52=""),"",$O52-$A52)</f>
      </c>
    </row>
    <row r="53">
      <c r="A53" s="23"/>
      <c r="B53" s="20"/>
      <c r="C53" s="19">
        <f>IF($B53="","",IFERROR(VLOOKUP($B53,'Catálogo'!$A:$B,2,FALSE),"⚠ Código no existe"))</f>
      </c>
      <c r="D53" s="21"/>
      <c r="E53" s="22"/>
      <c r="F53" s="16">
        <f>IF($B53="","",$D53*$E53)</f>
      </c>
      <c r="G53" s="20"/>
      <c r="H53" s="20"/>
      <c r="I53" s="14">
        <f>IF(OR($B53="",$H53&lt;&gt;"Sí"),"",IF(DAY($A53)&lt;='Config'!$B$13,DATE(YEAR($A53),MONTH($A53),'Config'!$B$13),EOMONTH($A53,0)+'Config'!$B$13))</f>
      </c>
      <c r="J53" s="14">
        <f>IF($I53="","",DATE(YEAR(EOMONTH($I53,0)+1),MONTH(EOMONTH($I53,0)+1),'Config'!$B$14))</f>
      </c>
      <c r="K53" s="22"/>
      <c r="L53" s="16">
        <f>IF($B53="","",MAX($F53-$K53,0))</f>
      </c>
      <c r="M53" s="19">
        <f>IF($B53="","",IF($H53&lt;&gt;"Sí","Pagado (contado)",IF($L53&lt;=0,"Pagado",IF($K53&gt;0,"Abono parcial","Pendiente"))))</f>
      </c>
      <c r="N53" s="19">
        <f>IF(OR($B53="",$H53&lt;&gt;"Sí",$L53&lt;=0),"",IF(TODAY()&gt;$J53,"🔴 VENCIDO hace "&amp;(TODAY()-$J53)&amp;" día(s)",IF($J53-TODAY()&lt;='Config'!$B$15,"🟠 Faltan "&amp;($J53-TODAY())&amp;" día(s) para pagar","🟢 Al día (paga el "&amp;TEXT($J53,"dd/mm")&amp;")")))</f>
      </c>
      <c r="O53" s="23"/>
      <c r="P53" s="17">
        <f>IF(OR($B53="",$O53=""),"",$O53-$A53)</f>
      </c>
    </row>
    <row r="54">
      <c r="A54" s="23"/>
      <c r="B54" s="20"/>
      <c r="C54" s="19">
        <f>IF($B54="","",IFERROR(VLOOKUP($B54,'Catálogo'!$A:$B,2,FALSE),"⚠ Código no existe"))</f>
      </c>
      <c r="D54" s="21"/>
      <c r="E54" s="22"/>
      <c r="F54" s="16">
        <f>IF($B54="","",$D54*$E54)</f>
      </c>
      <c r="G54" s="20"/>
      <c r="H54" s="20"/>
      <c r="I54" s="14">
        <f>IF(OR($B54="",$H54&lt;&gt;"Sí"),"",IF(DAY($A54)&lt;='Config'!$B$13,DATE(YEAR($A54),MONTH($A54),'Config'!$B$13),EOMONTH($A54,0)+'Config'!$B$13))</f>
      </c>
      <c r="J54" s="14">
        <f>IF($I54="","",DATE(YEAR(EOMONTH($I54,0)+1),MONTH(EOMONTH($I54,0)+1),'Config'!$B$14))</f>
      </c>
      <c r="K54" s="22"/>
      <c r="L54" s="16">
        <f>IF($B54="","",MAX($F54-$K54,0))</f>
      </c>
      <c r="M54" s="19">
        <f>IF($B54="","",IF($H54&lt;&gt;"Sí","Pagado (contado)",IF($L54&lt;=0,"Pagado",IF($K54&gt;0,"Abono parcial","Pendiente"))))</f>
      </c>
      <c r="N54" s="19">
        <f>IF(OR($B54="",$H54&lt;&gt;"Sí",$L54&lt;=0),"",IF(TODAY()&gt;$J54,"🔴 VENCIDO hace "&amp;(TODAY()-$J54)&amp;" día(s)",IF($J54-TODAY()&lt;='Config'!$B$15,"🟠 Faltan "&amp;($J54-TODAY())&amp;" día(s) para pagar","🟢 Al día (paga el "&amp;TEXT($J54,"dd/mm")&amp;")")))</f>
      </c>
      <c r="O54" s="23"/>
      <c r="P54" s="17">
        <f>IF(OR($B54="",$O54=""),"",$O54-$A54)</f>
      </c>
    </row>
    <row r="55">
      <c r="A55" s="23"/>
      <c r="B55" s="20"/>
      <c r="C55" s="19">
        <f>IF($B55="","",IFERROR(VLOOKUP($B55,'Catálogo'!$A:$B,2,FALSE),"⚠ Código no existe"))</f>
      </c>
      <c r="D55" s="21"/>
      <c r="E55" s="22"/>
      <c r="F55" s="16">
        <f>IF($B55="","",$D55*$E55)</f>
      </c>
      <c r="G55" s="20"/>
      <c r="H55" s="20"/>
      <c r="I55" s="14">
        <f>IF(OR($B55="",$H55&lt;&gt;"Sí"),"",IF(DAY($A55)&lt;='Config'!$B$13,DATE(YEAR($A55),MONTH($A55),'Config'!$B$13),EOMONTH($A55,0)+'Config'!$B$13))</f>
      </c>
      <c r="J55" s="14">
        <f>IF($I55="","",DATE(YEAR(EOMONTH($I55,0)+1),MONTH(EOMONTH($I55,0)+1),'Config'!$B$14))</f>
      </c>
      <c r="K55" s="22"/>
      <c r="L55" s="16">
        <f>IF($B55="","",MAX($F55-$K55,0))</f>
      </c>
      <c r="M55" s="19">
        <f>IF($B55="","",IF($H55&lt;&gt;"Sí","Pagado (contado)",IF($L55&lt;=0,"Pagado",IF($K55&gt;0,"Abono parcial","Pendiente"))))</f>
      </c>
      <c r="N55" s="19">
        <f>IF(OR($B55="",$H55&lt;&gt;"Sí",$L55&lt;=0),"",IF(TODAY()&gt;$J55,"🔴 VENCIDO hace "&amp;(TODAY()-$J55)&amp;" día(s)",IF($J55-TODAY()&lt;='Config'!$B$15,"🟠 Faltan "&amp;($J55-TODAY())&amp;" día(s) para pagar","🟢 Al día (paga el "&amp;TEXT($J55,"dd/mm")&amp;")")))</f>
      </c>
      <c r="O55" s="23"/>
      <c r="P55" s="17">
        <f>IF(OR($B55="",$O55=""),"",$O55-$A55)</f>
      </c>
    </row>
    <row r="56">
      <c r="A56" s="23"/>
      <c r="B56" s="20"/>
      <c r="C56" s="19">
        <f>IF($B56="","",IFERROR(VLOOKUP($B56,'Catálogo'!$A:$B,2,FALSE),"⚠ Código no existe"))</f>
      </c>
      <c r="D56" s="21"/>
      <c r="E56" s="22"/>
      <c r="F56" s="16">
        <f>IF($B56="","",$D56*$E56)</f>
      </c>
      <c r="G56" s="20"/>
      <c r="H56" s="20"/>
      <c r="I56" s="14">
        <f>IF(OR($B56="",$H56&lt;&gt;"Sí"),"",IF(DAY($A56)&lt;='Config'!$B$13,DATE(YEAR($A56),MONTH($A56),'Config'!$B$13),EOMONTH($A56,0)+'Config'!$B$13))</f>
      </c>
      <c r="J56" s="14">
        <f>IF($I56="","",DATE(YEAR(EOMONTH($I56,0)+1),MONTH(EOMONTH($I56,0)+1),'Config'!$B$14))</f>
      </c>
      <c r="K56" s="22"/>
      <c r="L56" s="16">
        <f>IF($B56="","",MAX($F56-$K56,0))</f>
      </c>
      <c r="M56" s="19">
        <f>IF($B56="","",IF($H56&lt;&gt;"Sí","Pagado (contado)",IF($L56&lt;=0,"Pagado",IF($K56&gt;0,"Abono parcial","Pendiente"))))</f>
      </c>
      <c r="N56" s="19">
        <f>IF(OR($B56="",$H56&lt;&gt;"Sí",$L56&lt;=0),"",IF(TODAY()&gt;$J56,"🔴 VENCIDO hace "&amp;(TODAY()-$J56)&amp;" día(s)",IF($J56-TODAY()&lt;='Config'!$B$15,"🟠 Faltan "&amp;($J56-TODAY())&amp;" día(s) para pagar","🟢 Al día (paga el "&amp;TEXT($J56,"dd/mm")&amp;")")))</f>
      </c>
      <c r="O56" s="23"/>
      <c r="P56" s="17">
        <f>IF(OR($B56="",$O56=""),"",$O56-$A56)</f>
      </c>
    </row>
    <row r="57">
      <c r="A57" s="23"/>
      <c r="B57" s="20"/>
      <c r="C57" s="19">
        <f>IF($B57="","",IFERROR(VLOOKUP($B57,'Catálogo'!$A:$B,2,FALSE),"⚠ Código no existe"))</f>
      </c>
      <c r="D57" s="21"/>
      <c r="E57" s="22"/>
      <c r="F57" s="16">
        <f>IF($B57="","",$D57*$E57)</f>
      </c>
      <c r="G57" s="20"/>
      <c r="H57" s="20"/>
      <c r="I57" s="14">
        <f>IF(OR($B57="",$H57&lt;&gt;"Sí"),"",IF(DAY($A57)&lt;='Config'!$B$13,DATE(YEAR($A57),MONTH($A57),'Config'!$B$13),EOMONTH($A57,0)+'Config'!$B$13))</f>
      </c>
      <c r="J57" s="14">
        <f>IF($I57="","",DATE(YEAR(EOMONTH($I57,0)+1),MONTH(EOMONTH($I57,0)+1),'Config'!$B$14))</f>
      </c>
      <c r="K57" s="22"/>
      <c r="L57" s="16">
        <f>IF($B57="","",MAX($F57-$K57,0))</f>
      </c>
      <c r="M57" s="19">
        <f>IF($B57="","",IF($H57&lt;&gt;"Sí","Pagado (contado)",IF($L57&lt;=0,"Pagado",IF($K57&gt;0,"Abono parcial","Pendiente"))))</f>
      </c>
      <c r="N57" s="19">
        <f>IF(OR($B57="",$H57&lt;&gt;"Sí",$L57&lt;=0),"",IF(TODAY()&gt;$J57,"🔴 VENCIDO hace "&amp;(TODAY()-$J57)&amp;" día(s)",IF($J57-TODAY()&lt;='Config'!$B$15,"🟠 Faltan "&amp;($J57-TODAY())&amp;" día(s) para pagar","🟢 Al día (paga el "&amp;TEXT($J57,"dd/mm")&amp;")")))</f>
      </c>
      <c r="O57" s="23"/>
      <c r="P57" s="17">
        <f>IF(OR($B57="",$O57=""),"",$O57-$A57)</f>
      </c>
    </row>
    <row r="58">
      <c r="A58" s="23"/>
      <c r="B58" s="20"/>
      <c r="C58" s="19">
        <f>IF($B58="","",IFERROR(VLOOKUP($B58,'Catálogo'!$A:$B,2,FALSE),"⚠ Código no existe"))</f>
      </c>
      <c r="D58" s="21"/>
      <c r="E58" s="22"/>
      <c r="F58" s="16">
        <f>IF($B58="","",$D58*$E58)</f>
      </c>
      <c r="G58" s="20"/>
      <c r="H58" s="20"/>
      <c r="I58" s="14">
        <f>IF(OR($B58="",$H58&lt;&gt;"Sí"),"",IF(DAY($A58)&lt;='Config'!$B$13,DATE(YEAR($A58),MONTH($A58),'Config'!$B$13),EOMONTH($A58,0)+'Config'!$B$13))</f>
      </c>
      <c r="J58" s="14">
        <f>IF($I58="","",DATE(YEAR(EOMONTH($I58,0)+1),MONTH(EOMONTH($I58,0)+1),'Config'!$B$14))</f>
      </c>
      <c r="K58" s="22"/>
      <c r="L58" s="16">
        <f>IF($B58="","",MAX($F58-$K58,0))</f>
      </c>
      <c r="M58" s="19">
        <f>IF($B58="","",IF($H58&lt;&gt;"Sí","Pagado (contado)",IF($L58&lt;=0,"Pagado",IF($K58&gt;0,"Abono parcial","Pendiente"))))</f>
      </c>
      <c r="N58" s="19">
        <f>IF(OR($B58="",$H58&lt;&gt;"Sí",$L58&lt;=0),"",IF(TODAY()&gt;$J58,"🔴 VENCIDO hace "&amp;(TODAY()-$J58)&amp;" día(s)",IF($J58-TODAY()&lt;='Config'!$B$15,"🟠 Faltan "&amp;($J58-TODAY())&amp;" día(s) para pagar","🟢 Al día (paga el "&amp;TEXT($J58,"dd/mm")&amp;")")))</f>
      </c>
      <c r="O58" s="23"/>
      <c r="P58" s="17">
        <f>IF(OR($B58="",$O58=""),"",$O58-$A58)</f>
      </c>
    </row>
    <row r="59">
      <c r="A59" s="23"/>
      <c r="B59" s="20"/>
      <c r="C59" s="19">
        <f>IF($B59="","",IFERROR(VLOOKUP($B59,'Catálogo'!$A:$B,2,FALSE),"⚠ Código no existe"))</f>
      </c>
      <c r="D59" s="21"/>
      <c r="E59" s="22"/>
      <c r="F59" s="16">
        <f>IF($B59="","",$D59*$E59)</f>
      </c>
      <c r="G59" s="20"/>
      <c r="H59" s="20"/>
      <c r="I59" s="14">
        <f>IF(OR($B59="",$H59&lt;&gt;"Sí"),"",IF(DAY($A59)&lt;='Config'!$B$13,DATE(YEAR($A59),MONTH($A59),'Config'!$B$13),EOMONTH($A59,0)+'Config'!$B$13))</f>
      </c>
      <c r="J59" s="14">
        <f>IF($I59="","",DATE(YEAR(EOMONTH($I59,0)+1),MONTH(EOMONTH($I59,0)+1),'Config'!$B$14))</f>
      </c>
      <c r="K59" s="22"/>
      <c r="L59" s="16">
        <f>IF($B59="","",MAX($F59-$K59,0))</f>
      </c>
      <c r="M59" s="19">
        <f>IF($B59="","",IF($H59&lt;&gt;"Sí","Pagado (contado)",IF($L59&lt;=0,"Pagado",IF($K59&gt;0,"Abono parcial","Pendiente"))))</f>
      </c>
      <c r="N59" s="19">
        <f>IF(OR($B59="",$H59&lt;&gt;"Sí",$L59&lt;=0),"",IF(TODAY()&gt;$J59,"🔴 VENCIDO hace "&amp;(TODAY()-$J59)&amp;" día(s)",IF($J59-TODAY()&lt;='Config'!$B$15,"🟠 Faltan "&amp;($J59-TODAY())&amp;" día(s) para pagar","🟢 Al día (paga el "&amp;TEXT($J59,"dd/mm")&amp;")")))</f>
      </c>
      <c r="O59" s="23"/>
      <c r="P59" s="17">
        <f>IF(OR($B59="",$O59=""),"",$O59-$A59)</f>
      </c>
    </row>
    <row r="60">
      <c r="A60" s="23"/>
      <c r="B60" s="20"/>
      <c r="C60" s="19">
        <f>IF($B60="","",IFERROR(VLOOKUP($B60,'Catálogo'!$A:$B,2,FALSE),"⚠ Código no existe"))</f>
      </c>
      <c r="D60" s="21"/>
      <c r="E60" s="22"/>
      <c r="F60" s="16">
        <f>IF($B60="","",$D60*$E60)</f>
      </c>
      <c r="G60" s="20"/>
      <c r="H60" s="20"/>
      <c r="I60" s="14">
        <f>IF(OR($B60="",$H60&lt;&gt;"Sí"),"",IF(DAY($A60)&lt;='Config'!$B$13,DATE(YEAR($A60),MONTH($A60),'Config'!$B$13),EOMONTH($A60,0)+'Config'!$B$13))</f>
      </c>
      <c r="J60" s="14">
        <f>IF($I60="","",DATE(YEAR(EOMONTH($I60,0)+1),MONTH(EOMONTH($I60,0)+1),'Config'!$B$14))</f>
      </c>
      <c r="K60" s="22"/>
      <c r="L60" s="16">
        <f>IF($B60="","",MAX($F60-$K60,0))</f>
      </c>
      <c r="M60" s="19">
        <f>IF($B60="","",IF($H60&lt;&gt;"Sí","Pagado (contado)",IF($L60&lt;=0,"Pagado",IF($K60&gt;0,"Abono parcial","Pendiente"))))</f>
      </c>
      <c r="N60" s="19">
        <f>IF(OR($B60="",$H60&lt;&gt;"Sí",$L60&lt;=0),"",IF(TODAY()&gt;$J60,"🔴 VENCIDO hace "&amp;(TODAY()-$J60)&amp;" día(s)",IF($J60-TODAY()&lt;='Config'!$B$15,"🟠 Faltan "&amp;($J60-TODAY())&amp;" día(s) para pagar","🟢 Al día (paga el "&amp;TEXT($J60,"dd/mm")&amp;")")))</f>
      </c>
      <c r="O60" s="23"/>
      <c r="P60" s="17">
        <f>IF(OR($B60="",$O60=""),"",$O60-$A60)</f>
      </c>
    </row>
    <row r="61">
      <c r="A61" s="23"/>
      <c r="B61" s="20"/>
      <c r="C61" s="19">
        <f>IF($B61="","",IFERROR(VLOOKUP($B61,'Catálogo'!$A:$B,2,FALSE),"⚠ Código no existe"))</f>
      </c>
      <c r="D61" s="21"/>
      <c r="E61" s="22"/>
      <c r="F61" s="16">
        <f>IF($B61="","",$D61*$E61)</f>
      </c>
      <c r="G61" s="20"/>
      <c r="H61" s="20"/>
      <c r="I61" s="14">
        <f>IF(OR($B61="",$H61&lt;&gt;"Sí"),"",IF(DAY($A61)&lt;='Config'!$B$13,DATE(YEAR($A61),MONTH($A61),'Config'!$B$13),EOMONTH($A61,0)+'Config'!$B$13))</f>
      </c>
      <c r="J61" s="14">
        <f>IF($I61="","",DATE(YEAR(EOMONTH($I61,0)+1),MONTH(EOMONTH($I61,0)+1),'Config'!$B$14))</f>
      </c>
      <c r="K61" s="22"/>
      <c r="L61" s="16">
        <f>IF($B61="","",MAX($F61-$K61,0))</f>
      </c>
      <c r="M61" s="19">
        <f>IF($B61="","",IF($H61&lt;&gt;"Sí","Pagado (contado)",IF($L61&lt;=0,"Pagado",IF($K61&gt;0,"Abono parcial","Pendiente"))))</f>
      </c>
      <c r="N61" s="19">
        <f>IF(OR($B61="",$H61&lt;&gt;"Sí",$L61&lt;=0),"",IF(TODAY()&gt;$J61,"🔴 VENCIDO hace "&amp;(TODAY()-$J61)&amp;" día(s)",IF($J61-TODAY()&lt;='Config'!$B$15,"🟠 Faltan "&amp;($J61-TODAY())&amp;" día(s) para pagar","🟢 Al día (paga el "&amp;TEXT($J61,"dd/mm")&amp;")")))</f>
      </c>
      <c r="O61" s="23"/>
      <c r="P61" s="17">
        <f>IF(OR($B61="",$O61=""),"",$O61-$A61)</f>
      </c>
    </row>
    <row r="62">
      <c r="A62" s="23"/>
      <c r="B62" s="20"/>
      <c r="C62" s="19">
        <f>IF($B62="","",IFERROR(VLOOKUP($B62,'Catálogo'!$A:$B,2,FALSE),"⚠ Código no existe"))</f>
      </c>
      <c r="D62" s="21"/>
      <c r="E62" s="22"/>
      <c r="F62" s="16">
        <f>IF($B62="","",$D62*$E62)</f>
      </c>
      <c r="G62" s="20"/>
      <c r="H62" s="20"/>
      <c r="I62" s="14">
        <f>IF(OR($B62="",$H62&lt;&gt;"Sí"),"",IF(DAY($A62)&lt;='Config'!$B$13,DATE(YEAR($A62),MONTH($A62),'Config'!$B$13),EOMONTH($A62,0)+'Config'!$B$13))</f>
      </c>
      <c r="J62" s="14">
        <f>IF($I62="","",DATE(YEAR(EOMONTH($I62,0)+1),MONTH(EOMONTH($I62,0)+1),'Config'!$B$14))</f>
      </c>
      <c r="K62" s="22"/>
      <c r="L62" s="16">
        <f>IF($B62="","",MAX($F62-$K62,0))</f>
      </c>
      <c r="M62" s="19">
        <f>IF($B62="","",IF($H62&lt;&gt;"Sí","Pagado (contado)",IF($L62&lt;=0,"Pagado",IF($K62&gt;0,"Abono parcial","Pendiente"))))</f>
      </c>
      <c r="N62" s="19">
        <f>IF(OR($B62="",$H62&lt;&gt;"Sí",$L62&lt;=0),"",IF(TODAY()&gt;$J62,"🔴 VENCIDO hace "&amp;(TODAY()-$J62)&amp;" día(s)",IF($J62-TODAY()&lt;='Config'!$B$15,"🟠 Faltan "&amp;($J62-TODAY())&amp;" día(s) para pagar","🟢 Al día (paga el "&amp;TEXT($J62,"dd/mm")&amp;")")))</f>
      </c>
      <c r="O62" s="23"/>
      <c r="P62" s="17">
        <f>IF(OR($B62="",$O62=""),"",$O62-$A62)</f>
      </c>
    </row>
    <row r="63">
      <c r="A63" s="23"/>
      <c r="B63" s="20"/>
      <c r="C63" s="19">
        <f>IF($B63="","",IFERROR(VLOOKUP($B63,'Catálogo'!$A:$B,2,FALSE),"⚠ Código no existe"))</f>
      </c>
      <c r="D63" s="21"/>
      <c r="E63" s="22"/>
      <c r="F63" s="16">
        <f>IF($B63="","",$D63*$E63)</f>
      </c>
      <c r="G63" s="20"/>
      <c r="H63" s="20"/>
      <c r="I63" s="14">
        <f>IF(OR($B63="",$H63&lt;&gt;"Sí"),"",IF(DAY($A63)&lt;='Config'!$B$13,DATE(YEAR($A63),MONTH($A63),'Config'!$B$13),EOMONTH($A63,0)+'Config'!$B$13))</f>
      </c>
      <c r="J63" s="14">
        <f>IF($I63="","",DATE(YEAR(EOMONTH($I63,0)+1),MONTH(EOMONTH($I63,0)+1),'Config'!$B$14))</f>
      </c>
      <c r="K63" s="22"/>
      <c r="L63" s="16">
        <f>IF($B63="","",MAX($F63-$K63,0))</f>
      </c>
      <c r="M63" s="19">
        <f>IF($B63="","",IF($H63&lt;&gt;"Sí","Pagado (contado)",IF($L63&lt;=0,"Pagado",IF($K63&gt;0,"Abono parcial","Pendiente"))))</f>
      </c>
      <c r="N63" s="19">
        <f>IF(OR($B63="",$H63&lt;&gt;"Sí",$L63&lt;=0),"",IF(TODAY()&gt;$J63,"🔴 VENCIDO hace "&amp;(TODAY()-$J63)&amp;" día(s)",IF($J63-TODAY()&lt;='Config'!$B$15,"🟠 Faltan "&amp;($J63-TODAY())&amp;" día(s) para pagar","🟢 Al día (paga el "&amp;TEXT($J63,"dd/mm")&amp;")")))</f>
      </c>
      <c r="O63" s="23"/>
      <c r="P63" s="17">
        <f>IF(OR($B63="",$O63=""),"",$O63-$A63)</f>
      </c>
    </row>
    <row r="64">
      <c r="A64" s="23"/>
      <c r="B64" s="20"/>
      <c r="C64" s="19">
        <f>IF($B64="","",IFERROR(VLOOKUP($B64,'Catálogo'!$A:$B,2,FALSE),"⚠ Código no existe"))</f>
      </c>
      <c r="D64" s="21"/>
      <c r="E64" s="22"/>
      <c r="F64" s="16">
        <f>IF($B64="","",$D64*$E64)</f>
      </c>
      <c r="G64" s="20"/>
      <c r="H64" s="20"/>
      <c r="I64" s="14">
        <f>IF(OR($B64="",$H64&lt;&gt;"Sí"),"",IF(DAY($A64)&lt;='Config'!$B$13,DATE(YEAR($A64),MONTH($A64),'Config'!$B$13),EOMONTH($A64,0)+'Config'!$B$13))</f>
      </c>
      <c r="J64" s="14">
        <f>IF($I64="","",DATE(YEAR(EOMONTH($I64,0)+1),MONTH(EOMONTH($I64,0)+1),'Config'!$B$14))</f>
      </c>
      <c r="K64" s="22"/>
      <c r="L64" s="16">
        <f>IF($B64="","",MAX($F64-$K64,0))</f>
      </c>
      <c r="M64" s="19">
        <f>IF($B64="","",IF($H64&lt;&gt;"Sí","Pagado (contado)",IF($L64&lt;=0,"Pagado",IF($K64&gt;0,"Abono parcial","Pendiente"))))</f>
      </c>
      <c r="N64" s="19">
        <f>IF(OR($B64="",$H64&lt;&gt;"Sí",$L64&lt;=0),"",IF(TODAY()&gt;$J64,"🔴 VENCIDO hace "&amp;(TODAY()-$J64)&amp;" día(s)",IF($J64-TODAY()&lt;='Config'!$B$15,"🟠 Faltan "&amp;($J64-TODAY())&amp;" día(s) para pagar","🟢 Al día (paga el "&amp;TEXT($J64,"dd/mm")&amp;")")))</f>
      </c>
      <c r="O64" s="23"/>
      <c r="P64" s="17">
        <f>IF(OR($B64="",$O64=""),"",$O64-$A64)</f>
      </c>
    </row>
    <row r="65">
      <c r="A65" s="23"/>
      <c r="B65" s="20"/>
      <c r="C65" s="19">
        <f>IF($B65="","",IFERROR(VLOOKUP($B65,'Catálogo'!$A:$B,2,FALSE),"⚠ Código no existe"))</f>
      </c>
      <c r="D65" s="21"/>
      <c r="E65" s="22"/>
      <c r="F65" s="16">
        <f>IF($B65="","",$D65*$E65)</f>
      </c>
      <c r="G65" s="20"/>
      <c r="H65" s="20"/>
      <c r="I65" s="14">
        <f>IF(OR($B65="",$H65&lt;&gt;"Sí"),"",IF(DAY($A65)&lt;='Config'!$B$13,DATE(YEAR($A65),MONTH($A65),'Config'!$B$13),EOMONTH($A65,0)+'Config'!$B$13))</f>
      </c>
      <c r="J65" s="14">
        <f>IF($I65="","",DATE(YEAR(EOMONTH($I65,0)+1),MONTH(EOMONTH($I65,0)+1),'Config'!$B$14))</f>
      </c>
      <c r="K65" s="22"/>
      <c r="L65" s="16">
        <f>IF($B65="","",MAX($F65-$K65,0))</f>
      </c>
      <c r="M65" s="19">
        <f>IF($B65="","",IF($H65&lt;&gt;"Sí","Pagado (contado)",IF($L65&lt;=0,"Pagado",IF($K65&gt;0,"Abono parcial","Pendiente"))))</f>
      </c>
      <c r="N65" s="19">
        <f>IF(OR($B65="",$H65&lt;&gt;"Sí",$L65&lt;=0),"",IF(TODAY()&gt;$J65,"🔴 VENCIDO hace "&amp;(TODAY()-$J65)&amp;" día(s)",IF($J65-TODAY()&lt;='Config'!$B$15,"🟠 Faltan "&amp;($J65-TODAY())&amp;" día(s) para pagar","🟢 Al día (paga el "&amp;TEXT($J65,"dd/mm")&amp;")")))</f>
      </c>
      <c r="O65" s="23"/>
      <c r="P65" s="17">
        <f>IF(OR($B65="",$O65=""),"",$O65-$A65)</f>
      </c>
    </row>
    <row r="66">
      <c r="A66" s="23"/>
      <c r="B66" s="20"/>
      <c r="C66" s="19">
        <f>IF($B66="","",IFERROR(VLOOKUP($B66,'Catálogo'!$A:$B,2,FALSE),"⚠ Código no existe"))</f>
      </c>
      <c r="D66" s="21"/>
      <c r="E66" s="22"/>
      <c r="F66" s="16">
        <f>IF($B66="","",$D66*$E66)</f>
      </c>
      <c r="G66" s="20"/>
      <c r="H66" s="20"/>
      <c r="I66" s="14">
        <f>IF(OR($B66="",$H66&lt;&gt;"Sí"),"",IF(DAY($A66)&lt;='Config'!$B$13,DATE(YEAR($A66),MONTH($A66),'Config'!$B$13),EOMONTH($A66,0)+'Config'!$B$13))</f>
      </c>
      <c r="J66" s="14">
        <f>IF($I66="","",DATE(YEAR(EOMONTH($I66,0)+1),MONTH(EOMONTH($I66,0)+1),'Config'!$B$14))</f>
      </c>
      <c r="K66" s="22"/>
      <c r="L66" s="16">
        <f>IF($B66="","",MAX($F66-$K66,0))</f>
      </c>
      <c r="M66" s="19">
        <f>IF($B66="","",IF($H66&lt;&gt;"Sí","Pagado (contado)",IF($L66&lt;=0,"Pagado",IF($K66&gt;0,"Abono parcial","Pendiente"))))</f>
      </c>
      <c r="N66" s="19">
        <f>IF(OR($B66="",$H66&lt;&gt;"Sí",$L66&lt;=0),"",IF(TODAY()&gt;$J66,"🔴 VENCIDO hace "&amp;(TODAY()-$J66)&amp;" día(s)",IF($J66-TODAY()&lt;='Config'!$B$15,"🟠 Faltan "&amp;($J66-TODAY())&amp;" día(s) para pagar","🟢 Al día (paga el "&amp;TEXT($J66,"dd/mm")&amp;")")))</f>
      </c>
      <c r="O66" s="23"/>
      <c r="P66" s="17">
        <f>IF(OR($B66="",$O66=""),"",$O66-$A66)</f>
      </c>
    </row>
    <row r="67">
      <c r="A67" s="23"/>
      <c r="B67" s="20"/>
      <c r="C67" s="19">
        <f>IF($B67="","",IFERROR(VLOOKUP($B67,'Catálogo'!$A:$B,2,FALSE),"⚠ Código no existe"))</f>
      </c>
      <c r="D67" s="21"/>
      <c r="E67" s="22"/>
      <c r="F67" s="16">
        <f>IF($B67="","",$D67*$E67)</f>
      </c>
      <c r="G67" s="20"/>
      <c r="H67" s="20"/>
      <c r="I67" s="14">
        <f>IF(OR($B67="",$H67&lt;&gt;"Sí"),"",IF(DAY($A67)&lt;='Config'!$B$13,DATE(YEAR($A67),MONTH($A67),'Config'!$B$13),EOMONTH($A67,0)+'Config'!$B$13))</f>
      </c>
      <c r="J67" s="14">
        <f>IF($I67="","",DATE(YEAR(EOMONTH($I67,0)+1),MONTH(EOMONTH($I67,0)+1),'Config'!$B$14))</f>
      </c>
      <c r="K67" s="22"/>
      <c r="L67" s="16">
        <f>IF($B67="","",MAX($F67-$K67,0))</f>
      </c>
      <c r="M67" s="19">
        <f>IF($B67="","",IF($H67&lt;&gt;"Sí","Pagado (contado)",IF($L67&lt;=0,"Pagado",IF($K67&gt;0,"Abono parcial","Pendiente"))))</f>
      </c>
      <c r="N67" s="19">
        <f>IF(OR($B67="",$H67&lt;&gt;"Sí",$L67&lt;=0),"",IF(TODAY()&gt;$J67,"🔴 VENCIDO hace "&amp;(TODAY()-$J67)&amp;" día(s)",IF($J67-TODAY()&lt;='Config'!$B$15,"🟠 Faltan "&amp;($J67-TODAY())&amp;" día(s) para pagar","🟢 Al día (paga el "&amp;TEXT($J67,"dd/mm")&amp;")")))</f>
      </c>
      <c r="O67" s="23"/>
      <c r="P67" s="17">
        <f>IF(OR($B67="",$O67=""),"",$O67-$A67)</f>
      </c>
    </row>
    <row r="68">
      <c r="A68" s="23"/>
      <c r="B68" s="20"/>
      <c r="C68" s="19">
        <f>IF($B68="","",IFERROR(VLOOKUP($B68,'Catálogo'!$A:$B,2,FALSE),"⚠ Código no existe"))</f>
      </c>
      <c r="D68" s="21"/>
      <c r="E68" s="22"/>
      <c r="F68" s="16">
        <f>IF($B68="","",$D68*$E68)</f>
      </c>
      <c r="G68" s="20"/>
      <c r="H68" s="20"/>
      <c r="I68" s="14">
        <f>IF(OR($B68="",$H68&lt;&gt;"Sí"),"",IF(DAY($A68)&lt;='Config'!$B$13,DATE(YEAR($A68),MONTH($A68),'Config'!$B$13),EOMONTH($A68,0)+'Config'!$B$13))</f>
      </c>
      <c r="J68" s="14">
        <f>IF($I68="","",DATE(YEAR(EOMONTH($I68,0)+1),MONTH(EOMONTH($I68,0)+1),'Config'!$B$14))</f>
      </c>
      <c r="K68" s="22"/>
      <c r="L68" s="16">
        <f>IF($B68="","",MAX($F68-$K68,0))</f>
      </c>
      <c r="M68" s="19">
        <f>IF($B68="","",IF($H68&lt;&gt;"Sí","Pagado (contado)",IF($L68&lt;=0,"Pagado",IF($K68&gt;0,"Abono parcial","Pendiente"))))</f>
      </c>
      <c r="N68" s="19">
        <f>IF(OR($B68="",$H68&lt;&gt;"Sí",$L68&lt;=0),"",IF(TODAY()&gt;$J68,"🔴 VENCIDO hace "&amp;(TODAY()-$J68)&amp;" día(s)",IF($J68-TODAY()&lt;='Config'!$B$15,"🟠 Faltan "&amp;($J68-TODAY())&amp;" día(s) para pagar","🟢 Al día (paga el "&amp;TEXT($J68,"dd/mm")&amp;")")))</f>
      </c>
      <c r="O68" s="23"/>
      <c r="P68" s="17">
        <f>IF(OR($B68="",$O68=""),"",$O68-$A68)</f>
      </c>
    </row>
    <row r="69">
      <c r="A69" s="23"/>
      <c r="B69" s="20"/>
      <c r="C69" s="19">
        <f>IF($B69="","",IFERROR(VLOOKUP($B69,'Catálogo'!$A:$B,2,FALSE),"⚠ Código no existe"))</f>
      </c>
      <c r="D69" s="21"/>
      <c r="E69" s="22"/>
      <c r="F69" s="16">
        <f>IF($B69="","",$D69*$E69)</f>
      </c>
      <c r="G69" s="20"/>
      <c r="H69" s="20"/>
      <c r="I69" s="14">
        <f>IF(OR($B69="",$H69&lt;&gt;"Sí"),"",IF(DAY($A69)&lt;='Config'!$B$13,DATE(YEAR($A69),MONTH($A69),'Config'!$B$13),EOMONTH($A69,0)+'Config'!$B$13))</f>
      </c>
      <c r="J69" s="14">
        <f>IF($I69="","",DATE(YEAR(EOMONTH($I69,0)+1),MONTH(EOMONTH($I69,0)+1),'Config'!$B$14))</f>
      </c>
      <c r="K69" s="22"/>
      <c r="L69" s="16">
        <f>IF($B69="","",MAX($F69-$K69,0))</f>
      </c>
      <c r="M69" s="19">
        <f>IF($B69="","",IF($H69&lt;&gt;"Sí","Pagado (contado)",IF($L69&lt;=0,"Pagado",IF($K69&gt;0,"Abono parcial","Pendiente"))))</f>
      </c>
      <c r="N69" s="19">
        <f>IF(OR($B69="",$H69&lt;&gt;"Sí",$L69&lt;=0),"",IF(TODAY()&gt;$J69,"🔴 VENCIDO hace "&amp;(TODAY()-$J69)&amp;" día(s)",IF($J69-TODAY()&lt;='Config'!$B$15,"🟠 Faltan "&amp;($J69-TODAY())&amp;" día(s) para pagar","🟢 Al día (paga el "&amp;TEXT($J69,"dd/mm")&amp;")")))</f>
      </c>
      <c r="O69" s="23"/>
      <c r="P69" s="17">
        <f>IF(OR($B69="",$O69=""),"",$O69-$A69)</f>
      </c>
    </row>
    <row r="70">
      <c r="A70" s="23"/>
      <c r="B70" s="20"/>
      <c r="C70" s="19">
        <f>IF($B70="","",IFERROR(VLOOKUP($B70,'Catálogo'!$A:$B,2,FALSE),"⚠ Código no existe"))</f>
      </c>
      <c r="D70" s="21"/>
      <c r="E70" s="22"/>
      <c r="F70" s="16">
        <f>IF($B70="","",$D70*$E70)</f>
      </c>
      <c r="G70" s="20"/>
      <c r="H70" s="20"/>
      <c r="I70" s="14">
        <f>IF(OR($B70="",$H70&lt;&gt;"Sí"),"",IF(DAY($A70)&lt;='Config'!$B$13,DATE(YEAR($A70),MONTH($A70),'Config'!$B$13),EOMONTH($A70,0)+'Config'!$B$13))</f>
      </c>
      <c r="J70" s="14">
        <f>IF($I70="","",DATE(YEAR(EOMONTH($I70,0)+1),MONTH(EOMONTH($I70,0)+1),'Config'!$B$14))</f>
      </c>
      <c r="K70" s="22"/>
      <c r="L70" s="16">
        <f>IF($B70="","",MAX($F70-$K70,0))</f>
      </c>
      <c r="M70" s="19">
        <f>IF($B70="","",IF($H70&lt;&gt;"Sí","Pagado (contado)",IF($L70&lt;=0,"Pagado",IF($K70&gt;0,"Abono parcial","Pendiente"))))</f>
      </c>
      <c r="N70" s="19">
        <f>IF(OR($B70="",$H70&lt;&gt;"Sí",$L70&lt;=0),"",IF(TODAY()&gt;$J70,"🔴 VENCIDO hace "&amp;(TODAY()-$J70)&amp;" día(s)",IF($J70-TODAY()&lt;='Config'!$B$15,"🟠 Faltan "&amp;($J70-TODAY())&amp;" día(s) para pagar","🟢 Al día (paga el "&amp;TEXT($J70,"dd/mm")&amp;")")))</f>
      </c>
      <c r="O70" s="23"/>
      <c r="P70" s="17">
        <f>IF(OR($B70="",$O70=""),"",$O70-$A70)</f>
      </c>
    </row>
    <row r="71">
      <c r="A71" s="23"/>
      <c r="B71" s="20"/>
      <c r="C71" s="19">
        <f>IF($B71="","",IFERROR(VLOOKUP($B71,'Catálogo'!$A:$B,2,FALSE),"⚠ Código no existe"))</f>
      </c>
      <c r="D71" s="21"/>
      <c r="E71" s="22"/>
      <c r="F71" s="16">
        <f>IF($B71="","",$D71*$E71)</f>
      </c>
      <c r="G71" s="20"/>
      <c r="H71" s="20"/>
      <c r="I71" s="14">
        <f>IF(OR($B71="",$H71&lt;&gt;"Sí"),"",IF(DAY($A71)&lt;='Config'!$B$13,DATE(YEAR($A71),MONTH($A71),'Config'!$B$13),EOMONTH($A71,0)+'Config'!$B$13))</f>
      </c>
      <c r="J71" s="14">
        <f>IF($I71="","",DATE(YEAR(EOMONTH($I71,0)+1),MONTH(EOMONTH($I71,0)+1),'Config'!$B$14))</f>
      </c>
      <c r="K71" s="22"/>
      <c r="L71" s="16">
        <f>IF($B71="","",MAX($F71-$K71,0))</f>
      </c>
      <c r="M71" s="19">
        <f>IF($B71="","",IF($H71&lt;&gt;"Sí","Pagado (contado)",IF($L71&lt;=0,"Pagado",IF($K71&gt;0,"Abono parcial","Pendiente"))))</f>
      </c>
      <c r="N71" s="19">
        <f>IF(OR($B71="",$H71&lt;&gt;"Sí",$L71&lt;=0),"",IF(TODAY()&gt;$J71,"🔴 VENCIDO hace "&amp;(TODAY()-$J71)&amp;" día(s)",IF($J71-TODAY()&lt;='Config'!$B$15,"🟠 Faltan "&amp;($J71-TODAY())&amp;" día(s) para pagar","🟢 Al día (paga el "&amp;TEXT($J71,"dd/mm")&amp;")")))</f>
      </c>
      <c r="O71" s="23"/>
      <c r="P71" s="17">
        <f>IF(OR($B71="",$O71=""),"",$O71-$A71)</f>
      </c>
    </row>
    <row r="72">
      <c r="A72" s="23"/>
      <c r="B72" s="20"/>
      <c r="C72" s="19">
        <f>IF($B72="","",IFERROR(VLOOKUP($B72,'Catálogo'!$A:$B,2,FALSE),"⚠ Código no existe"))</f>
      </c>
      <c r="D72" s="21"/>
      <c r="E72" s="22"/>
      <c r="F72" s="16">
        <f>IF($B72="","",$D72*$E72)</f>
      </c>
      <c r="G72" s="20"/>
      <c r="H72" s="20"/>
      <c r="I72" s="14">
        <f>IF(OR($B72="",$H72&lt;&gt;"Sí"),"",IF(DAY($A72)&lt;='Config'!$B$13,DATE(YEAR($A72),MONTH($A72),'Config'!$B$13),EOMONTH($A72,0)+'Config'!$B$13))</f>
      </c>
      <c r="J72" s="14">
        <f>IF($I72="","",DATE(YEAR(EOMONTH($I72,0)+1),MONTH(EOMONTH($I72,0)+1),'Config'!$B$14))</f>
      </c>
      <c r="K72" s="22"/>
      <c r="L72" s="16">
        <f>IF($B72="","",MAX($F72-$K72,0))</f>
      </c>
      <c r="M72" s="19">
        <f>IF($B72="","",IF($H72&lt;&gt;"Sí","Pagado (contado)",IF($L72&lt;=0,"Pagado",IF($K72&gt;0,"Abono parcial","Pendiente"))))</f>
      </c>
      <c r="N72" s="19">
        <f>IF(OR($B72="",$H72&lt;&gt;"Sí",$L72&lt;=0),"",IF(TODAY()&gt;$J72,"🔴 VENCIDO hace "&amp;(TODAY()-$J72)&amp;" día(s)",IF($J72-TODAY()&lt;='Config'!$B$15,"🟠 Faltan "&amp;($J72-TODAY())&amp;" día(s) para pagar","🟢 Al día (paga el "&amp;TEXT($J72,"dd/mm")&amp;")")))</f>
      </c>
      <c r="O72" s="23"/>
      <c r="P72" s="17">
        <f>IF(OR($B72="",$O72=""),"",$O72-$A72)</f>
      </c>
    </row>
    <row r="73">
      <c r="A73" s="23"/>
      <c r="B73" s="20"/>
      <c r="C73" s="19">
        <f>IF($B73="","",IFERROR(VLOOKUP($B73,'Catálogo'!$A:$B,2,FALSE),"⚠ Código no existe"))</f>
      </c>
      <c r="D73" s="21"/>
      <c r="E73" s="22"/>
      <c r="F73" s="16">
        <f>IF($B73="","",$D73*$E73)</f>
      </c>
      <c r="G73" s="20"/>
      <c r="H73" s="20"/>
      <c r="I73" s="14">
        <f>IF(OR($B73="",$H73&lt;&gt;"Sí"),"",IF(DAY($A73)&lt;='Config'!$B$13,DATE(YEAR($A73),MONTH($A73),'Config'!$B$13),EOMONTH($A73,0)+'Config'!$B$13))</f>
      </c>
      <c r="J73" s="14">
        <f>IF($I73="","",DATE(YEAR(EOMONTH($I73,0)+1),MONTH(EOMONTH($I73,0)+1),'Config'!$B$14))</f>
      </c>
      <c r="K73" s="22"/>
      <c r="L73" s="16">
        <f>IF($B73="","",MAX($F73-$K73,0))</f>
      </c>
      <c r="M73" s="19">
        <f>IF($B73="","",IF($H73&lt;&gt;"Sí","Pagado (contado)",IF($L73&lt;=0,"Pagado",IF($K73&gt;0,"Abono parcial","Pendiente"))))</f>
      </c>
      <c r="N73" s="19">
        <f>IF(OR($B73="",$H73&lt;&gt;"Sí",$L73&lt;=0),"",IF(TODAY()&gt;$J73,"🔴 VENCIDO hace "&amp;(TODAY()-$J73)&amp;" día(s)",IF($J73-TODAY()&lt;='Config'!$B$15,"🟠 Faltan "&amp;($J73-TODAY())&amp;" día(s) para pagar","🟢 Al día (paga el "&amp;TEXT($J73,"dd/mm")&amp;")")))</f>
      </c>
      <c r="O73" s="23"/>
      <c r="P73" s="17">
        <f>IF(OR($B73="",$O73=""),"",$O73-$A73)</f>
      </c>
    </row>
    <row r="74">
      <c r="A74" s="23"/>
      <c r="B74" s="20"/>
      <c r="C74" s="19">
        <f>IF($B74="","",IFERROR(VLOOKUP($B74,'Catálogo'!$A:$B,2,FALSE),"⚠ Código no existe"))</f>
      </c>
      <c r="D74" s="21"/>
      <c r="E74" s="22"/>
      <c r="F74" s="16">
        <f>IF($B74="","",$D74*$E74)</f>
      </c>
      <c r="G74" s="20"/>
      <c r="H74" s="20"/>
      <c r="I74" s="14">
        <f>IF(OR($B74="",$H74&lt;&gt;"Sí"),"",IF(DAY($A74)&lt;='Config'!$B$13,DATE(YEAR($A74),MONTH($A74),'Config'!$B$13),EOMONTH($A74,0)+'Config'!$B$13))</f>
      </c>
      <c r="J74" s="14">
        <f>IF($I74="","",DATE(YEAR(EOMONTH($I74,0)+1),MONTH(EOMONTH($I74,0)+1),'Config'!$B$14))</f>
      </c>
      <c r="K74" s="22"/>
      <c r="L74" s="16">
        <f>IF($B74="","",MAX($F74-$K74,0))</f>
      </c>
      <c r="M74" s="19">
        <f>IF($B74="","",IF($H74&lt;&gt;"Sí","Pagado (contado)",IF($L74&lt;=0,"Pagado",IF($K74&gt;0,"Abono parcial","Pendiente"))))</f>
      </c>
      <c r="N74" s="19">
        <f>IF(OR($B74="",$H74&lt;&gt;"Sí",$L74&lt;=0),"",IF(TODAY()&gt;$J74,"🔴 VENCIDO hace "&amp;(TODAY()-$J74)&amp;" día(s)",IF($J74-TODAY()&lt;='Config'!$B$15,"🟠 Faltan "&amp;($J74-TODAY())&amp;" día(s) para pagar","🟢 Al día (paga el "&amp;TEXT($J74,"dd/mm")&amp;")")))</f>
      </c>
      <c r="O74" s="23"/>
      <c r="P74" s="17">
        <f>IF(OR($B74="",$O74=""),"",$O74-$A74)</f>
      </c>
    </row>
    <row r="75">
      <c r="A75" s="23"/>
      <c r="B75" s="20"/>
      <c r="C75" s="19">
        <f>IF($B75="","",IFERROR(VLOOKUP($B75,'Catálogo'!$A:$B,2,FALSE),"⚠ Código no existe"))</f>
      </c>
      <c r="D75" s="21"/>
      <c r="E75" s="22"/>
      <c r="F75" s="16">
        <f>IF($B75="","",$D75*$E75)</f>
      </c>
      <c r="G75" s="20"/>
      <c r="H75" s="20"/>
      <c r="I75" s="14">
        <f>IF(OR($B75="",$H75&lt;&gt;"Sí"),"",IF(DAY($A75)&lt;='Config'!$B$13,DATE(YEAR($A75),MONTH($A75),'Config'!$B$13),EOMONTH($A75,0)+'Config'!$B$13))</f>
      </c>
      <c r="J75" s="14">
        <f>IF($I75="","",DATE(YEAR(EOMONTH($I75,0)+1),MONTH(EOMONTH($I75,0)+1),'Config'!$B$14))</f>
      </c>
      <c r="K75" s="22"/>
      <c r="L75" s="16">
        <f>IF($B75="","",MAX($F75-$K75,0))</f>
      </c>
      <c r="M75" s="19">
        <f>IF($B75="","",IF($H75&lt;&gt;"Sí","Pagado (contado)",IF($L75&lt;=0,"Pagado",IF($K75&gt;0,"Abono parcial","Pendiente"))))</f>
      </c>
      <c r="N75" s="19">
        <f>IF(OR($B75="",$H75&lt;&gt;"Sí",$L75&lt;=0),"",IF(TODAY()&gt;$J75,"🔴 VENCIDO hace "&amp;(TODAY()-$J75)&amp;" día(s)",IF($J75-TODAY()&lt;='Config'!$B$15,"🟠 Faltan "&amp;($J75-TODAY())&amp;" día(s) para pagar","🟢 Al día (paga el "&amp;TEXT($J75,"dd/mm")&amp;")")))</f>
      </c>
      <c r="O75" s="23"/>
      <c r="P75" s="17">
        <f>IF(OR($B75="",$O75=""),"",$O75-$A75)</f>
      </c>
    </row>
    <row r="76">
      <c r="A76" s="23"/>
      <c r="B76" s="20"/>
      <c r="C76" s="19">
        <f>IF($B76="","",IFERROR(VLOOKUP($B76,'Catálogo'!$A:$B,2,FALSE),"⚠ Código no existe"))</f>
      </c>
      <c r="D76" s="21"/>
      <c r="E76" s="22"/>
      <c r="F76" s="16">
        <f>IF($B76="","",$D76*$E76)</f>
      </c>
      <c r="G76" s="20"/>
      <c r="H76" s="20"/>
      <c r="I76" s="14">
        <f>IF(OR($B76="",$H76&lt;&gt;"Sí"),"",IF(DAY($A76)&lt;='Config'!$B$13,DATE(YEAR($A76),MONTH($A76),'Config'!$B$13),EOMONTH($A76,0)+'Config'!$B$13))</f>
      </c>
      <c r="J76" s="14">
        <f>IF($I76="","",DATE(YEAR(EOMONTH($I76,0)+1),MONTH(EOMONTH($I76,0)+1),'Config'!$B$14))</f>
      </c>
      <c r="K76" s="22"/>
      <c r="L76" s="16">
        <f>IF($B76="","",MAX($F76-$K76,0))</f>
      </c>
      <c r="M76" s="19">
        <f>IF($B76="","",IF($H76&lt;&gt;"Sí","Pagado (contado)",IF($L76&lt;=0,"Pagado",IF($K76&gt;0,"Abono parcial","Pendiente"))))</f>
      </c>
      <c r="N76" s="19">
        <f>IF(OR($B76="",$H76&lt;&gt;"Sí",$L76&lt;=0),"",IF(TODAY()&gt;$J76,"🔴 VENCIDO hace "&amp;(TODAY()-$J76)&amp;" día(s)",IF($J76-TODAY()&lt;='Config'!$B$15,"🟠 Faltan "&amp;($J76-TODAY())&amp;" día(s) para pagar","🟢 Al día (paga el "&amp;TEXT($J76,"dd/mm")&amp;")")))</f>
      </c>
      <c r="O76" s="23"/>
      <c r="P76" s="17">
        <f>IF(OR($B76="",$O76=""),"",$O76-$A76)</f>
      </c>
    </row>
    <row r="77">
      <c r="A77" s="23"/>
      <c r="B77" s="20"/>
      <c r="C77" s="19">
        <f>IF($B77="","",IFERROR(VLOOKUP($B77,'Catálogo'!$A:$B,2,FALSE),"⚠ Código no existe"))</f>
      </c>
      <c r="D77" s="21"/>
      <c r="E77" s="22"/>
      <c r="F77" s="16">
        <f>IF($B77="","",$D77*$E77)</f>
      </c>
      <c r="G77" s="20"/>
      <c r="H77" s="20"/>
      <c r="I77" s="14">
        <f>IF(OR($B77="",$H77&lt;&gt;"Sí"),"",IF(DAY($A77)&lt;='Config'!$B$13,DATE(YEAR($A77),MONTH($A77),'Config'!$B$13),EOMONTH($A77,0)+'Config'!$B$13))</f>
      </c>
      <c r="J77" s="14">
        <f>IF($I77="","",DATE(YEAR(EOMONTH($I77,0)+1),MONTH(EOMONTH($I77,0)+1),'Config'!$B$14))</f>
      </c>
      <c r="K77" s="22"/>
      <c r="L77" s="16">
        <f>IF($B77="","",MAX($F77-$K77,0))</f>
      </c>
      <c r="M77" s="19">
        <f>IF($B77="","",IF($H77&lt;&gt;"Sí","Pagado (contado)",IF($L77&lt;=0,"Pagado",IF($K77&gt;0,"Abono parcial","Pendiente"))))</f>
      </c>
      <c r="N77" s="19">
        <f>IF(OR($B77="",$H77&lt;&gt;"Sí",$L77&lt;=0),"",IF(TODAY()&gt;$J77,"🔴 VENCIDO hace "&amp;(TODAY()-$J77)&amp;" día(s)",IF($J77-TODAY()&lt;='Config'!$B$15,"🟠 Faltan "&amp;($J77-TODAY())&amp;" día(s) para pagar","🟢 Al día (paga el "&amp;TEXT($J77,"dd/mm")&amp;")")))</f>
      </c>
      <c r="O77" s="23"/>
      <c r="P77" s="17">
        <f>IF(OR($B77="",$O77=""),"",$O77-$A77)</f>
      </c>
    </row>
    <row r="78">
      <c r="A78" s="23"/>
      <c r="B78" s="20"/>
      <c r="C78" s="19">
        <f>IF($B78="","",IFERROR(VLOOKUP($B78,'Catálogo'!$A:$B,2,FALSE),"⚠ Código no existe"))</f>
      </c>
      <c r="D78" s="21"/>
      <c r="E78" s="22"/>
      <c r="F78" s="16">
        <f>IF($B78="","",$D78*$E78)</f>
      </c>
      <c r="G78" s="20"/>
      <c r="H78" s="20"/>
      <c r="I78" s="14">
        <f>IF(OR($B78="",$H78&lt;&gt;"Sí"),"",IF(DAY($A78)&lt;='Config'!$B$13,DATE(YEAR($A78),MONTH($A78),'Config'!$B$13),EOMONTH($A78,0)+'Config'!$B$13))</f>
      </c>
      <c r="J78" s="14">
        <f>IF($I78="","",DATE(YEAR(EOMONTH($I78,0)+1),MONTH(EOMONTH($I78,0)+1),'Config'!$B$14))</f>
      </c>
      <c r="K78" s="22"/>
      <c r="L78" s="16">
        <f>IF($B78="","",MAX($F78-$K78,0))</f>
      </c>
      <c r="M78" s="19">
        <f>IF($B78="","",IF($H78&lt;&gt;"Sí","Pagado (contado)",IF($L78&lt;=0,"Pagado",IF($K78&gt;0,"Abono parcial","Pendiente"))))</f>
      </c>
      <c r="N78" s="19">
        <f>IF(OR($B78="",$H78&lt;&gt;"Sí",$L78&lt;=0),"",IF(TODAY()&gt;$J78,"🔴 VENCIDO hace "&amp;(TODAY()-$J78)&amp;" día(s)",IF($J78-TODAY()&lt;='Config'!$B$15,"🟠 Faltan "&amp;($J78-TODAY())&amp;" día(s) para pagar","🟢 Al día (paga el "&amp;TEXT($J78,"dd/mm")&amp;")")))</f>
      </c>
      <c r="O78" s="23"/>
      <c r="P78" s="17">
        <f>IF(OR($B78="",$O78=""),"",$O78-$A78)</f>
      </c>
    </row>
    <row r="79">
      <c r="A79" s="23"/>
      <c r="B79" s="20"/>
      <c r="C79" s="19">
        <f>IF($B79="","",IFERROR(VLOOKUP($B79,'Catálogo'!$A:$B,2,FALSE),"⚠ Código no existe"))</f>
      </c>
      <c r="D79" s="21"/>
      <c r="E79" s="22"/>
      <c r="F79" s="16">
        <f>IF($B79="","",$D79*$E79)</f>
      </c>
      <c r="G79" s="20"/>
      <c r="H79" s="20"/>
      <c r="I79" s="14">
        <f>IF(OR($B79="",$H79&lt;&gt;"Sí"),"",IF(DAY($A79)&lt;='Config'!$B$13,DATE(YEAR($A79),MONTH($A79),'Config'!$B$13),EOMONTH($A79,0)+'Config'!$B$13))</f>
      </c>
      <c r="J79" s="14">
        <f>IF($I79="","",DATE(YEAR(EOMONTH($I79,0)+1),MONTH(EOMONTH($I79,0)+1),'Config'!$B$14))</f>
      </c>
      <c r="K79" s="22"/>
      <c r="L79" s="16">
        <f>IF($B79="","",MAX($F79-$K79,0))</f>
      </c>
      <c r="M79" s="19">
        <f>IF($B79="","",IF($H79&lt;&gt;"Sí","Pagado (contado)",IF($L79&lt;=0,"Pagado",IF($K79&gt;0,"Abono parcial","Pendiente"))))</f>
      </c>
      <c r="N79" s="19">
        <f>IF(OR($B79="",$H79&lt;&gt;"Sí",$L79&lt;=0),"",IF(TODAY()&gt;$J79,"🔴 VENCIDO hace "&amp;(TODAY()-$J79)&amp;" día(s)",IF($J79-TODAY()&lt;='Config'!$B$15,"🟠 Faltan "&amp;($J79-TODAY())&amp;" día(s) para pagar","🟢 Al día (paga el "&amp;TEXT($J79,"dd/mm")&amp;")")))</f>
      </c>
      <c r="O79" s="23"/>
      <c r="P79" s="17">
        <f>IF(OR($B79="",$O79=""),"",$O79-$A79)</f>
      </c>
    </row>
    <row r="80">
      <c r="A80" s="23"/>
      <c r="B80" s="20"/>
      <c r="C80" s="19">
        <f>IF($B80="","",IFERROR(VLOOKUP($B80,'Catálogo'!$A:$B,2,FALSE),"⚠ Código no existe"))</f>
      </c>
      <c r="D80" s="21"/>
      <c r="E80" s="22"/>
      <c r="F80" s="16">
        <f>IF($B80="","",$D80*$E80)</f>
      </c>
      <c r="G80" s="20"/>
      <c r="H80" s="20"/>
      <c r="I80" s="14">
        <f>IF(OR($B80="",$H80&lt;&gt;"Sí"),"",IF(DAY($A80)&lt;='Config'!$B$13,DATE(YEAR($A80),MONTH($A80),'Config'!$B$13),EOMONTH($A80,0)+'Config'!$B$13))</f>
      </c>
      <c r="J80" s="14">
        <f>IF($I80="","",DATE(YEAR(EOMONTH($I80,0)+1),MONTH(EOMONTH($I80,0)+1),'Config'!$B$14))</f>
      </c>
      <c r="K80" s="22"/>
      <c r="L80" s="16">
        <f>IF($B80="","",MAX($F80-$K80,0))</f>
      </c>
      <c r="M80" s="19">
        <f>IF($B80="","",IF($H80&lt;&gt;"Sí","Pagado (contado)",IF($L80&lt;=0,"Pagado",IF($K80&gt;0,"Abono parcial","Pendiente"))))</f>
      </c>
      <c r="N80" s="19">
        <f>IF(OR($B80="",$H80&lt;&gt;"Sí",$L80&lt;=0),"",IF(TODAY()&gt;$J80,"🔴 VENCIDO hace "&amp;(TODAY()-$J80)&amp;" día(s)",IF($J80-TODAY()&lt;='Config'!$B$15,"🟠 Faltan "&amp;($J80-TODAY())&amp;" día(s) para pagar","🟢 Al día (paga el "&amp;TEXT($J80,"dd/mm")&amp;")")))</f>
      </c>
      <c r="O80" s="23"/>
      <c r="P80" s="17">
        <f>IF(OR($B80="",$O80=""),"",$O80-$A80)</f>
      </c>
    </row>
    <row r="81">
      <c r="A81" s="23"/>
      <c r="B81" s="20"/>
      <c r="C81" s="19">
        <f>IF($B81="","",IFERROR(VLOOKUP($B81,'Catálogo'!$A:$B,2,FALSE),"⚠ Código no existe"))</f>
      </c>
      <c r="D81" s="21"/>
      <c r="E81" s="22"/>
      <c r="F81" s="16">
        <f>IF($B81="","",$D81*$E81)</f>
      </c>
      <c r="G81" s="20"/>
      <c r="H81" s="20"/>
      <c r="I81" s="14">
        <f>IF(OR($B81="",$H81&lt;&gt;"Sí"),"",IF(DAY($A81)&lt;='Config'!$B$13,DATE(YEAR($A81),MONTH($A81),'Config'!$B$13),EOMONTH($A81,0)+'Config'!$B$13))</f>
      </c>
      <c r="J81" s="14">
        <f>IF($I81="","",DATE(YEAR(EOMONTH($I81,0)+1),MONTH(EOMONTH($I81,0)+1),'Config'!$B$14))</f>
      </c>
      <c r="K81" s="22"/>
      <c r="L81" s="16">
        <f>IF($B81="","",MAX($F81-$K81,0))</f>
      </c>
      <c r="M81" s="19">
        <f>IF($B81="","",IF($H81&lt;&gt;"Sí","Pagado (contado)",IF($L81&lt;=0,"Pagado",IF($K81&gt;0,"Abono parcial","Pendiente"))))</f>
      </c>
      <c r="N81" s="19">
        <f>IF(OR($B81="",$H81&lt;&gt;"Sí",$L81&lt;=0),"",IF(TODAY()&gt;$J81,"🔴 VENCIDO hace "&amp;(TODAY()-$J81)&amp;" día(s)",IF($J81-TODAY()&lt;='Config'!$B$15,"🟠 Faltan "&amp;($J81-TODAY())&amp;" día(s) para pagar","🟢 Al día (paga el "&amp;TEXT($J81,"dd/mm")&amp;")")))</f>
      </c>
      <c r="O81" s="23"/>
      <c r="P81" s="17">
        <f>IF(OR($B81="",$O81=""),"",$O81-$A81)</f>
      </c>
    </row>
    <row r="82">
      <c r="A82" s="23"/>
      <c r="B82" s="20"/>
      <c r="C82" s="19">
        <f>IF($B82="","",IFERROR(VLOOKUP($B82,'Catálogo'!$A:$B,2,FALSE),"⚠ Código no existe"))</f>
      </c>
      <c r="D82" s="21"/>
      <c r="E82" s="22"/>
      <c r="F82" s="16">
        <f>IF($B82="","",$D82*$E82)</f>
      </c>
      <c r="G82" s="20"/>
      <c r="H82" s="20"/>
      <c r="I82" s="14">
        <f>IF(OR($B82="",$H82&lt;&gt;"Sí"),"",IF(DAY($A82)&lt;='Config'!$B$13,DATE(YEAR($A82),MONTH($A82),'Config'!$B$13),EOMONTH($A82,0)+'Config'!$B$13))</f>
      </c>
      <c r="J82" s="14">
        <f>IF($I82="","",DATE(YEAR(EOMONTH($I82,0)+1),MONTH(EOMONTH($I82,0)+1),'Config'!$B$14))</f>
      </c>
      <c r="K82" s="22"/>
      <c r="L82" s="16">
        <f>IF($B82="","",MAX($F82-$K82,0))</f>
      </c>
      <c r="M82" s="19">
        <f>IF($B82="","",IF($H82&lt;&gt;"Sí","Pagado (contado)",IF($L82&lt;=0,"Pagado",IF($K82&gt;0,"Abono parcial","Pendiente"))))</f>
      </c>
      <c r="N82" s="19">
        <f>IF(OR($B82="",$H82&lt;&gt;"Sí",$L82&lt;=0),"",IF(TODAY()&gt;$J82,"🔴 VENCIDO hace "&amp;(TODAY()-$J82)&amp;" día(s)",IF($J82-TODAY()&lt;='Config'!$B$15,"🟠 Faltan "&amp;($J82-TODAY())&amp;" día(s) para pagar","🟢 Al día (paga el "&amp;TEXT($J82,"dd/mm")&amp;")")))</f>
      </c>
      <c r="O82" s="23"/>
      <c r="P82" s="17">
        <f>IF(OR($B82="",$O82=""),"",$O82-$A82)</f>
      </c>
    </row>
    <row r="83">
      <c r="A83" s="23"/>
      <c r="B83" s="20"/>
      <c r="C83" s="19">
        <f>IF($B83="","",IFERROR(VLOOKUP($B83,'Catálogo'!$A:$B,2,FALSE),"⚠ Código no existe"))</f>
      </c>
      <c r="D83" s="21"/>
      <c r="E83" s="22"/>
      <c r="F83" s="16">
        <f>IF($B83="","",$D83*$E83)</f>
      </c>
      <c r="G83" s="20"/>
      <c r="H83" s="20"/>
      <c r="I83" s="14">
        <f>IF(OR($B83="",$H83&lt;&gt;"Sí"),"",IF(DAY($A83)&lt;='Config'!$B$13,DATE(YEAR($A83),MONTH($A83),'Config'!$B$13),EOMONTH($A83,0)+'Config'!$B$13))</f>
      </c>
      <c r="J83" s="14">
        <f>IF($I83="","",DATE(YEAR(EOMONTH($I83,0)+1),MONTH(EOMONTH($I83,0)+1),'Config'!$B$14))</f>
      </c>
      <c r="K83" s="22"/>
      <c r="L83" s="16">
        <f>IF($B83="","",MAX($F83-$K83,0))</f>
      </c>
      <c r="M83" s="19">
        <f>IF($B83="","",IF($H83&lt;&gt;"Sí","Pagado (contado)",IF($L83&lt;=0,"Pagado",IF($K83&gt;0,"Abono parcial","Pendiente"))))</f>
      </c>
      <c r="N83" s="19">
        <f>IF(OR($B83="",$H83&lt;&gt;"Sí",$L83&lt;=0),"",IF(TODAY()&gt;$J83,"🔴 VENCIDO hace "&amp;(TODAY()-$J83)&amp;" día(s)",IF($J83-TODAY()&lt;='Config'!$B$15,"🟠 Faltan "&amp;($J83-TODAY())&amp;" día(s) para pagar","🟢 Al día (paga el "&amp;TEXT($J83,"dd/mm")&amp;")")))</f>
      </c>
      <c r="O83" s="23"/>
      <c r="P83" s="17">
        <f>IF(OR($B83="",$O83=""),"",$O83-$A83)</f>
      </c>
    </row>
    <row r="84">
      <c r="A84" s="23"/>
      <c r="B84" s="20"/>
      <c r="C84" s="19">
        <f>IF($B84="","",IFERROR(VLOOKUP($B84,'Catálogo'!$A:$B,2,FALSE),"⚠ Código no existe"))</f>
      </c>
      <c r="D84" s="21"/>
      <c r="E84" s="22"/>
      <c r="F84" s="16">
        <f>IF($B84="","",$D84*$E84)</f>
      </c>
      <c r="G84" s="20"/>
      <c r="H84" s="20"/>
      <c r="I84" s="14">
        <f>IF(OR($B84="",$H84&lt;&gt;"Sí"),"",IF(DAY($A84)&lt;='Config'!$B$13,DATE(YEAR($A84),MONTH($A84),'Config'!$B$13),EOMONTH($A84,0)+'Config'!$B$13))</f>
      </c>
      <c r="J84" s="14">
        <f>IF($I84="","",DATE(YEAR(EOMONTH($I84,0)+1),MONTH(EOMONTH($I84,0)+1),'Config'!$B$14))</f>
      </c>
      <c r="K84" s="22"/>
      <c r="L84" s="16">
        <f>IF($B84="","",MAX($F84-$K84,0))</f>
      </c>
      <c r="M84" s="19">
        <f>IF($B84="","",IF($H84&lt;&gt;"Sí","Pagado (contado)",IF($L84&lt;=0,"Pagado",IF($K84&gt;0,"Abono parcial","Pendiente"))))</f>
      </c>
      <c r="N84" s="19">
        <f>IF(OR($B84="",$H84&lt;&gt;"Sí",$L84&lt;=0),"",IF(TODAY()&gt;$J84,"🔴 VENCIDO hace "&amp;(TODAY()-$J84)&amp;" día(s)",IF($J84-TODAY()&lt;='Config'!$B$15,"🟠 Faltan "&amp;($J84-TODAY())&amp;" día(s) para pagar","🟢 Al día (paga el "&amp;TEXT($J84,"dd/mm")&amp;")")))</f>
      </c>
      <c r="O84" s="23"/>
      <c r="P84" s="17">
        <f>IF(OR($B84="",$O84=""),"",$O84-$A84)</f>
      </c>
    </row>
    <row r="85">
      <c r="A85" s="23"/>
      <c r="B85" s="20"/>
      <c r="C85" s="19">
        <f>IF($B85="","",IFERROR(VLOOKUP($B85,'Catálogo'!$A:$B,2,FALSE),"⚠ Código no existe"))</f>
      </c>
      <c r="D85" s="21"/>
      <c r="E85" s="22"/>
      <c r="F85" s="16">
        <f>IF($B85="","",$D85*$E85)</f>
      </c>
      <c r="G85" s="20"/>
      <c r="H85" s="20"/>
      <c r="I85" s="14">
        <f>IF(OR($B85="",$H85&lt;&gt;"Sí"),"",IF(DAY($A85)&lt;='Config'!$B$13,DATE(YEAR($A85),MONTH($A85),'Config'!$B$13),EOMONTH($A85,0)+'Config'!$B$13))</f>
      </c>
      <c r="J85" s="14">
        <f>IF($I85="","",DATE(YEAR(EOMONTH($I85,0)+1),MONTH(EOMONTH($I85,0)+1),'Config'!$B$14))</f>
      </c>
      <c r="K85" s="22"/>
      <c r="L85" s="16">
        <f>IF($B85="","",MAX($F85-$K85,0))</f>
      </c>
      <c r="M85" s="19">
        <f>IF($B85="","",IF($H85&lt;&gt;"Sí","Pagado (contado)",IF($L85&lt;=0,"Pagado",IF($K85&gt;0,"Abono parcial","Pendiente"))))</f>
      </c>
      <c r="N85" s="19">
        <f>IF(OR($B85="",$H85&lt;&gt;"Sí",$L85&lt;=0),"",IF(TODAY()&gt;$J85,"🔴 VENCIDO hace "&amp;(TODAY()-$J85)&amp;" día(s)",IF($J85-TODAY()&lt;='Config'!$B$15,"🟠 Faltan "&amp;($J85-TODAY())&amp;" día(s) para pagar","🟢 Al día (paga el "&amp;TEXT($J85,"dd/mm")&amp;")")))</f>
      </c>
      <c r="O85" s="23"/>
      <c r="P85" s="17">
        <f>IF(OR($B85="",$O85=""),"",$O85-$A85)</f>
      </c>
    </row>
    <row r="86">
      <c r="A86" s="23"/>
      <c r="B86" s="20"/>
      <c r="C86" s="19">
        <f>IF($B86="","",IFERROR(VLOOKUP($B86,'Catálogo'!$A:$B,2,FALSE),"⚠ Código no existe"))</f>
      </c>
      <c r="D86" s="21"/>
      <c r="E86" s="22"/>
      <c r="F86" s="16">
        <f>IF($B86="","",$D86*$E86)</f>
      </c>
      <c r="G86" s="20"/>
      <c r="H86" s="20"/>
      <c r="I86" s="14">
        <f>IF(OR($B86="",$H86&lt;&gt;"Sí"),"",IF(DAY($A86)&lt;='Config'!$B$13,DATE(YEAR($A86),MONTH($A86),'Config'!$B$13),EOMONTH($A86,0)+'Config'!$B$13))</f>
      </c>
      <c r="J86" s="14">
        <f>IF($I86="","",DATE(YEAR(EOMONTH($I86,0)+1),MONTH(EOMONTH($I86,0)+1),'Config'!$B$14))</f>
      </c>
      <c r="K86" s="22"/>
      <c r="L86" s="16">
        <f>IF($B86="","",MAX($F86-$K86,0))</f>
      </c>
      <c r="M86" s="19">
        <f>IF($B86="","",IF($H86&lt;&gt;"Sí","Pagado (contado)",IF($L86&lt;=0,"Pagado",IF($K86&gt;0,"Abono parcial","Pendiente"))))</f>
      </c>
      <c r="N86" s="19">
        <f>IF(OR($B86="",$H86&lt;&gt;"Sí",$L86&lt;=0),"",IF(TODAY()&gt;$J86,"🔴 VENCIDO hace "&amp;(TODAY()-$J86)&amp;" día(s)",IF($J86-TODAY()&lt;='Config'!$B$15,"🟠 Faltan "&amp;($J86-TODAY())&amp;" día(s) para pagar","🟢 Al día (paga el "&amp;TEXT($J86,"dd/mm")&amp;")")))</f>
      </c>
      <c r="O86" s="23"/>
      <c r="P86" s="17">
        <f>IF(OR($B86="",$O86=""),"",$O86-$A86)</f>
      </c>
    </row>
    <row r="87">
      <c r="A87" s="23"/>
      <c r="B87" s="20"/>
      <c r="C87" s="19">
        <f>IF($B87="","",IFERROR(VLOOKUP($B87,'Catálogo'!$A:$B,2,FALSE),"⚠ Código no existe"))</f>
      </c>
      <c r="D87" s="21"/>
      <c r="E87" s="22"/>
      <c r="F87" s="16">
        <f>IF($B87="","",$D87*$E87)</f>
      </c>
      <c r="G87" s="20"/>
      <c r="H87" s="20"/>
      <c r="I87" s="14">
        <f>IF(OR($B87="",$H87&lt;&gt;"Sí"),"",IF(DAY($A87)&lt;='Config'!$B$13,DATE(YEAR($A87),MONTH($A87),'Config'!$B$13),EOMONTH($A87,0)+'Config'!$B$13))</f>
      </c>
      <c r="J87" s="14">
        <f>IF($I87="","",DATE(YEAR(EOMONTH($I87,0)+1),MONTH(EOMONTH($I87,0)+1),'Config'!$B$14))</f>
      </c>
      <c r="K87" s="22"/>
      <c r="L87" s="16">
        <f>IF($B87="","",MAX($F87-$K87,0))</f>
      </c>
      <c r="M87" s="19">
        <f>IF($B87="","",IF($H87&lt;&gt;"Sí","Pagado (contado)",IF($L87&lt;=0,"Pagado",IF($K87&gt;0,"Abono parcial","Pendiente"))))</f>
      </c>
      <c r="N87" s="19">
        <f>IF(OR($B87="",$H87&lt;&gt;"Sí",$L87&lt;=0),"",IF(TODAY()&gt;$J87,"🔴 VENCIDO hace "&amp;(TODAY()-$J87)&amp;" día(s)",IF($J87-TODAY()&lt;='Config'!$B$15,"🟠 Faltan "&amp;($J87-TODAY())&amp;" día(s) para pagar","🟢 Al día (paga el "&amp;TEXT($J87,"dd/mm")&amp;")")))</f>
      </c>
      <c r="O87" s="23"/>
      <c r="P87" s="17">
        <f>IF(OR($B87="",$O87=""),"",$O87-$A87)</f>
      </c>
    </row>
    <row r="88">
      <c r="A88" s="23"/>
      <c r="B88" s="20"/>
      <c r="C88" s="19">
        <f>IF($B88="","",IFERROR(VLOOKUP($B88,'Catálogo'!$A:$B,2,FALSE),"⚠ Código no existe"))</f>
      </c>
      <c r="D88" s="21"/>
      <c r="E88" s="22"/>
      <c r="F88" s="16">
        <f>IF($B88="","",$D88*$E88)</f>
      </c>
      <c r="G88" s="20"/>
      <c r="H88" s="20"/>
      <c r="I88" s="14">
        <f>IF(OR($B88="",$H88&lt;&gt;"Sí"),"",IF(DAY($A88)&lt;='Config'!$B$13,DATE(YEAR($A88),MONTH($A88),'Config'!$B$13),EOMONTH($A88,0)+'Config'!$B$13))</f>
      </c>
      <c r="J88" s="14">
        <f>IF($I88="","",DATE(YEAR(EOMONTH($I88,0)+1),MONTH(EOMONTH($I88,0)+1),'Config'!$B$14))</f>
      </c>
      <c r="K88" s="22"/>
      <c r="L88" s="16">
        <f>IF($B88="","",MAX($F88-$K88,0))</f>
      </c>
      <c r="M88" s="19">
        <f>IF($B88="","",IF($H88&lt;&gt;"Sí","Pagado (contado)",IF($L88&lt;=0,"Pagado",IF($K88&gt;0,"Abono parcial","Pendiente"))))</f>
      </c>
      <c r="N88" s="19">
        <f>IF(OR($B88="",$H88&lt;&gt;"Sí",$L88&lt;=0),"",IF(TODAY()&gt;$J88,"🔴 VENCIDO hace "&amp;(TODAY()-$J88)&amp;" día(s)",IF($J88-TODAY()&lt;='Config'!$B$15,"🟠 Faltan "&amp;($J88-TODAY())&amp;" día(s) para pagar","🟢 Al día (paga el "&amp;TEXT($J88,"dd/mm")&amp;")")))</f>
      </c>
      <c r="O88" s="23"/>
      <c r="P88" s="17">
        <f>IF(OR($B88="",$O88=""),"",$O88-$A88)</f>
      </c>
    </row>
    <row r="89">
      <c r="A89" s="23"/>
      <c r="B89" s="20"/>
      <c r="C89" s="19">
        <f>IF($B89="","",IFERROR(VLOOKUP($B89,'Catálogo'!$A:$B,2,FALSE),"⚠ Código no existe"))</f>
      </c>
      <c r="D89" s="21"/>
      <c r="E89" s="22"/>
      <c r="F89" s="16">
        <f>IF($B89="","",$D89*$E89)</f>
      </c>
      <c r="G89" s="20"/>
      <c r="H89" s="20"/>
      <c r="I89" s="14">
        <f>IF(OR($B89="",$H89&lt;&gt;"Sí"),"",IF(DAY($A89)&lt;='Config'!$B$13,DATE(YEAR($A89),MONTH($A89),'Config'!$B$13),EOMONTH($A89,0)+'Config'!$B$13))</f>
      </c>
      <c r="J89" s="14">
        <f>IF($I89="","",DATE(YEAR(EOMONTH($I89,0)+1),MONTH(EOMONTH($I89,0)+1),'Config'!$B$14))</f>
      </c>
      <c r="K89" s="22"/>
      <c r="L89" s="16">
        <f>IF($B89="","",MAX($F89-$K89,0))</f>
      </c>
      <c r="M89" s="19">
        <f>IF($B89="","",IF($H89&lt;&gt;"Sí","Pagado (contado)",IF($L89&lt;=0,"Pagado",IF($K89&gt;0,"Abono parcial","Pendiente"))))</f>
      </c>
      <c r="N89" s="19">
        <f>IF(OR($B89="",$H89&lt;&gt;"Sí",$L89&lt;=0),"",IF(TODAY()&gt;$J89,"🔴 VENCIDO hace "&amp;(TODAY()-$J89)&amp;" día(s)",IF($J89-TODAY()&lt;='Config'!$B$15,"🟠 Faltan "&amp;($J89-TODAY())&amp;" día(s) para pagar","🟢 Al día (paga el "&amp;TEXT($J89,"dd/mm")&amp;")")))</f>
      </c>
      <c r="O89" s="23"/>
      <c r="P89" s="17">
        <f>IF(OR($B89="",$O89=""),"",$O89-$A89)</f>
      </c>
    </row>
    <row r="90">
      <c r="A90" s="23"/>
      <c r="B90" s="20"/>
      <c r="C90" s="19">
        <f>IF($B90="","",IFERROR(VLOOKUP($B90,'Catálogo'!$A:$B,2,FALSE),"⚠ Código no existe"))</f>
      </c>
      <c r="D90" s="21"/>
      <c r="E90" s="22"/>
      <c r="F90" s="16">
        <f>IF($B90="","",$D90*$E90)</f>
      </c>
      <c r="G90" s="20"/>
      <c r="H90" s="20"/>
      <c r="I90" s="14">
        <f>IF(OR($B90="",$H90&lt;&gt;"Sí"),"",IF(DAY($A90)&lt;='Config'!$B$13,DATE(YEAR($A90),MONTH($A90),'Config'!$B$13),EOMONTH($A90,0)+'Config'!$B$13))</f>
      </c>
      <c r="J90" s="14">
        <f>IF($I90="","",DATE(YEAR(EOMONTH($I90,0)+1),MONTH(EOMONTH($I90,0)+1),'Config'!$B$14))</f>
      </c>
      <c r="K90" s="22"/>
      <c r="L90" s="16">
        <f>IF($B90="","",MAX($F90-$K90,0))</f>
      </c>
      <c r="M90" s="19">
        <f>IF($B90="","",IF($H90&lt;&gt;"Sí","Pagado (contado)",IF($L90&lt;=0,"Pagado",IF($K90&gt;0,"Abono parcial","Pendiente"))))</f>
      </c>
      <c r="N90" s="19">
        <f>IF(OR($B90="",$H90&lt;&gt;"Sí",$L90&lt;=0),"",IF(TODAY()&gt;$J90,"🔴 VENCIDO hace "&amp;(TODAY()-$J90)&amp;" día(s)",IF($J90-TODAY()&lt;='Config'!$B$15,"🟠 Faltan "&amp;($J90-TODAY())&amp;" día(s) para pagar","🟢 Al día (paga el "&amp;TEXT($J90,"dd/mm")&amp;")")))</f>
      </c>
      <c r="O90" s="23"/>
      <c r="P90" s="17">
        <f>IF(OR($B90="",$O90=""),"",$O90-$A90)</f>
      </c>
    </row>
    <row r="91">
      <c r="A91" s="23"/>
      <c r="B91" s="20"/>
      <c r="C91" s="19">
        <f>IF($B91="","",IFERROR(VLOOKUP($B91,'Catálogo'!$A:$B,2,FALSE),"⚠ Código no existe"))</f>
      </c>
      <c r="D91" s="21"/>
      <c r="E91" s="22"/>
      <c r="F91" s="16">
        <f>IF($B91="","",$D91*$E91)</f>
      </c>
      <c r="G91" s="20"/>
      <c r="H91" s="20"/>
      <c r="I91" s="14">
        <f>IF(OR($B91="",$H91&lt;&gt;"Sí"),"",IF(DAY($A91)&lt;='Config'!$B$13,DATE(YEAR($A91),MONTH($A91),'Config'!$B$13),EOMONTH($A91,0)+'Config'!$B$13))</f>
      </c>
      <c r="J91" s="14">
        <f>IF($I91="","",DATE(YEAR(EOMONTH($I91,0)+1),MONTH(EOMONTH($I91,0)+1),'Config'!$B$14))</f>
      </c>
      <c r="K91" s="22"/>
      <c r="L91" s="16">
        <f>IF($B91="","",MAX($F91-$K91,0))</f>
      </c>
      <c r="M91" s="19">
        <f>IF($B91="","",IF($H91&lt;&gt;"Sí","Pagado (contado)",IF($L91&lt;=0,"Pagado",IF($K91&gt;0,"Abono parcial","Pendiente"))))</f>
      </c>
      <c r="N91" s="19">
        <f>IF(OR($B91="",$H91&lt;&gt;"Sí",$L91&lt;=0),"",IF(TODAY()&gt;$J91,"🔴 VENCIDO hace "&amp;(TODAY()-$J91)&amp;" día(s)",IF($J91-TODAY()&lt;='Config'!$B$15,"🟠 Faltan "&amp;($J91-TODAY())&amp;" día(s) para pagar","🟢 Al día (paga el "&amp;TEXT($J91,"dd/mm")&amp;")")))</f>
      </c>
      <c r="O91" s="23"/>
      <c r="P91" s="17">
        <f>IF(OR($B91="",$O91=""),"",$O91-$A91)</f>
      </c>
    </row>
    <row r="92">
      <c r="A92" s="23"/>
      <c r="B92" s="20"/>
      <c r="C92" s="19">
        <f>IF($B92="","",IFERROR(VLOOKUP($B92,'Catálogo'!$A:$B,2,FALSE),"⚠ Código no existe"))</f>
      </c>
      <c r="D92" s="21"/>
      <c r="E92" s="22"/>
      <c r="F92" s="16">
        <f>IF($B92="","",$D92*$E92)</f>
      </c>
      <c r="G92" s="20"/>
      <c r="H92" s="20"/>
      <c r="I92" s="14">
        <f>IF(OR($B92="",$H92&lt;&gt;"Sí"),"",IF(DAY($A92)&lt;='Config'!$B$13,DATE(YEAR($A92),MONTH($A92),'Config'!$B$13),EOMONTH($A92,0)+'Config'!$B$13))</f>
      </c>
      <c r="J92" s="14">
        <f>IF($I92="","",DATE(YEAR(EOMONTH($I92,0)+1),MONTH(EOMONTH($I92,0)+1),'Config'!$B$14))</f>
      </c>
      <c r="K92" s="22"/>
      <c r="L92" s="16">
        <f>IF($B92="","",MAX($F92-$K92,0))</f>
      </c>
      <c r="M92" s="19">
        <f>IF($B92="","",IF($H92&lt;&gt;"Sí","Pagado (contado)",IF($L92&lt;=0,"Pagado",IF($K92&gt;0,"Abono parcial","Pendiente"))))</f>
      </c>
      <c r="N92" s="19">
        <f>IF(OR($B92="",$H92&lt;&gt;"Sí",$L92&lt;=0),"",IF(TODAY()&gt;$J92,"🔴 VENCIDO hace "&amp;(TODAY()-$J92)&amp;" día(s)",IF($J92-TODAY()&lt;='Config'!$B$15,"🟠 Faltan "&amp;($J92-TODAY())&amp;" día(s) para pagar","🟢 Al día (paga el "&amp;TEXT($J92,"dd/mm")&amp;")")))</f>
      </c>
      <c r="O92" s="23"/>
      <c r="P92" s="17">
        <f>IF(OR($B92="",$O92=""),"",$O92-$A92)</f>
      </c>
    </row>
    <row r="93">
      <c r="A93" s="23"/>
      <c r="B93" s="20"/>
      <c r="C93" s="19">
        <f>IF($B93="","",IFERROR(VLOOKUP($B93,'Catálogo'!$A:$B,2,FALSE),"⚠ Código no existe"))</f>
      </c>
      <c r="D93" s="21"/>
      <c r="E93" s="22"/>
      <c r="F93" s="16">
        <f>IF($B93="","",$D93*$E93)</f>
      </c>
      <c r="G93" s="20"/>
      <c r="H93" s="20"/>
      <c r="I93" s="14">
        <f>IF(OR($B93="",$H93&lt;&gt;"Sí"),"",IF(DAY($A93)&lt;='Config'!$B$13,DATE(YEAR($A93),MONTH($A93),'Config'!$B$13),EOMONTH($A93,0)+'Config'!$B$13))</f>
      </c>
      <c r="J93" s="14">
        <f>IF($I93="","",DATE(YEAR(EOMONTH($I93,0)+1),MONTH(EOMONTH($I93,0)+1),'Config'!$B$14))</f>
      </c>
      <c r="K93" s="22"/>
      <c r="L93" s="16">
        <f>IF($B93="","",MAX($F93-$K93,0))</f>
      </c>
      <c r="M93" s="19">
        <f>IF($B93="","",IF($H93&lt;&gt;"Sí","Pagado (contado)",IF($L93&lt;=0,"Pagado",IF($K93&gt;0,"Abono parcial","Pendiente"))))</f>
      </c>
      <c r="N93" s="19">
        <f>IF(OR($B93="",$H93&lt;&gt;"Sí",$L93&lt;=0),"",IF(TODAY()&gt;$J93,"🔴 VENCIDO hace "&amp;(TODAY()-$J93)&amp;" día(s)",IF($J93-TODAY()&lt;='Config'!$B$15,"🟠 Faltan "&amp;($J93-TODAY())&amp;" día(s) para pagar","🟢 Al día (paga el "&amp;TEXT($J93,"dd/mm")&amp;")")))</f>
      </c>
      <c r="O93" s="23"/>
      <c r="P93" s="17">
        <f>IF(OR($B93="",$O93=""),"",$O93-$A93)</f>
      </c>
    </row>
    <row r="94">
      <c r="A94" s="23"/>
      <c r="B94" s="20"/>
      <c r="C94" s="19">
        <f>IF($B94="","",IFERROR(VLOOKUP($B94,'Catálogo'!$A:$B,2,FALSE),"⚠ Código no existe"))</f>
      </c>
      <c r="D94" s="21"/>
      <c r="E94" s="22"/>
      <c r="F94" s="16">
        <f>IF($B94="","",$D94*$E94)</f>
      </c>
      <c r="G94" s="20"/>
      <c r="H94" s="20"/>
      <c r="I94" s="14">
        <f>IF(OR($B94="",$H94&lt;&gt;"Sí"),"",IF(DAY($A94)&lt;='Config'!$B$13,DATE(YEAR($A94),MONTH($A94),'Config'!$B$13),EOMONTH($A94,0)+'Config'!$B$13))</f>
      </c>
      <c r="J94" s="14">
        <f>IF($I94="","",DATE(YEAR(EOMONTH($I94,0)+1),MONTH(EOMONTH($I94,0)+1),'Config'!$B$14))</f>
      </c>
      <c r="K94" s="22"/>
      <c r="L94" s="16">
        <f>IF($B94="","",MAX($F94-$K94,0))</f>
      </c>
      <c r="M94" s="19">
        <f>IF($B94="","",IF($H94&lt;&gt;"Sí","Pagado (contado)",IF($L94&lt;=0,"Pagado",IF($K94&gt;0,"Abono parcial","Pendiente"))))</f>
      </c>
      <c r="N94" s="19">
        <f>IF(OR($B94="",$H94&lt;&gt;"Sí",$L94&lt;=0),"",IF(TODAY()&gt;$J94,"🔴 VENCIDO hace "&amp;(TODAY()-$J94)&amp;" día(s)",IF($J94-TODAY()&lt;='Config'!$B$15,"🟠 Faltan "&amp;($J94-TODAY())&amp;" día(s) para pagar","🟢 Al día (paga el "&amp;TEXT($J94,"dd/mm")&amp;")")))</f>
      </c>
      <c r="O94" s="23"/>
      <c r="P94" s="17">
        <f>IF(OR($B94="",$O94=""),"",$O94-$A94)</f>
      </c>
    </row>
    <row r="95">
      <c r="A95" s="23"/>
      <c r="B95" s="20"/>
      <c r="C95" s="19">
        <f>IF($B95="","",IFERROR(VLOOKUP($B95,'Catálogo'!$A:$B,2,FALSE),"⚠ Código no existe"))</f>
      </c>
      <c r="D95" s="21"/>
      <c r="E95" s="22"/>
      <c r="F95" s="16">
        <f>IF($B95="","",$D95*$E95)</f>
      </c>
      <c r="G95" s="20"/>
      <c r="H95" s="20"/>
      <c r="I95" s="14">
        <f>IF(OR($B95="",$H95&lt;&gt;"Sí"),"",IF(DAY($A95)&lt;='Config'!$B$13,DATE(YEAR($A95),MONTH($A95),'Config'!$B$13),EOMONTH($A95,0)+'Config'!$B$13))</f>
      </c>
      <c r="J95" s="14">
        <f>IF($I95="","",DATE(YEAR(EOMONTH($I95,0)+1),MONTH(EOMONTH($I95,0)+1),'Config'!$B$14))</f>
      </c>
      <c r="K95" s="22"/>
      <c r="L95" s="16">
        <f>IF($B95="","",MAX($F95-$K95,0))</f>
      </c>
      <c r="M95" s="19">
        <f>IF($B95="","",IF($H95&lt;&gt;"Sí","Pagado (contado)",IF($L95&lt;=0,"Pagado",IF($K95&gt;0,"Abono parcial","Pendiente"))))</f>
      </c>
      <c r="N95" s="19">
        <f>IF(OR($B95="",$H95&lt;&gt;"Sí",$L95&lt;=0),"",IF(TODAY()&gt;$J95,"🔴 VENCIDO hace "&amp;(TODAY()-$J95)&amp;" día(s)",IF($J95-TODAY()&lt;='Config'!$B$15,"🟠 Faltan "&amp;($J95-TODAY())&amp;" día(s) para pagar","🟢 Al día (paga el "&amp;TEXT($J95,"dd/mm")&amp;")")))</f>
      </c>
      <c r="O95" s="23"/>
      <c r="P95" s="17">
        <f>IF(OR($B95="",$O95=""),"",$O95-$A95)</f>
      </c>
    </row>
    <row r="96">
      <c r="A96" s="23"/>
      <c r="B96" s="20"/>
      <c r="C96" s="19">
        <f>IF($B96="","",IFERROR(VLOOKUP($B96,'Catálogo'!$A:$B,2,FALSE),"⚠ Código no existe"))</f>
      </c>
      <c r="D96" s="21"/>
      <c r="E96" s="22"/>
      <c r="F96" s="16">
        <f>IF($B96="","",$D96*$E96)</f>
      </c>
      <c r="G96" s="20"/>
      <c r="H96" s="20"/>
      <c r="I96" s="14">
        <f>IF(OR($B96="",$H96&lt;&gt;"Sí"),"",IF(DAY($A96)&lt;='Config'!$B$13,DATE(YEAR($A96),MONTH($A96),'Config'!$B$13),EOMONTH($A96,0)+'Config'!$B$13))</f>
      </c>
      <c r="J96" s="14">
        <f>IF($I96="","",DATE(YEAR(EOMONTH($I96,0)+1),MONTH(EOMONTH($I96,0)+1),'Config'!$B$14))</f>
      </c>
      <c r="K96" s="22"/>
      <c r="L96" s="16">
        <f>IF($B96="","",MAX($F96-$K96,0))</f>
      </c>
      <c r="M96" s="19">
        <f>IF($B96="","",IF($H96&lt;&gt;"Sí","Pagado (contado)",IF($L96&lt;=0,"Pagado",IF($K96&gt;0,"Abono parcial","Pendiente"))))</f>
      </c>
      <c r="N96" s="19">
        <f>IF(OR($B96="",$H96&lt;&gt;"Sí",$L96&lt;=0),"",IF(TODAY()&gt;$J96,"🔴 VENCIDO hace "&amp;(TODAY()-$J96)&amp;" día(s)",IF($J96-TODAY()&lt;='Config'!$B$15,"🟠 Faltan "&amp;($J96-TODAY())&amp;" día(s) para pagar","🟢 Al día (paga el "&amp;TEXT($J96,"dd/mm")&amp;")")))</f>
      </c>
      <c r="O96" s="23"/>
      <c r="P96" s="17">
        <f>IF(OR($B96="",$O96=""),"",$O96-$A96)</f>
      </c>
    </row>
    <row r="97">
      <c r="A97" s="23"/>
      <c r="B97" s="20"/>
      <c r="C97" s="19">
        <f>IF($B97="","",IFERROR(VLOOKUP($B97,'Catálogo'!$A:$B,2,FALSE),"⚠ Código no existe"))</f>
      </c>
      <c r="D97" s="21"/>
      <c r="E97" s="22"/>
      <c r="F97" s="16">
        <f>IF($B97="","",$D97*$E97)</f>
      </c>
      <c r="G97" s="20"/>
      <c r="H97" s="20"/>
      <c r="I97" s="14">
        <f>IF(OR($B97="",$H97&lt;&gt;"Sí"),"",IF(DAY($A97)&lt;='Config'!$B$13,DATE(YEAR($A97),MONTH($A97),'Config'!$B$13),EOMONTH($A97,0)+'Config'!$B$13))</f>
      </c>
      <c r="J97" s="14">
        <f>IF($I97="","",DATE(YEAR(EOMONTH($I97,0)+1),MONTH(EOMONTH($I97,0)+1),'Config'!$B$14))</f>
      </c>
      <c r="K97" s="22"/>
      <c r="L97" s="16">
        <f>IF($B97="","",MAX($F97-$K97,0))</f>
      </c>
      <c r="M97" s="19">
        <f>IF($B97="","",IF($H97&lt;&gt;"Sí","Pagado (contado)",IF($L97&lt;=0,"Pagado",IF($K97&gt;0,"Abono parcial","Pendiente"))))</f>
      </c>
      <c r="N97" s="19">
        <f>IF(OR($B97="",$H97&lt;&gt;"Sí",$L97&lt;=0),"",IF(TODAY()&gt;$J97,"🔴 VENCIDO hace "&amp;(TODAY()-$J97)&amp;" día(s)",IF($J97-TODAY()&lt;='Config'!$B$15,"🟠 Faltan "&amp;($J97-TODAY())&amp;" día(s) para pagar","🟢 Al día (paga el "&amp;TEXT($J97,"dd/mm")&amp;")")))</f>
      </c>
      <c r="O97" s="23"/>
      <c r="P97" s="17">
        <f>IF(OR($B97="",$O97=""),"",$O97-$A97)</f>
      </c>
    </row>
    <row r="98">
      <c r="A98" s="23"/>
      <c r="B98" s="20"/>
      <c r="C98" s="19">
        <f>IF($B98="","",IFERROR(VLOOKUP($B98,'Catálogo'!$A:$B,2,FALSE),"⚠ Código no existe"))</f>
      </c>
      <c r="D98" s="21"/>
      <c r="E98" s="22"/>
      <c r="F98" s="16">
        <f>IF($B98="","",$D98*$E98)</f>
      </c>
      <c r="G98" s="20"/>
      <c r="H98" s="20"/>
      <c r="I98" s="14">
        <f>IF(OR($B98="",$H98&lt;&gt;"Sí"),"",IF(DAY($A98)&lt;='Config'!$B$13,DATE(YEAR($A98),MONTH($A98),'Config'!$B$13),EOMONTH($A98,0)+'Config'!$B$13))</f>
      </c>
      <c r="J98" s="14">
        <f>IF($I98="","",DATE(YEAR(EOMONTH($I98,0)+1),MONTH(EOMONTH($I98,0)+1),'Config'!$B$14))</f>
      </c>
      <c r="K98" s="22"/>
      <c r="L98" s="16">
        <f>IF($B98="","",MAX($F98-$K98,0))</f>
      </c>
      <c r="M98" s="19">
        <f>IF($B98="","",IF($H98&lt;&gt;"Sí","Pagado (contado)",IF($L98&lt;=0,"Pagado",IF($K98&gt;0,"Abono parcial","Pendiente"))))</f>
      </c>
      <c r="N98" s="19">
        <f>IF(OR($B98="",$H98&lt;&gt;"Sí",$L98&lt;=0),"",IF(TODAY()&gt;$J98,"🔴 VENCIDO hace "&amp;(TODAY()-$J98)&amp;" día(s)",IF($J98-TODAY()&lt;='Config'!$B$15,"🟠 Faltan "&amp;($J98-TODAY())&amp;" día(s) para pagar","🟢 Al día (paga el "&amp;TEXT($J98,"dd/mm")&amp;")")))</f>
      </c>
      <c r="O98" s="23"/>
      <c r="P98" s="17">
        <f>IF(OR($B98="",$O98=""),"",$O98-$A98)</f>
      </c>
    </row>
    <row r="99">
      <c r="A99" s="23"/>
      <c r="B99" s="20"/>
      <c r="C99" s="19">
        <f>IF($B99="","",IFERROR(VLOOKUP($B99,'Catálogo'!$A:$B,2,FALSE),"⚠ Código no existe"))</f>
      </c>
      <c r="D99" s="21"/>
      <c r="E99" s="22"/>
      <c r="F99" s="16">
        <f>IF($B99="","",$D99*$E99)</f>
      </c>
      <c r="G99" s="20"/>
      <c r="H99" s="20"/>
      <c r="I99" s="14">
        <f>IF(OR($B99="",$H99&lt;&gt;"Sí"),"",IF(DAY($A99)&lt;='Config'!$B$13,DATE(YEAR($A99),MONTH($A99),'Config'!$B$13),EOMONTH($A99,0)+'Config'!$B$13))</f>
      </c>
      <c r="J99" s="14">
        <f>IF($I99="","",DATE(YEAR(EOMONTH($I99,0)+1),MONTH(EOMONTH($I99,0)+1),'Config'!$B$14))</f>
      </c>
      <c r="K99" s="22"/>
      <c r="L99" s="16">
        <f>IF($B99="","",MAX($F99-$K99,0))</f>
      </c>
      <c r="M99" s="19">
        <f>IF($B99="","",IF($H99&lt;&gt;"Sí","Pagado (contado)",IF($L99&lt;=0,"Pagado",IF($K99&gt;0,"Abono parcial","Pendiente"))))</f>
      </c>
      <c r="N99" s="19">
        <f>IF(OR($B99="",$H99&lt;&gt;"Sí",$L99&lt;=0),"",IF(TODAY()&gt;$J99,"🔴 VENCIDO hace "&amp;(TODAY()-$J99)&amp;" día(s)",IF($J99-TODAY()&lt;='Config'!$B$15,"🟠 Faltan "&amp;($J99-TODAY())&amp;" día(s) para pagar","🟢 Al día (paga el "&amp;TEXT($J99,"dd/mm")&amp;")")))</f>
      </c>
      <c r="O99" s="23"/>
      <c r="P99" s="17">
        <f>IF(OR($B99="",$O99=""),"",$O99-$A99)</f>
      </c>
    </row>
    <row r="100">
      <c r="A100" s="23"/>
      <c r="B100" s="20"/>
      <c r="C100" s="19">
        <f>IF($B100="","",IFERROR(VLOOKUP($B100,'Catálogo'!$A:$B,2,FALSE),"⚠ Código no existe"))</f>
      </c>
      <c r="D100" s="21"/>
      <c r="E100" s="22"/>
      <c r="F100" s="16">
        <f>IF($B100="","",$D100*$E100)</f>
      </c>
      <c r="G100" s="20"/>
      <c r="H100" s="20"/>
      <c r="I100" s="14">
        <f>IF(OR($B100="",$H100&lt;&gt;"Sí"),"",IF(DAY($A100)&lt;='Config'!$B$13,DATE(YEAR($A100),MONTH($A100),'Config'!$B$13),EOMONTH($A100,0)+'Config'!$B$13))</f>
      </c>
      <c r="J100" s="14">
        <f>IF($I100="","",DATE(YEAR(EOMONTH($I100,0)+1),MONTH(EOMONTH($I100,0)+1),'Config'!$B$14))</f>
      </c>
      <c r="K100" s="22"/>
      <c r="L100" s="16">
        <f>IF($B100="","",MAX($F100-$K100,0))</f>
      </c>
      <c r="M100" s="19">
        <f>IF($B100="","",IF($H100&lt;&gt;"Sí","Pagado (contado)",IF($L100&lt;=0,"Pagado",IF($K100&gt;0,"Abono parcial","Pendiente"))))</f>
      </c>
      <c r="N100" s="19">
        <f>IF(OR($B100="",$H100&lt;&gt;"Sí",$L100&lt;=0),"",IF(TODAY()&gt;$J100,"🔴 VENCIDO hace "&amp;(TODAY()-$J100)&amp;" día(s)",IF($J100-TODAY()&lt;='Config'!$B$15,"🟠 Faltan "&amp;($J100-TODAY())&amp;" día(s) para pagar","🟢 Al día (paga el "&amp;TEXT($J100,"dd/mm")&amp;")")))</f>
      </c>
      <c r="O100" s="23"/>
      <c r="P100" s="17">
        <f>IF(OR($B100="",$O100=""),"",$O100-$A100)</f>
      </c>
    </row>
    <row r="101">
      <c r="A101" s="23"/>
      <c r="B101" s="20"/>
      <c r="C101" s="19">
        <f>IF($B101="","",IFERROR(VLOOKUP($B101,'Catálogo'!$A:$B,2,FALSE),"⚠ Código no existe"))</f>
      </c>
      <c r="D101" s="21"/>
      <c r="E101" s="22"/>
      <c r="F101" s="16">
        <f>IF($B101="","",$D101*$E101)</f>
      </c>
      <c r="G101" s="20"/>
      <c r="H101" s="20"/>
      <c r="I101" s="14">
        <f>IF(OR($B101="",$H101&lt;&gt;"Sí"),"",IF(DAY($A101)&lt;='Config'!$B$13,DATE(YEAR($A101),MONTH($A101),'Config'!$B$13),EOMONTH($A101,0)+'Config'!$B$13))</f>
      </c>
      <c r="J101" s="14">
        <f>IF($I101="","",DATE(YEAR(EOMONTH($I101,0)+1),MONTH(EOMONTH($I101,0)+1),'Config'!$B$14))</f>
      </c>
      <c r="K101" s="22"/>
      <c r="L101" s="16">
        <f>IF($B101="","",MAX($F101-$K101,0))</f>
      </c>
      <c r="M101" s="19">
        <f>IF($B101="","",IF($H101&lt;&gt;"Sí","Pagado (contado)",IF($L101&lt;=0,"Pagado",IF($K101&gt;0,"Abono parcial","Pendiente"))))</f>
      </c>
      <c r="N101" s="19">
        <f>IF(OR($B101="",$H101&lt;&gt;"Sí",$L101&lt;=0),"",IF(TODAY()&gt;$J101,"🔴 VENCIDO hace "&amp;(TODAY()-$J101)&amp;" día(s)",IF($J101-TODAY()&lt;='Config'!$B$15,"🟠 Faltan "&amp;($J101-TODAY())&amp;" día(s) para pagar","🟢 Al día (paga el "&amp;TEXT($J101,"dd/mm")&amp;")")))</f>
      </c>
      <c r="O101" s="23"/>
      <c r="P101" s="17">
        <f>IF(OR($B101="",$O101=""),"",$O101-$A101)</f>
      </c>
    </row>
    <row r="102">
      <c r="A102" s="23"/>
      <c r="B102" s="20"/>
      <c r="C102" s="19">
        <f>IF($B102="","",IFERROR(VLOOKUP($B102,'Catálogo'!$A:$B,2,FALSE),"⚠ Código no existe"))</f>
      </c>
      <c r="D102" s="21"/>
      <c r="E102" s="22"/>
      <c r="F102" s="16">
        <f>IF($B102="","",$D102*$E102)</f>
      </c>
      <c r="G102" s="20"/>
      <c r="H102" s="20"/>
      <c r="I102" s="14">
        <f>IF(OR($B102="",$H102&lt;&gt;"Sí"),"",IF(DAY($A102)&lt;='Config'!$B$13,DATE(YEAR($A102),MONTH($A102),'Config'!$B$13),EOMONTH($A102,0)+'Config'!$B$13))</f>
      </c>
      <c r="J102" s="14">
        <f>IF($I102="","",DATE(YEAR(EOMONTH($I102,0)+1),MONTH(EOMONTH($I102,0)+1),'Config'!$B$14))</f>
      </c>
      <c r="K102" s="22"/>
      <c r="L102" s="16">
        <f>IF($B102="","",MAX($F102-$K102,0))</f>
      </c>
      <c r="M102" s="19">
        <f>IF($B102="","",IF($H102&lt;&gt;"Sí","Pagado (contado)",IF($L102&lt;=0,"Pagado",IF($K102&gt;0,"Abono parcial","Pendiente"))))</f>
      </c>
      <c r="N102" s="19">
        <f>IF(OR($B102="",$H102&lt;&gt;"Sí",$L102&lt;=0),"",IF(TODAY()&gt;$J102,"🔴 VENCIDO hace "&amp;(TODAY()-$J102)&amp;" día(s)",IF($J102-TODAY()&lt;='Config'!$B$15,"🟠 Faltan "&amp;($J102-TODAY())&amp;" día(s) para pagar","🟢 Al día (paga el "&amp;TEXT($J102,"dd/mm")&amp;")")))</f>
      </c>
      <c r="O102" s="23"/>
      <c r="P102" s="17">
        <f>IF(OR($B102="",$O102=""),"",$O102-$A102)</f>
      </c>
    </row>
    <row r="103">
      <c r="A103" s="23"/>
      <c r="B103" s="20"/>
      <c r="C103" s="19">
        <f>IF($B103="","",IFERROR(VLOOKUP($B103,'Catálogo'!$A:$B,2,FALSE),"⚠ Código no existe"))</f>
      </c>
      <c r="D103" s="21"/>
      <c r="E103" s="22"/>
      <c r="F103" s="16">
        <f>IF($B103="","",$D103*$E103)</f>
      </c>
      <c r="G103" s="20"/>
      <c r="H103" s="20"/>
      <c r="I103" s="14">
        <f>IF(OR($B103="",$H103&lt;&gt;"Sí"),"",IF(DAY($A103)&lt;='Config'!$B$13,DATE(YEAR($A103),MONTH($A103),'Config'!$B$13),EOMONTH($A103,0)+'Config'!$B$13))</f>
      </c>
      <c r="J103" s="14">
        <f>IF($I103="","",DATE(YEAR(EOMONTH($I103,0)+1),MONTH(EOMONTH($I103,0)+1),'Config'!$B$14))</f>
      </c>
      <c r="K103" s="22"/>
      <c r="L103" s="16">
        <f>IF($B103="","",MAX($F103-$K103,0))</f>
      </c>
      <c r="M103" s="19">
        <f>IF($B103="","",IF($H103&lt;&gt;"Sí","Pagado (contado)",IF($L103&lt;=0,"Pagado",IF($K103&gt;0,"Abono parcial","Pendiente"))))</f>
      </c>
      <c r="N103" s="19">
        <f>IF(OR($B103="",$H103&lt;&gt;"Sí",$L103&lt;=0),"",IF(TODAY()&gt;$J103,"🔴 VENCIDO hace "&amp;(TODAY()-$J103)&amp;" día(s)",IF($J103-TODAY()&lt;='Config'!$B$15,"🟠 Faltan "&amp;($J103-TODAY())&amp;" día(s) para pagar","🟢 Al día (paga el "&amp;TEXT($J103,"dd/mm")&amp;")")))</f>
      </c>
      <c r="O103" s="23"/>
      <c r="P103" s="17">
        <f>IF(OR($B103="",$O103=""),"",$O103-$A103)</f>
      </c>
    </row>
    <row r="104">
      <c r="A104" s="23"/>
      <c r="B104" s="20"/>
      <c r="C104" s="19">
        <f>IF($B104="","",IFERROR(VLOOKUP($B104,'Catálogo'!$A:$B,2,FALSE),"⚠ Código no existe"))</f>
      </c>
      <c r="D104" s="21"/>
      <c r="E104" s="22"/>
      <c r="F104" s="16">
        <f>IF($B104="","",$D104*$E104)</f>
      </c>
      <c r="G104" s="20"/>
      <c r="H104" s="20"/>
      <c r="I104" s="14">
        <f>IF(OR($B104="",$H104&lt;&gt;"Sí"),"",IF(DAY($A104)&lt;='Config'!$B$13,DATE(YEAR($A104),MONTH($A104),'Config'!$B$13),EOMONTH($A104,0)+'Config'!$B$13))</f>
      </c>
      <c r="J104" s="14">
        <f>IF($I104="","",DATE(YEAR(EOMONTH($I104,0)+1),MONTH(EOMONTH($I104,0)+1),'Config'!$B$14))</f>
      </c>
      <c r="K104" s="22"/>
      <c r="L104" s="16">
        <f>IF($B104="","",MAX($F104-$K104,0))</f>
      </c>
      <c r="M104" s="19">
        <f>IF($B104="","",IF($H104&lt;&gt;"Sí","Pagado (contado)",IF($L104&lt;=0,"Pagado",IF($K104&gt;0,"Abono parcial","Pendiente"))))</f>
      </c>
      <c r="N104" s="19">
        <f>IF(OR($B104="",$H104&lt;&gt;"Sí",$L104&lt;=0),"",IF(TODAY()&gt;$J104,"🔴 VENCIDO hace "&amp;(TODAY()-$J104)&amp;" día(s)",IF($J104-TODAY()&lt;='Config'!$B$15,"🟠 Faltan "&amp;($J104-TODAY())&amp;" día(s) para pagar","🟢 Al día (paga el "&amp;TEXT($J104,"dd/mm")&amp;")")))</f>
      </c>
      <c r="O104" s="23"/>
      <c r="P104" s="17">
        <f>IF(OR($B104="",$O104=""),"",$O104-$A104)</f>
      </c>
    </row>
    <row r="105">
      <c r="A105" s="23"/>
      <c r="B105" s="20"/>
      <c r="C105" s="19">
        <f>IF($B105="","",IFERROR(VLOOKUP($B105,'Catálogo'!$A:$B,2,FALSE),"⚠ Código no existe"))</f>
      </c>
      <c r="D105" s="21"/>
      <c r="E105" s="22"/>
      <c r="F105" s="16">
        <f>IF($B105="","",$D105*$E105)</f>
      </c>
      <c r="G105" s="20"/>
      <c r="H105" s="20"/>
      <c r="I105" s="14">
        <f>IF(OR($B105="",$H105&lt;&gt;"Sí"),"",IF(DAY($A105)&lt;='Config'!$B$13,DATE(YEAR($A105),MONTH($A105),'Config'!$B$13),EOMONTH($A105,0)+'Config'!$B$13))</f>
      </c>
      <c r="J105" s="14">
        <f>IF($I105="","",DATE(YEAR(EOMONTH($I105,0)+1),MONTH(EOMONTH($I105,0)+1),'Config'!$B$14))</f>
      </c>
      <c r="K105" s="22"/>
      <c r="L105" s="16">
        <f>IF($B105="","",MAX($F105-$K105,0))</f>
      </c>
      <c r="M105" s="19">
        <f>IF($B105="","",IF($H105&lt;&gt;"Sí","Pagado (contado)",IF($L105&lt;=0,"Pagado",IF($K105&gt;0,"Abono parcial","Pendiente"))))</f>
      </c>
      <c r="N105" s="19">
        <f>IF(OR($B105="",$H105&lt;&gt;"Sí",$L105&lt;=0),"",IF(TODAY()&gt;$J105,"🔴 VENCIDO hace "&amp;(TODAY()-$J105)&amp;" día(s)",IF($J105-TODAY()&lt;='Config'!$B$15,"🟠 Faltan "&amp;($J105-TODAY())&amp;" día(s) para pagar","🟢 Al día (paga el "&amp;TEXT($J105,"dd/mm")&amp;")")))</f>
      </c>
      <c r="O105" s="23"/>
      <c r="P105" s="17">
        <f>IF(OR($B105="",$O105=""),"",$O105-$A105)</f>
      </c>
    </row>
    <row r="106">
      <c r="A106" s="23"/>
      <c r="B106" s="20"/>
      <c r="C106" s="19">
        <f>IF($B106="","",IFERROR(VLOOKUP($B106,'Catálogo'!$A:$B,2,FALSE),"⚠ Código no existe"))</f>
      </c>
      <c r="D106" s="21"/>
      <c r="E106" s="22"/>
      <c r="F106" s="16">
        <f>IF($B106="","",$D106*$E106)</f>
      </c>
      <c r="G106" s="20"/>
      <c r="H106" s="20"/>
      <c r="I106" s="14">
        <f>IF(OR($B106="",$H106&lt;&gt;"Sí"),"",IF(DAY($A106)&lt;='Config'!$B$13,DATE(YEAR($A106),MONTH($A106),'Config'!$B$13),EOMONTH($A106,0)+'Config'!$B$13))</f>
      </c>
      <c r="J106" s="14">
        <f>IF($I106="","",DATE(YEAR(EOMONTH($I106,0)+1),MONTH(EOMONTH($I106,0)+1),'Config'!$B$14))</f>
      </c>
      <c r="K106" s="22"/>
      <c r="L106" s="16">
        <f>IF($B106="","",MAX($F106-$K106,0))</f>
      </c>
      <c r="M106" s="19">
        <f>IF($B106="","",IF($H106&lt;&gt;"Sí","Pagado (contado)",IF($L106&lt;=0,"Pagado",IF($K106&gt;0,"Abono parcial","Pendiente"))))</f>
      </c>
      <c r="N106" s="19">
        <f>IF(OR($B106="",$H106&lt;&gt;"Sí",$L106&lt;=0),"",IF(TODAY()&gt;$J106,"🔴 VENCIDO hace "&amp;(TODAY()-$J106)&amp;" día(s)",IF($J106-TODAY()&lt;='Config'!$B$15,"🟠 Faltan "&amp;($J106-TODAY())&amp;" día(s) para pagar","🟢 Al día (paga el "&amp;TEXT($J106,"dd/mm")&amp;")")))</f>
      </c>
      <c r="O106" s="23"/>
      <c r="P106" s="17">
        <f>IF(OR($B106="",$O106=""),"",$O106-$A106)</f>
      </c>
    </row>
    <row r="107">
      <c r="A107" s="23"/>
      <c r="B107" s="20"/>
      <c r="C107" s="19">
        <f>IF($B107="","",IFERROR(VLOOKUP($B107,'Catálogo'!$A:$B,2,FALSE),"⚠ Código no existe"))</f>
      </c>
      <c r="D107" s="21"/>
      <c r="E107" s="22"/>
      <c r="F107" s="16">
        <f>IF($B107="","",$D107*$E107)</f>
      </c>
      <c r="G107" s="20"/>
      <c r="H107" s="20"/>
      <c r="I107" s="14">
        <f>IF(OR($B107="",$H107&lt;&gt;"Sí"),"",IF(DAY($A107)&lt;='Config'!$B$13,DATE(YEAR($A107),MONTH($A107),'Config'!$B$13),EOMONTH($A107,0)+'Config'!$B$13))</f>
      </c>
      <c r="J107" s="14">
        <f>IF($I107="","",DATE(YEAR(EOMONTH($I107,0)+1),MONTH(EOMONTH($I107,0)+1),'Config'!$B$14))</f>
      </c>
      <c r="K107" s="22"/>
      <c r="L107" s="16">
        <f>IF($B107="","",MAX($F107-$K107,0))</f>
      </c>
      <c r="M107" s="19">
        <f>IF($B107="","",IF($H107&lt;&gt;"Sí","Pagado (contado)",IF($L107&lt;=0,"Pagado",IF($K107&gt;0,"Abono parcial","Pendiente"))))</f>
      </c>
      <c r="N107" s="19">
        <f>IF(OR($B107="",$H107&lt;&gt;"Sí",$L107&lt;=0),"",IF(TODAY()&gt;$J107,"🔴 VENCIDO hace "&amp;(TODAY()-$J107)&amp;" día(s)",IF($J107-TODAY()&lt;='Config'!$B$15,"🟠 Faltan "&amp;($J107-TODAY())&amp;" día(s) para pagar","🟢 Al día (paga el "&amp;TEXT($J107,"dd/mm")&amp;")")))</f>
      </c>
      <c r="O107" s="23"/>
      <c r="P107" s="17">
        <f>IF(OR($B107="",$O107=""),"",$O107-$A107)</f>
      </c>
    </row>
    <row r="108">
      <c r="A108" s="23"/>
      <c r="B108" s="20"/>
      <c r="C108" s="19">
        <f>IF($B108="","",IFERROR(VLOOKUP($B108,'Catálogo'!$A:$B,2,FALSE),"⚠ Código no existe"))</f>
      </c>
      <c r="D108" s="21"/>
      <c r="E108" s="22"/>
      <c r="F108" s="16">
        <f>IF($B108="","",$D108*$E108)</f>
      </c>
      <c r="G108" s="20"/>
      <c r="H108" s="20"/>
      <c r="I108" s="14">
        <f>IF(OR($B108="",$H108&lt;&gt;"Sí"),"",IF(DAY($A108)&lt;='Config'!$B$13,DATE(YEAR($A108),MONTH($A108),'Config'!$B$13),EOMONTH($A108,0)+'Config'!$B$13))</f>
      </c>
      <c r="J108" s="14">
        <f>IF($I108="","",DATE(YEAR(EOMONTH($I108,0)+1),MONTH(EOMONTH($I108,0)+1),'Config'!$B$14))</f>
      </c>
      <c r="K108" s="22"/>
      <c r="L108" s="16">
        <f>IF($B108="","",MAX($F108-$K108,0))</f>
      </c>
      <c r="M108" s="19">
        <f>IF($B108="","",IF($H108&lt;&gt;"Sí","Pagado (contado)",IF($L108&lt;=0,"Pagado",IF($K108&gt;0,"Abono parcial","Pendiente"))))</f>
      </c>
      <c r="N108" s="19">
        <f>IF(OR($B108="",$H108&lt;&gt;"Sí",$L108&lt;=0),"",IF(TODAY()&gt;$J108,"🔴 VENCIDO hace "&amp;(TODAY()-$J108)&amp;" día(s)",IF($J108-TODAY()&lt;='Config'!$B$15,"🟠 Faltan "&amp;($J108-TODAY())&amp;" día(s) para pagar","🟢 Al día (paga el "&amp;TEXT($J108,"dd/mm")&amp;")")))</f>
      </c>
      <c r="O108" s="23"/>
      <c r="P108" s="17">
        <f>IF(OR($B108="",$O108=""),"",$O108-$A108)</f>
      </c>
    </row>
    <row r="109">
      <c r="A109" s="23"/>
      <c r="B109" s="20"/>
      <c r="C109" s="19">
        <f>IF($B109="","",IFERROR(VLOOKUP($B109,'Catálogo'!$A:$B,2,FALSE),"⚠ Código no existe"))</f>
      </c>
      <c r="D109" s="21"/>
      <c r="E109" s="22"/>
      <c r="F109" s="16">
        <f>IF($B109="","",$D109*$E109)</f>
      </c>
      <c r="G109" s="20"/>
      <c r="H109" s="20"/>
      <c r="I109" s="14">
        <f>IF(OR($B109="",$H109&lt;&gt;"Sí"),"",IF(DAY($A109)&lt;='Config'!$B$13,DATE(YEAR($A109),MONTH($A109),'Config'!$B$13),EOMONTH($A109,0)+'Config'!$B$13))</f>
      </c>
      <c r="J109" s="14">
        <f>IF($I109="","",DATE(YEAR(EOMONTH($I109,0)+1),MONTH(EOMONTH($I109,0)+1),'Config'!$B$14))</f>
      </c>
      <c r="K109" s="22"/>
      <c r="L109" s="16">
        <f>IF($B109="","",MAX($F109-$K109,0))</f>
      </c>
      <c r="M109" s="19">
        <f>IF($B109="","",IF($H109&lt;&gt;"Sí","Pagado (contado)",IF($L109&lt;=0,"Pagado",IF($K109&gt;0,"Abono parcial","Pendiente"))))</f>
      </c>
      <c r="N109" s="19">
        <f>IF(OR($B109="",$H109&lt;&gt;"Sí",$L109&lt;=0),"",IF(TODAY()&gt;$J109,"🔴 VENCIDO hace "&amp;(TODAY()-$J109)&amp;" día(s)",IF($J109-TODAY()&lt;='Config'!$B$15,"🟠 Faltan "&amp;($J109-TODAY())&amp;" día(s) para pagar","🟢 Al día (paga el "&amp;TEXT($J109,"dd/mm")&amp;")")))</f>
      </c>
      <c r="O109" s="23"/>
      <c r="P109" s="17">
        <f>IF(OR($B109="",$O109=""),"",$O109-$A109)</f>
      </c>
    </row>
    <row r="110">
      <c r="A110" s="23"/>
      <c r="B110" s="20"/>
      <c r="C110" s="19">
        <f>IF($B110="","",IFERROR(VLOOKUP($B110,'Catálogo'!$A:$B,2,FALSE),"⚠ Código no existe"))</f>
      </c>
      <c r="D110" s="21"/>
      <c r="E110" s="22"/>
      <c r="F110" s="16">
        <f>IF($B110="","",$D110*$E110)</f>
      </c>
      <c r="G110" s="20"/>
      <c r="H110" s="20"/>
      <c r="I110" s="14">
        <f>IF(OR($B110="",$H110&lt;&gt;"Sí"),"",IF(DAY($A110)&lt;='Config'!$B$13,DATE(YEAR($A110),MONTH($A110),'Config'!$B$13),EOMONTH($A110,0)+'Config'!$B$13))</f>
      </c>
      <c r="J110" s="14">
        <f>IF($I110="","",DATE(YEAR(EOMONTH($I110,0)+1),MONTH(EOMONTH($I110,0)+1),'Config'!$B$14))</f>
      </c>
      <c r="K110" s="22"/>
      <c r="L110" s="16">
        <f>IF($B110="","",MAX($F110-$K110,0))</f>
      </c>
      <c r="M110" s="19">
        <f>IF($B110="","",IF($H110&lt;&gt;"Sí","Pagado (contado)",IF($L110&lt;=0,"Pagado",IF($K110&gt;0,"Abono parcial","Pendiente"))))</f>
      </c>
      <c r="N110" s="19">
        <f>IF(OR($B110="",$H110&lt;&gt;"Sí",$L110&lt;=0),"",IF(TODAY()&gt;$J110,"🔴 VENCIDO hace "&amp;(TODAY()-$J110)&amp;" día(s)",IF($J110-TODAY()&lt;='Config'!$B$15,"🟠 Faltan "&amp;($J110-TODAY())&amp;" día(s) para pagar","🟢 Al día (paga el "&amp;TEXT($J110,"dd/mm")&amp;")")))</f>
      </c>
      <c r="O110" s="23"/>
      <c r="P110" s="17">
        <f>IF(OR($B110="",$O110=""),"",$O110-$A110)</f>
      </c>
    </row>
    <row r="111">
      <c r="A111" s="23"/>
      <c r="B111" s="20"/>
      <c r="C111" s="19">
        <f>IF($B111="","",IFERROR(VLOOKUP($B111,'Catálogo'!$A:$B,2,FALSE),"⚠ Código no existe"))</f>
      </c>
      <c r="D111" s="21"/>
      <c r="E111" s="22"/>
      <c r="F111" s="16">
        <f>IF($B111="","",$D111*$E111)</f>
      </c>
      <c r="G111" s="20"/>
      <c r="H111" s="20"/>
      <c r="I111" s="14">
        <f>IF(OR($B111="",$H111&lt;&gt;"Sí"),"",IF(DAY($A111)&lt;='Config'!$B$13,DATE(YEAR($A111),MONTH($A111),'Config'!$B$13),EOMONTH($A111,0)+'Config'!$B$13))</f>
      </c>
      <c r="J111" s="14">
        <f>IF($I111="","",DATE(YEAR(EOMONTH($I111,0)+1),MONTH(EOMONTH($I111,0)+1),'Config'!$B$14))</f>
      </c>
      <c r="K111" s="22"/>
      <c r="L111" s="16">
        <f>IF($B111="","",MAX($F111-$K111,0))</f>
      </c>
      <c r="M111" s="19">
        <f>IF($B111="","",IF($H111&lt;&gt;"Sí","Pagado (contado)",IF($L111&lt;=0,"Pagado",IF($K111&gt;0,"Abono parcial","Pendiente"))))</f>
      </c>
      <c r="N111" s="19">
        <f>IF(OR($B111="",$H111&lt;&gt;"Sí",$L111&lt;=0),"",IF(TODAY()&gt;$J111,"🔴 VENCIDO hace "&amp;(TODAY()-$J111)&amp;" día(s)",IF($J111-TODAY()&lt;='Config'!$B$15,"🟠 Faltan "&amp;($J111-TODAY())&amp;" día(s) para pagar","🟢 Al día (paga el "&amp;TEXT($J111,"dd/mm")&amp;")")))</f>
      </c>
      <c r="O111" s="23"/>
      <c r="P111" s="17">
        <f>IF(OR($B111="",$O111=""),"",$O111-$A111)</f>
      </c>
    </row>
    <row r="112">
      <c r="A112" s="23"/>
      <c r="B112" s="20"/>
      <c r="C112" s="19">
        <f>IF($B112="","",IFERROR(VLOOKUP($B112,'Catálogo'!$A:$B,2,FALSE),"⚠ Código no existe"))</f>
      </c>
      <c r="D112" s="21"/>
      <c r="E112" s="22"/>
      <c r="F112" s="16">
        <f>IF($B112="","",$D112*$E112)</f>
      </c>
      <c r="G112" s="20"/>
      <c r="H112" s="20"/>
      <c r="I112" s="14">
        <f>IF(OR($B112="",$H112&lt;&gt;"Sí"),"",IF(DAY($A112)&lt;='Config'!$B$13,DATE(YEAR($A112),MONTH($A112),'Config'!$B$13),EOMONTH($A112,0)+'Config'!$B$13))</f>
      </c>
      <c r="J112" s="14">
        <f>IF($I112="","",DATE(YEAR(EOMONTH($I112,0)+1),MONTH(EOMONTH($I112,0)+1),'Config'!$B$14))</f>
      </c>
      <c r="K112" s="22"/>
      <c r="L112" s="16">
        <f>IF($B112="","",MAX($F112-$K112,0))</f>
      </c>
      <c r="M112" s="19">
        <f>IF($B112="","",IF($H112&lt;&gt;"Sí","Pagado (contado)",IF($L112&lt;=0,"Pagado",IF($K112&gt;0,"Abono parcial","Pendiente"))))</f>
      </c>
      <c r="N112" s="19">
        <f>IF(OR($B112="",$H112&lt;&gt;"Sí",$L112&lt;=0),"",IF(TODAY()&gt;$J112,"🔴 VENCIDO hace "&amp;(TODAY()-$J112)&amp;" día(s)",IF($J112-TODAY()&lt;='Config'!$B$15,"🟠 Faltan "&amp;($J112-TODAY())&amp;" día(s) para pagar","🟢 Al día (paga el "&amp;TEXT($J112,"dd/mm")&amp;")")))</f>
      </c>
      <c r="O112" s="23"/>
      <c r="P112" s="17">
        <f>IF(OR($B112="",$O112=""),"",$O112-$A112)</f>
      </c>
    </row>
    <row r="113">
      <c r="A113" s="23"/>
      <c r="B113" s="20"/>
      <c r="C113" s="19">
        <f>IF($B113="","",IFERROR(VLOOKUP($B113,'Catálogo'!$A:$B,2,FALSE),"⚠ Código no existe"))</f>
      </c>
      <c r="D113" s="21"/>
      <c r="E113" s="22"/>
      <c r="F113" s="16">
        <f>IF($B113="","",$D113*$E113)</f>
      </c>
      <c r="G113" s="20"/>
      <c r="H113" s="20"/>
      <c r="I113" s="14">
        <f>IF(OR($B113="",$H113&lt;&gt;"Sí"),"",IF(DAY($A113)&lt;='Config'!$B$13,DATE(YEAR($A113),MONTH($A113),'Config'!$B$13),EOMONTH($A113,0)+'Config'!$B$13))</f>
      </c>
      <c r="J113" s="14">
        <f>IF($I113="","",DATE(YEAR(EOMONTH($I113,0)+1),MONTH(EOMONTH($I113,0)+1),'Config'!$B$14))</f>
      </c>
      <c r="K113" s="22"/>
      <c r="L113" s="16">
        <f>IF($B113="","",MAX($F113-$K113,0))</f>
      </c>
      <c r="M113" s="19">
        <f>IF($B113="","",IF($H113&lt;&gt;"Sí","Pagado (contado)",IF($L113&lt;=0,"Pagado",IF($K113&gt;0,"Abono parcial","Pendiente"))))</f>
      </c>
      <c r="N113" s="19">
        <f>IF(OR($B113="",$H113&lt;&gt;"Sí",$L113&lt;=0),"",IF(TODAY()&gt;$J113,"🔴 VENCIDO hace "&amp;(TODAY()-$J113)&amp;" día(s)",IF($J113-TODAY()&lt;='Config'!$B$15,"🟠 Faltan "&amp;($J113-TODAY())&amp;" día(s) para pagar","🟢 Al día (paga el "&amp;TEXT($J113,"dd/mm")&amp;")")))</f>
      </c>
      <c r="O113" s="23"/>
      <c r="P113" s="17">
        <f>IF(OR($B113="",$O113=""),"",$O113-$A113)</f>
      </c>
    </row>
    <row r="114">
      <c r="A114" s="23"/>
      <c r="B114" s="20"/>
      <c r="C114" s="19">
        <f>IF($B114="","",IFERROR(VLOOKUP($B114,'Catálogo'!$A:$B,2,FALSE),"⚠ Código no existe"))</f>
      </c>
      <c r="D114" s="21"/>
      <c r="E114" s="22"/>
      <c r="F114" s="16">
        <f>IF($B114="","",$D114*$E114)</f>
      </c>
      <c r="G114" s="20"/>
      <c r="H114" s="20"/>
      <c r="I114" s="14">
        <f>IF(OR($B114="",$H114&lt;&gt;"Sí"),"",IF(DAY($A114)&lt;='Config'!$B$13,DATE(YEAR($A114),MONTH($A114),'Config'!$B$13),EOMONTH($A114,0)+'Config'!$B$13))</f>
      </c>
      <c r="J114" s="14">
        <f>IF($I114="","",DATE(YEAR(EOMONTH($I114,0)+1),MONTH(EOMONTH($I114,0)+1),'Config'!$B$14))</f>
      </c>
      <c r="K114" s="22"/>
      <c r="L114" s="16">
        <f>IF($B114="","",MAX($F114-$K114,0))</f>
      </c>
      <c r="M114" s="19">
        <f>IF($B114="","",IF($H114&lt;&gt;"Sí","Pagado (contado)",IF($L114&lt;=0,"Pagado",IF($K114&gt;0,"Abono parcial","Pendiente"))))</f>
      </c>
      <c r="N114" s="19">
        <f>IF(OR($B114="",$H114&lt;&gt;"Sí",$L114&lt;=0),"",IF(TODAY()&gt;$J114,"🔴 VENCIDO hace "&amp;(TODAY()-$J114)&amp;" día(s)",IF($J114-TODAY()&lt;='Config'!$B$15,"🟠 Faltan "&amp;($J114-TODAY())&amp;" día(s) para pagar","🟢 Al día (paga el "&amp;TEXT($J114,"dd/mm")&amp;")")))</f>
      </c>
      <c r="O114" s="23"/>
      <c r="P114" s="17">
        <f>IF(OR($B114="",$O114=""),"",$O114-$A114)</f>
      </c>
    </row>
    <row r="115">
      <c r="A115" s="23"/>
      <c r="B115" s="20"/>
      <c r="C115" s="19">
        <f>IF($B115="","",IFERROR(VLOOKUP($B115,'Catálogo'!$A:$B,2,FALSE),"⚠ Código no existe"))</f>
      </c>
      <c r="D115" s="21"/>
      <c r="E115" s="22"/>
      <c r="F115" s="16">
        <f>IF($B115="","",$D115*$E115)</f>
      </c>
      <c r="G115" s="20"/>
      <c r="H115" s="20"/>
      <c r="I115" s="14">
        <f>IF(OR($B115="",$H115&lt;&gt;"Sí"),"",IF(DAY($A115)&lt;='Config'!$B$13,DATE(YEAR($A115),MONTH($A115),'Config'!$B$13),EOMONTH($A115,0)+'Config'!$B$13))</f>
      </c>
      <c r="J115" s="14">
        <f>IF($I115="","",DATE(YEAR(EOMONTH($I115,0)+1),MONTH(EOMONTH($I115,0)+1),'Config'!$B$14))</f>
      </c>
      <c r="K115" s="22"/>
      <c r="L115" s="16">
        <f>IF($B115="","",MAX($F115-$K115,0))</f>
      </c>
      <c r="M115" s="19">
        <f>IF($B115="","",IF($H115&lt;&gt;"Sí","Pagado (contado)",IF($L115&lt;=0,"Pagado",IF($K115&gt;0,"Abono parcial","Pendiente"))))</f>
      </c>
      <c r="N115" s="19">
        <f>IF(OR($B115="",$H115&lt;&gt;"Sí",$L115&lt;=0),"",IF(TODAY()&gt;$J115,"🔴 VENCIDO hace "&amp;(TODAY()-$J115)&amp;" día(s)",IF($J115-TODAY()&lt;='Config'!$B$15,"🟠 Faltan "&amp;($J115-TODAY())&amp;" día(s) para pagar","🟢 Al día (paga el "&amp;TEXT($J115,"dd/mm")&amp;")")))</f>
      </c>
      <c r="O115" s="23"/>
      <c r="P115" s="17">
        <f>IF(OR($B115="",$O115=""),"",$O115-$A115)</f>
      </c>
    </row>
    <row r="116">
      <c r="A116" s="23"/>
      <c r="B116" s="20"/>
      <c r="C116" s="19">
        <f>IF($B116="","",IFERROR(VLOOKUP($B116,'Catálogo'!$A:$B,2,FALSE),"⚠ Código no existe"))</f>
      </c>
      <c r="D116" s="21"/>
      <c r="E116" s="22"/>
      <c r="F116" s="16">
        <f>IF($B116="","",$D116*$E116)</f>
      </c>
      <c r="G116" s="20"/>
      <c r="H116" s="20"/>
      <c r="I116" s="14">
        <f>IF(OR($B116="",$H116&lt;&gt;"Sí"),"",IF(DAY($A116)&lt;='Config'!$B$13,DATE(YEAR($A116),MONTH($A116),'Config'!$B$13),EOMONTH($A116,0)+'Config'!$B$13))</f>
      </c>
      <c r="J116" s="14">
        <f>IF($I116="","",DATE(YEAR(EOMONTH($I116,0)+1),MONTH(EOMONTH($I116,0)+1),'Config'!$B$14))</f>
      </c>
      <c r="K116" s="22"/>
      <c r="L116" s="16">
        <f>IF($B116="","",MAX($F116-$K116,0))</f>
      </c>
      <c r="M116" s="19">
        <f>IF($B116="","",IF($H116&lt;&gt;"Sí","Pagado (contado)",IF($L116&lt;=0,"Pagado",IF($K116&gt;0,"Abono parcial","Pendiente"))))</f>
      </c>
      <c r="N116" s="19">
        <f>IF(OR($B116="",$H116&lt;&gt;"Sí",$L116&lt;=0),"",IF(TODAY()&gt;$J116,"🔴 VENCIDO hace "&amp;(TODAY()-$J116)&amp;" día(s)",IF($J116-TODAY()&lt;='Config'!$B$15,"🟠 Faltan "&amp;($J116-TODAY())&amp;" día(s) para pagar","🟢 Al día (paga el "&amp;TEXT($J116,"dd/mm")&amp;")")))</f>
      </c>
      <c r="O116" s="23"/>
      <c r="P116" s="17">
        <f>IF(OR($B116="",$O116=""),"",$O116-$A116)</f>
      </c>
    </row>
    <row r="117">
      <c r="A117" s="23"/>
      <c r="B117" s="20"/>
      <c r="C117" s="19">
        <f>IF($B117="","",IFERROR(VLOOKUP($B117,'Catálogo'!$A:$B,2,FALSE),"⚠ Código no existe"))</f>
      </c>
      <c r="D117" s="21"/>
      <c r="E117" s="22"/>
      <c r="F117" s="16">
        <f>IF($B117="","",$D117*$E117)</f>
      </c>
      <c r="G117" s="20"/>
      <c r="H117" s="20"/>
      <c r="I117" s="14">
        <f>IF(OR($B117="",$H117&lt;&gt;"Sí"),"",IF(DAY($A117)&lt;='Config'!$B$13,DATE(YEAR($A117),MONTH($A117),'Config'!$B$13),EOMONTH($A117,0)+'Config'!$B$13))</f>
      </c>
      <c r="J117" s="14">
        <f>IF($I117="","",DATE(YEAR(EOMONTH($I117,0)+1),MONTH(EOMONTH($I117,0)+1),'Config'!$B$14))</f>
      </c>
      <c r="K117" s="22"/>
      <c r="L117" s="16">
        <f>IF($B117="","",MAX($F117-$K117,0))</f>
      </c>
      <c r="M117" s="19">
        <f>IF($B117="","",IF($H117&lt;&gt;"Sí","Pagado (contado)",IF($L117&lt;=0,"Pagado",IF($K117&gt;0,"Abono parcial","Pendiente"))))</f>
      </c>
      <c r="N117" s="19">
        <f>IF(OR($B117="",$H117&lt;&gt;"Sí",$L117&lt;=0),"",IF(TODAY()&gt;$J117,"🔴 VENCIDO hace "&amp;(TODAY()-$J117)&amp;" día(s)",IF($J117-TODAY()&lt;='Config'!$B$15,"🟠 Faltan "&amp;($J117-TODAY())&amp;" día(s) para pagar","🟢 Al día (paga el "&amp;TEXT($J117,"dd/mm")&amp;")")))</f>
      </c>
      <c r="O117" s="23"/>
      <c r="P117" s="17">
        <f>IF(OR($B117="",$O117=""),"",$O117-$A117)</f>
      </c>
    </row>
    <row r="118">
      <c r="A118" s="23"/>
      <c r="B118" s="20"/>
      <c r="C118" s="19">
        <f>IF($B118="","",IFERROR(VLOOKUP($B118,'Catálogo'!$A:$B,2,FALSE),"⚠ Código no existe"))</f>
      </c>
      <c r="D118" s="21"/>
      <c r="E118" s="22"/>
      <c r="F118" s="16">
        <f>IF($B118="","",$D118*$E118)</f>
      </c>
      <c r="G118" s="20"/>
      <c r="H118" s="20"/>
      <c r="I118" s="14">
        <f>IF(OR($B118="",$H118&lt;&gt;"Sí"),"",IF(DAY($A118)&lt;='Config'!$B$13,DATE(YEAR($A118),MONTH($A118),'Config'!$B$13),EOMONTH($A118,0)+'Config'!$B$13))</f>
      </c>
      <c r="J118" s="14">
        <f>IF($I118="","",DATE(YEAR(EOMONTH($I118,0)+1),MONTH(EOMONTH($I118,0)+1),'Config'!$B$14))</f>
      </c>
      <c r="K118" s="22"/>
      <c r="L118" s="16">
        <f>IF($B118="","",MAX($F118-$K118,0))</f>
      </c>
      <c r="M118" s="19">
        <f>IF($B118="","",IF($H118&lt;&gt;"Sí","Pagado (contado)",IF($L118&lt;=0,"Pagado",IF($K118&gt;0,"Abono parcial","Pendiente"))))</f>
      </c>
      <c r="N118" s="19">
        <f>IF(OR($B118="",$H118&lt;&gt;"Sí",$L118&lt;=0),"",IF(TODAY()&gt;$J118,"🔴 VENCIDO hace "&amp;(TODAY()-$J118)&amp;" día(s)",IF($J118-TODAY()&lt;='Config'!$B$15,"🟠 Faltan "&amp;($J118-TODAY())&amp;" día(s) para pagar","🟢 Al día (paga el "&amp;TEXT($J118,"dd/mm")&amp;")")))</f>
      </c>
      <c r="O118" s="23"/>
      <c r="P118" s="17">
        <f>IF(OR($B118="",$O118=""),"",$O118-$A118)</f>
      </c>
    </row>
    <row r="119">
      <c r="A119" s="23"/>
      <c r="B119" s="20"/>
      <c r="C119" s="19">
        <f>IF($B119="","",IFERROR(VLOOKUP($B119,'Catálogo'!$A:$B,2,FALSE),"⚠ Código no existe"))</f>
      </c>
      <c r="D119" s="21"/>
      <c r="E119" s="22"/>
      <c r="F119" s="16">
        <f>IF($B119="","",$D119*$E119)</f>
      </c>
      <c r="G119" s="20"/>
      <c r="H119" s="20"/>
      <c r="I119" s="14">
        <f>IF(OR($B119="",$H119&lt;&gt;"Sí"),"",IF(DAY($A119)&lt;='Config'!$B$13,DATE(YEAR($A119),MONTH($A119),'Config'!$B$13),EOMONTH($A119,0)+'Config'!$B$13))</f>
      </c>
      <c r="J119" s="14">
        <f>IF($I119="","",DATE(YEAR(EOMONTH($I119,0)+1),MONTH(EOMONTH($I119,0)+1),'Config'!$B$14))</f>
      </c>
      <c r="K119" s="22"/>
      <c r="L119" s="16">
        <f>IF($B119="","",MAX($F119-$K119,0))</f>
      </c>
      <c r="M119" s="19">
        <f>IF($B119="","",IF($H119&lt;&gt;"Sí","Pagado (contado)",IF($L119&lt;=0,"Pagado",IF($K119&gt;0,"Abono parcial","Pendiente"))))</f>
      </c>
      <c r="N119" s="19">
        <f>IF(OR($B119="",$H119&lt;&gt;"Sí",$L119&lt;=0),"",IF(TODAY()&gt;$J119,"🔴 VENCIDO hace "&amp;(TODAY()-$J119)&amp;" día(s)",IF($J119-TODAY()&lt;='Config'!$B$15,"🟠 Faltan "&amp;($J119-TODAY())&amp;" día(s) para pagar","🟢 Al día (paga el "&amp;TEXT($J119,"dd/mm")&amp;")")))</f>
      </c>
      <c r="O119" s="23"/>
      <c r="P119" s="17">
        <f>IF(OR($B119="",$O119=""),"",$O119-$A119)</f>
      </c>
    </row>
    <row r="120">
      <c r="A120" s="23"/>
      <c r="B120" s="20"/>
      <c r="C120" s="19">
        <f>IF($B120="","",IFERROR(VLOOKUP($B120,'Catálogo'!$A:$B,2,FALSE),"⚠ Código no existe"))</f>
      </c>
      <c r="D120" s="21"/>
      <c r="E120" s="22"/>
      <c r="F120" s="16">
        <f>IF($B120="","",$D120*$E120)</f>
      </c>
      <c r="G120" s="20"/>
      <c r="H120" s="20"/>
      <c r="I120" s="14">
        <f>IF(OR($B120="",$H120&lt;&gt;"Sí"),"",IF(DAY($A120)&lt;='Config'!$B$13,DATE(YEAR($A120),MONTH($A120),'Config'!$B$13),EOMONTH($A120,0)+'Config'!$B$13))</f>
      </c>
      <c r="J120" s="14">
        <f>IF($I120="","",DATE(YEAR(EOMONTH($I120,0)+1),MONTH(EOMONTH($I120,0)+1),'Config'!$B$14))</f>
      </c>
      <c r="K120" s="22"/>
      <c r="L120" s="16">
        <f>IF($B120="","",MAX($F120-$K120,0))</f>
      </c>
      <c r="M120" s="19">
        <f>IF($B120="","",IF($H120&lt;&gt;"Sí","Pagado (contado)",IF($L120&lt;=0,"Pagado",IF($K120&gt;0,"Abono parcial","Pendiente"))))</f>
      </c>
      <c r="N120" s="19">
        <f>IF(OR($B120="",$H120&lt;&gt;"Sí",$L120&lt;=0),"",IF(TODAY()&gt;$J120,"🔴 VENCIDO hace "&amp;(TODAY()-$J120)&amp;" día(s)",IF($J120-TODAY()&lt;='Config'!$B$15,"🟠 Faltan "&amp;($J120-TODAY())&amp;" día(s) para pagar","🟢 Al día (paga el "&amp;TEXT($J120,"dd/mm")&amp;")")))</f>
      </c>
      <c r="O120" s="23"/>
      <c r="P120" s="17">
        <f>IF(OR($B120="",$O120=""),"",$O120-$A120)</f>
      </c>
    </row>
    <row r="121">
      <c r="A121" s="23"/>
      <c r="B121" s="20"/>
      <c r="C121" s="19">
        <f>IF($B121="","",IFERROR(VLOOKUP($B121,'Catálogo'!$A:$B,2,FALSE),"⚠ Código no existe"))</f>
      </c>
      <c r="D121" s="21"/>
      <c r="E121" s="22"/>
      <c r="F121" s="16">
        <f>IF($B121="","",$D121*$E121)</f>
      </c>
      <c r="G121" s="20"/>
      <c r="H121" s="20"/>
      <c r="I121" s="14">
        <f>IF(OR($B121="",$H121&lt;&gt;"Sí"),"",IF(DAY($A121)&lt;='Config'!$B$13,DATE(YEAR($A121),MONTH($A121),'Config'!$B$13),EOMONTH($A121,0)+'Config'!$B$13))</f>
      </c>
      <c r="J121" s="14">
        <f>IF($I121="","",DATE(YEAR(EOMONTH($I121,0)+1),MONTH(EOMONTH($I121,0)+1),'Config'!$B$14))</f>
      </c>
      <c r="K121" s="22"/>
      <c r="L121" s="16">
        <f>IF($B121="","",MAX($F121-$K121,0))</f>
      </c>
      <c r="M121" s="19">
        <f>IF($B121="","",IF($H121&lt;&gt;"Sí","Pagado (contado)",IF($L121&lt;=0,"Pagado",IF($K121&gt;0,"Abono parcial","Pendiente"))))</f>
      </c>
      <c r="N121" s="19">
        <f>IF(OR($B121="",$H121&lt;&gt;"Sí",$L121&lt;=0),"",IF(TODAY()&gt;$J121,"🔴 VENCIDO hace "&amp;(TODAY()-$J121)&amp;" día(s)",IF($J121-TODAY()&lt;='Config'!$B$15,"🟠 Faltan "&amp;($J121-TODAY())&amp;" día(s) para pagar","🟢 Al día (paga el "&amp;TEXT($J121,"dd/mm")&amp;")")))</f>
      </c>
      <c r="O121" s="23"/>
      <c r="P121" s="17">
        <f>IF(OR($B121="",$O121=""),"",$O121-$A121)</f>
      </c>
    </row>
    <row r="122">
      <c r="A122" s="23"/>
      <c r="B122" s="20"/>
      <c r="C122" s="19">
        <f>IF($B122="","",IFERROR(VLOOKUP($B122,'Catálogo'!$A:$B,2,FALSE),"⚠ Código no existe"))</f>
      </c>
      <c r="D122" s="21"/>
      <c r="E122" s="22"/>
      <c r="F122" s="16">
        <f>IF($B122="","",$D122*$E122)</f>
      </c>
      <c r="G122" s="20"/>
      <c r="H122" s="20"/>
      <c r="I122" s="14">
        <f>IF(OR($B122="",$H122&lt;&gt;"Sí"),"",IF(DAY($A122)&lt;='Config'!$B$13,DATE(YEAR($A122),MONTH($A122),'Config'!$B$13),EOMONTH($A122,0)+'Config'!$B$13))</f>
      </c>
      <c r="J122" s="14">
        <f>IF($I122="","",DATE(YEAR(EOMONTH($I122,0)+1),MONTH(EOMONTH($I122,0)+1),'Config'!$B$14))</f>
      </c>
      <c r="K122" s="22"/>
      <c r="L122" s="16">
        <f>IF($B122="","",MAX($F122-$K122,0))</f>
      </c>
      <c r="M122" s="19">
        <f>IF($B122="","",IF($H122&lt;&gt;"Sí","Pagado (contado)",IF($L122&lt;=0,"Pagado",IF($K122&gt;0,"Abono parcial","Pendiente"))))</f>
      </c>
      <c r="N122" s="19">
        <f>IF(OR($B122="",$H122&lt;&gt;"Sí",$L122&lt;=0),"",IF(TODAY()&gt;$J122,"🔴 VENCIDO hace "&amp;(TODAY()-$J122)&amp;" día(s)",IF($J122-TODAY()&lt;='Config'!$B$15,"🟠 Faltan "&amp;($J122-TODAY())&amp;" día(s) para pagar","🟢 Al día (paga el "&amp;TEXT($J122,"dd/mm")&amp;")")))</f>
      </c>
      <c r="O122" s="23"/>
      <c r="P122" s="17">
        <f>IF(OR($B122="",$O122=""),"",$O122-$A122)</f>
      </c>
    </row>
    <row r="123">
      <c r="A123" s="23"/>
      <c r="B123" s="20"/>
      <c r="C123" s="19">
        <f>IF($B123="","",IFERROR(VLOOKUP($B123,'Catálogo'!$A:$B,2,FALSE),"⚠ Código no existe"))</f>
      </c>
      <c r="D123" s="21"/>
      <c r="E123" s="22"/>
      <c r="F123" s="16">
        <f>IF($B123="","",$D123*$E123)</f>
      </c>
      <c r="G123" s="20"/>
      <c r="H123" s="20"/>
      <c r="I123" s="14">
        <f>IF(OR($B123="",$H123&lt;&gt;"Sí"),"",IF(DAY($A123)&lt;='Config'!$B$13,DATE(YEAR($A123),MONTH($A123),'Config'!$B$13),EOMONTH($A123,0)+'Config'!$B$13))</f>
      </c>
      <c r="J123" s="14">
        <f>IF($I123="","",DATE(YEAR(EOMONTH($I123,0)+1),MONTH(EOMONTH($I123,0)+1),'Config'!$B$14))</f>
      </c>
      <c r="K123" s="22"/>
      <c r="L123" s="16">
        <f>IF($B123="","",MAX($F123-$K123,0))</f>
      </c>
      <c r="M123" s="19">
        <f>IF($B123="","",IF($H123&lt;&gt;"Sí","Pagado (contado)",IF($L123&lt;=0,"Pagado",IF($K123&gt;0,"Abono parcial","Pendiente"))))</f>
      </c>
      <c r="N123" s="19">
        <f>IF(OR($B123="",$H123&lt;&gt;"Sí",$L123&lt;=0),"",IF(TODAY()&gt;$J123,"🔴 VENCIDO hace "&amp;(TODAY()-$J123)&amp;" día(s)",IF($J123-TODAY()&lt;='Config'!$B$15,"🟠 Faltan "&amp;($J123-TODAY())&amp;" día(s) para pagar","🟢 Al día (paga el "&amp;TEXT($J123,"dd/mm")&amp;")")))</f>
      </c>
      <c r="O123" s="23"/>
      <c r="P123" s="17">
        <f>IF(OR($B123="",$O123=""),"",$O123-$A123)</f>
      </c>
    </row>
    <row r="124">
      <c r="A124" s="23"/>
      <c r="B124" s="20"/>
      <c r="C124" s="19">
        <f>IF($B124="","",IFERROR(VLOOKUP($B124,'Catálogo'!$A:$B,2,FALSE),"⚠ Código no existe"))</f>
      </c>
      <c r="D124" s="21"/>
      <c r="E124" s="22"/>
      <c r="F124" s="16">
        <f>IF($B124="","",$D124*$E124)</f>
      </c>
      <c r="G124" s="20"/>
      <c r="H124" s="20"/>
      <c r="I124" s="14">
        <f>IF(OR($B124="",$H124&lt;&gt;"Sí"),"",IF(DAY($A124)&lt;='Config'!$B$13,DATE(YEAR($A124),MONTH($A124),'Config'!$B$13),EOMONTH($A124,0)+'Config'!$B$13))</f>
      </c>
      <c r="J124" s="14">
        <f>IF($I124="","",DATE(YEAR(EOMONTH($I124,0)+1),MONTH(EOMONTH($I124,0)+1),'Config'!$B$14))</f>
      </c>
      <c r="K124" s="22"/>
      <c r="L124" s="16">
        <f>IF($B124="","",MAX($F124-$K124,0))</f>
      </c>
      <c r="M124" s="19">
        <f>IF($B124="","",IF($H124&lt;&gt;"Sí","Pagado (contado)",IF($L124&lt;=0,"Pagado",IF($K124&gt;0,"Abono parcial","Pendiente"))))</f>
      </c>
      <c r="N124" s="19">
        <f>IF(OR($B124="",$H124&lt;&gt;"Sí",$L124&lt;=0),"",IF(TODAY()&gt;$J124,"🔴 VENCIDO hace "&amp;(TODAY()-$J124)&amp;" día(s)",IF($J124-TODAY()&lt;='Config'!$B$15,"🟠 Faltan "&amp;($J124-TODAY())&amp;" día(s) para pagar","🟢 Al día (paga el "&amp;TEXT($J124,"dd/mm")&amp;")")))</f>
      </c>
      <c r="O124" s="23"/>
      <c r="P124" s="17">
        <f>IF(OR($B124="",$O124=""),"",$O124-$A124)</f>
      </c>
    </row>
    <row r="125">
      <c r="A125" s="23"/>
      <c r="B125" s="20"/>
      <c r="C125" s="19">
        <f>IF($B125="","",IFERROR(VLOOKUP($B125,'Catálogo'!$A:$B,2,FALSE),"⚠ Código no existe"))</f>
      </c>
      <c r="D125" s="21"/>
      <c r="E125" s="22"/>
      <c r="F125" s="16">
        <f>IF($B125="","",$D125*$E125)</f>
      </c>
      <c r="G125" s="20"/>
      <c r="H125" s="20"/>
      <c r="I125" s="14">
        <f>IF(OR($B125="",$H125&lt;&gt;"Sí"),"",IF(DAY($A125)&lt;='Config'!$B$13,DATE(YEAR($A125),MONTH($A125),'Config'!$B$13),EOMONTH($A125,0)+'Config'!$B$13))</f>
      </c>
      <c r="J125" s="14">
        <f>IF($I125="","",DATE(YEAR(EOMONTH($I125,0)+1),MONTH(EOMONTH($I125,0)+1),'Config'!$B$14))</f>
      </c>
      <c r="K125" s="22"/>
      <c r="L125" s="16">
        <f>IF($B125="","",MAX($F125-$K125,0))</f>
      </c>
      <c r="M125" s="19">
        <f>IF($B125="","",IF($H125&lt;&gt;"Sí","Pagado (contado)",IF($L125&lt;=0,"Pagado",IF($K125&gt;0,"Abono parcial","Pendiente"))))</f>
      </c>
      <c r="N125" s="19">
        <f>IF(OR($B125="",$H125&lt;&gt;"Sí",$L125&lt;=0),"",IF(TODAY()&gt;$J125,"🔴 VENCIDO hace "&amp;(TODAY()-$J125)&amp;" día(s)",IF($J125-TODAY()&lt;='Config'!$B$15,"🟠 Faltan "&amp;($J125-TODAY())&amp;" día(s) para pagar","🟢 Al día (paga el "&amp;TEXT($J125,"dd/mm")&amp;")")))</f>
      </c>
      <c r="O125" s="23"/>
      <c r="P125" s="17">
        <f>IF(OR($B125="",$O125=""),"",$O125-$A125)</f>
      </c>
    </row>
    <row r="126">
      <c r="A126" s="23"/>
      <c r="B126" s="20"/>
      <c r="C126" s="19">
        <f>IF($B126="","",IFERROR(VLOOKUP($B126,'Catálogo'!$A:$B,2,FALSE),"⚠ Código no existe"))</f>
      </c>
      <c r="D126" s="21"/>
      <c r="E126" s="22"/>
      <c r="F126" s="16">
        <f>IF($B126="","",$D126*$E126)</f>
      </c>
      <c r="G126" s="20"/>
      <c r="H126" s="20"/>
      <c r="I126" s="14">
        <f>IF(OR($B126="",$H126&lt;&gt;"Sí"),"",IF(DAY($A126)&lt;='Config'!$B$13,DATE(YEAR($A126),MONTH($A126),'Config'!$B$13),EOMONTH($A126,0)+'Config'!$B$13))</f>
      </c>
      <c r="J126" s="14">
        <f>IF($I126="","",DATE(YEAR(EOMONTH($I126,0)+1),MONTH(EOMONTH($I126,0)+1),'Config'!$B$14))</f>
      </c>
      <c r="K126" s="22"/>
      <c r="L126" s="16">
        <f>IF($B126="","",MAX($F126-$K126,0))</f>
      </c>
      <c r="M126" s="19">
        <f>IF($B126="","",IF($H126&lt;&gt;"Sí","Pagado (contado)",IF($L126&lt;=0,"Pagado",IF($K126&gt;0,"Abono parcial","Pendiente"))))</f>
      </c>
      <c r="N126" s="19">
        <f>IF(OR($B126="",$H126&lt;&gt;"Sí",$L126&lt;=0),"",IF(TODAY()&gt;$J126,"🔴 VENCIDO hace "&amp;(TODAY()-$J126)&amp;" día(s)",IF($J126-TODAY()&lt;='Config'!$B$15,"🟠 Faltan "&amp;($J126-TODAY())&amp;" día(s) para pagar","🟢 Al día (paga el "&amp;TEXT($J126,"dd/mm")&amp;")")))</f>
      </c>
      <c r="O126" s="23"/>
      <c r="P126" s="17">
        <f>IF(OR($B126="",$O126=""),"",$O126-$A126)</f>
      </c>
    </row>
    <row r="127">
      <c r="A127" s="23"/>
      <c r="B127" s="20"/>
      <c r="C127" s="19">
        <f>IF($B127="","",IFERROR(VLOOKUP($B127,'Catálogo'!$A:$B,2,FALSE),"⚠ Código no existe"))</f>
      </c>
      <c r="D127" s="21"/>
      <c r="E127" s="22"/>
      <c r="F127" s="16">
        <f>IF($B127="","",$D127*$E127)</f>
      </c>
      <c r="G127" s="20"/>
      <c r="H127" s="20"/>
      <c r="I127" s="14">
        <f>IF(OR($B127="",$H127&lt;&gt;"Sí"),"",IF(DAY($A127)&lt;='Config'!$B$13,DATE(YEAR($A127),MONTH($A127),'Config'!$B$13),EOMONTH($A127,0)+'Config'!$B$13))</f>
      </c>
      <c r="J127" s="14">
        <f>IF($I127="","",DATE(YEAR(EOMONTH($I127,0)+1),MONTH(EOMONTH($I127,0)+1),'Config'!$B$14))</f>
      </c>
      <c r="K127" s="22"/>
      <c r="L127" s="16">
        <f>IF($B127="","",MAX($F127-$K127,0))</f>
      </c>
      <c r="M127" s="19">
        <f>IF($B127="","",IF($H127&lt;&gt;"Sí","Pagado (contado)",IF($L127&lt;=0,"Pagado",IF($K127&gt;0,"Abono parcial","Pendiente"))))</f>
      </c>
      <c r="N127" s="19">
        <f>IF(OR($B127="",$H127&lt;&gt;"Sí",$L127&lt;=0),"",IF(TODAY()&gt;$J127,"🔴 VENCIDO hace "&amp;(TODAY()-$J127)&amp;" día(s)",IF($J127-TODAY()&lt;='Config'!$B$15,"🟠 Faltan "&amp;($J127-TODAY())&amp;" día(s) para pagar","🟢 Al día (paga el "&amp;TEXT($J127,"dd/mm")&amp;")")))</f>
      </c>
      <c r="O127" s="23"/>
      <c r="P127" s="17">
        <f>IF(OR($B127="",$O127=""),"",$O127-$A127)</f>
      </c>
    </row>
    <row r="128">
      <c r="A128" s="23"/>
      <c r="B128" s="20"/>
      <c r="C128" s="19">
        <f>IF($B128="","",IFERROR(VLOOKUP($B128,'Catálogo'!$A:$B,2,FALSE),"⚠ Código no existe"))</f>
      </c>
      <c r="D128" s="21"/>
      <c r="E128" s="22"/>
      <c r="F128" s="16">
        <f>IF($B128="","",$D128*$E128)</f>
      </c>
      <c r="G128" s="20"/>
      <c r="H128" s="20"/>
      <c r="I128" s="14">
        <f>IF(OR($B128="",$H128&lt;&gt;"Sí"),"",IF(DAY($A128)&lt;='Config'!$B$13,DATE(YEAR($A128),MONTH($A128),'Config'!$B$13),EOMONTH($A128,0)+'Config'!$B$13))</f>
      </c>
      <c r="J128" s="14">
        <f>IF($I128="","",DATE(YEAR(EOMONTH($I128,0)+1),MONTH(EOMONTH($I128,0)+1),'Config'!$B$14))</f>
      </c>
      <c r="K128" s="22"/>
      <c r="L128" s="16">
        <f>IF($B128="","",MAX($F128-$K128,0))</f>
      </c>
      <c r="M128" s="19">
        <f>IF($B128="","",IF($H128&lt;&gt;"Sí","Pagado (contado)",IF($L128&lt;=0,"Pagado",IF($K128&gt;0,"Abono parcial","Pendiente"))))</f>
      </c>
      <c r="N128" s="19">
        <f>IF(OR($B128="",$H128&lt;&gt;"Sí",$L128&lt;=0),"",IF(TODAY()&gt;$J128,"🔴 VENCIDO hace "&amp;(TODAY()-$J128)&amp;" día(s)",IF($J128-TODAY()&lt;='Config'!$B$15,"🟠 Faltan "&amp;($J128-TODAY())&amp;" día(s) para pagar","🟢 Al día (paga el "&amp;TEXT($J128,"dd/mm")&amp;")")))</f>
      </c>
      <c r="O128" s="23"/>
      <c r="P128" s="17">
        <f>IF(OR($B128="",$O128=""),"",$O128-$A128)</f>
      </c>
    </row>
    <row r="129">
      <c r="A129" s="23"/>
      <c r="B129" s="20"/>
      <c r="C129" s="19">
        <f>IF($B129="","",IFERROR(VLOOKUP($B129,'Catálogo'!$A:$B,2,FALSE),"⚠ Código no existe"))</f>
      </c>
      <c r="D129" s="21"/>
      <c r="E129" s="22"/>
      <c r="F129" s="16">
        <f>IF($B129="","",$D129*$E129)</f>
      </c>
      <c r="G129" s="20"/>
      <c r="H129" s="20"/>
      <c r="I129" s="14">
        <f>IF(OR($B129="",$H129&lt;&gt;"Sí"),"",IF(DAY($A129)&lt;='Config'!$B$13,DATE(YEAR($A129),MONTH($A129),'Config'!$B$13),EOMONTH($A129,0)+'Config'!$B$13))</f>
      </c>
      <c r="J129" s="14">
        <f>IF($I129="","",DATE(YEAR(EOMONTH($I129,0)+1),MONTH(EOMONTH($I129,0)+1),'Config'!$B$14))</f>
      </c>
      <c r="K129" s="22"/>
      <c r="L129" s="16">
        <f>IF($B129="","",MAX($F129-$K129,0))</f>
      </c>
      <c r="M129" s="19">
        <f>IF($B129="","",IF($H129&lt;&gt;"Sí","Pagado (contado)",IF($L129&lt;=0,"Pagado",IF($K129&gt;0,"Abono parcial","Pendiente"))))</f>
      </c>
      <c r="N129" s="19">
        <f>IF(OR($B129="",$H129&lt;&gt;"Sí",$L129&lt;=0),"",IF(TODAY()&gt;$J129,"🔴 VENCIDO hace "&amp;(TODAY()-$J129)&amp;" día(s)",IF($J129-TODAY()&lt;='Config'!$B$15,"🟠 Faltan "&amp;($J129-TODAY())&amp;" día(s) para pagar","🟢 Al día (paga el "&amp;TEXT($J129,"dd/mm")&amp;")")))</f>
      </c>
      <c r="O129" s="23"/>
      <c r="P129" s="17">
        <f>IF(OR($B129="",$O129=""),"",$O129-$A129)</f>
      </c>
    </row>
    <row r="130">
      <c r="A130" s="23"/>
      <c r="B130" s="20"/>
      <c r="C130" s="19">
        <f>IF($B130="","",IFERROR(VLOOKUP($B130,'Catálogo'!$A:$B,2,FALSE),"⚠ Código no existe"))</f>
      </c>
      <c r="D130" s="21"/>
      <c r="E130" s="22"/>
      <c r="F130" s="16">
        <f>IF($B130="","",$D130*$E130)</f>
      </c>
      <c r="G130" s="20"/>
      <c r="H130" s="20"/>
      <c r="I130" s="14">
        <f>IF(OR($B130="",$H130&lt;&gt;"Sí"),"",IF(DAY($A130)&lt;='Config'!$B$13,DATE(YEAR($A130),MONTH($A130),'Config'!$B$13),EOMONTH($A130,0)+'Config'!$B$13))</f>
      </c>
      <c r="J130" s="14">
        <f>IF($I130="","",DATE(YEAR(EOMONTH($I130,0)+1),MONTH(EOMONTH($I130,0)+1),'Config'!$B$14))</f>
      </c>
      <c r="K130" s="22"/>
      <c r="L130" s="16">
        <f>IF($B130="","",MAX($F130-$K130,0))</f>
      </c>
      <c r="M130" s="19">
        <f>IF($B130="","",IF($H130&lt;&gt;"Sí","Pagado (contado)",IF($L130&lt;=0,"Pagado",IF($K130&gt;0,"Abono parcial","Pendiente"))))</f>
      </c>
      <c r="N130" s="19">
        <f>IF(OR($B130="",$H130&lt;&gt;"Sí",$L130&lt;=0),"",IF(TODAY()&gt;$J130,"🔴 VENCIDO hace "&amp;(TODAY()-$J130)&amp;" día(s)",IF($J130-TODAY()&lt;='Config'!$B$15,"🟠 Faltan "&amp;($J130-TODAY())&amp;" día(s) para pagar","🟢 Al día (paga el "&amp;TEXT($J130,"dd/mm")&amp;")")))</f>
      </c>
      <c r="O130" s="23"/>
      <c r="P130" s="17">
        <f>IF(OR($B130="",$O130=""),"",$O130-$A130)</f>
      </c>
    </row>
    <row r="131">
      <c r="A131" s="23"/>
      <c r="B131" s="20"/>
      <c r="C131" s="19">
        <f>IF($B131="","",IFERROR(VLOOKUP($B131,'Catálogo'!$A:$B,2,FALSE),"⚠ Código no existe"))</f>
      </c>
      <c r="D131" s="21"/>
      <c r="E131" s="22"/>
      <c r="F131" s="16">
        <f>IF($B131="","",$D131*$E131)</f>
      </c>
      <c r="G131" s="20"/>
      <c r="H131" s="20"/>
      <c r="I131" s="14">
        <f>IF(OR($B131="",$H131&lt;&gt;"Sí"),"",IF(DAY($A131)&lt;='Config'!$B$13,DATE(YEAR($A131),MONTH($A131),'Config'!$B$13),EOMONTH($A131,0)+'Config'!$B$13))</f>
      </c>
      <c r="J131" s="14">
        <f>IF($I131="","",DATE(YEAR(EOMONTH($I131,0)+1),MONTH(EOMONTH($I131,0)+1),'Config'!$B$14))</f>
      </c>
      <c r="K131" s="22"/>
      <c r="L131" s="16">
        <f>IF($B131="","",MAX($F131-$K131,0))</f>
      </c>
      <c r="M131" s="19">
        <f>IF($B131="","",IF($H131&lt;&gt;"Sí","Pagado (contado)",IF($L131&lt;=0,"Pagado",IF($K131&gt;0,"Abono parcial","Pendiente"))))</f>
      </c>
      <c r="N131" s="19">
        <f>IF(OR($B131="",$H131&lt;&gt;"Sí",$L131&lt;=0),"",IF(TODAY()&gt;$J131,"🔴 VENCIDO hace "&amp;(TODAY()-$J131)&amp;" día(s)",IF($J131-TODAY()&lt;='Config'!$B$15,"🟠 Faltan "&amp;($J131-TODAY())&amp;" día(s) para pagar","🟢 Al día (paga el "&amp;TEXT($J131,"dd/mm")&amp;")")))</f>
      </c>
      <c r="O131" s="23"/>
      <c r="P131" s="17">
        <f>IF(OR($B131="",$O131=""),"",$O131-$A131)</f>
      </c>
    </row>
    <row r="132">
      <c r="A132" s="23"/>
      <c r="B132" s="20"/>
      <c r="C132" s="19">
        <f>IF($B132="","",IFERROR(VLOOKUP($B132,'Catálogo'!$A:$B,2,FALSE),"⚠ Código no existe"))</f>
      </c>
      <c r="D132" s="21"/>
      <c r="E132" s="22"/>
      <c r="F132" s="16">
        <f>IF($B132="","",$D132*$E132)</f>
      </c>
      <c r="G132" s="20"/>
      <c r="H132" s="20"/>
      <c r="I132" s="14">
        <f>IF(OR($B132="",$H132&lt;&gt;"Sí"),"",IF(DAY($A132)&lt;='Config'!$B$13,DATE(YEAR($A132),MONTH($A132),'Config'!$B$13),EOMONTH($A132,0)+'Config'!$B$13))</f>
      </c>
      <c r="J132" s="14">
        <f>IF($I132="","",DATE(YEAR(EOMONTH($I132,0)+1),MONTH(EOMONTH($I132,0)+1),'Config'!$B$14))</f>
      </c>
      <c r="K132" s="22"/>
      <c r="L132" s="16">
        <f>IF($B132="","",MAX($F132-$K132,0))</f>
      </c>
      <c r="M132" s="19">
        <f>IF($B132="","",IF($H132&lt;&gt;"Sí","Pagado (contado)",IF($L132&lt;=0,"Pagado",IF($K132&gt;0,"Abono parcial","Pendiente"))))</f>
      </c>
      <c r="N132" s="19">
        <f>IF(OR($B132="",$H132&lt;&gt;"Sí",$L132&lt;=0),"",IF(TODAY()&gt;$J132,"🔴 VENCIDO hace "&amp;(TODAY()-$J132)&amp;" día(s)",IF($J132-TODAY()&lt;='Config'!$B$15,"🟠 Faltan "&amp;($J132-TODAY())&amp;" día(s) para pagar","🟢 Al día (paga el "&amp;TEXT($J132,"dd/mm")&amp;")")))</f>
      </c>
      <c r="O132" s="23"/>
      <c r="P132" s="17">
        <f>IF(OR($B132="",$O132=""),"",$O132-$A132)</f>
      </c>
    </row>
    <row r="133">
      <c r="A133" s="23"/>
      <c r="B133" s="20"/>
      <c r="C133" s="19">
        <f>IF($B133="","",IFERROR(VLOOKUP($B133,'Catálogo'!$A:$B,2,FALSE),"⚠ Código no existe"))</f>
      </c>
      <c r="D133" s="21"/>
      <c r="E133" s="22"/>
      <c r="F133" s="16">
        <f>IF($B133="","",$D133*$E133)</f>
      </c>
      <c r="G133" s="20"/>
      <c r="H133" s="20"/>
      <c r="I133" s="14">
        <f>IF(OR($B133="",$H133&lt;&gt;"Sí"),"",IF(DAY($A133)&lt;='Config'!$B$13,DATE(YEAR($A133),MONTH($A133),'Config'!$B$13),EOMONTH($A133,0)+'Config'!$B$13))</f>
      </c>
      <c r="J133" s="14">
        <f>IF($I133="","",DATE(YEAR(EOMONTH($I133,0)+1),MONTH(EOMONTH($I133,0)+1),'Config'!$B$14))</f>
      </c>
      <c r="K133" s="22"/>
      <c r="L133" s="16">
        <f>IF($B133="","",MAX($F133-$K133,0))</f>
      </c>
      <c r="M133" s="19">
        <f>IF($B133="","",IF($H133&lt;&gt;"Sí","Pagado (contado)",IF($L133&lt;=0,"Pagado",IF($K133&gt;0,"Abono parcial","Pendiente"))))</f>
      </c>
      <c r="N133" s="19">
        <f>IF(OR($B133="",$H133&lt;&gt;"Sí",$L133&lt;=0),"",IF(TODAY()&gt;$J133,"🔴 VENCIDO hace "&amp;(TODAY()-$J133)&amp;" día(s)",IF($J133-TODAY()&lt;='Config'!$B$15,"🟠 Faltan "&amp;($J133-TODAY())&amp;" día(s) para pagar","🟢 Al día (paga el "&amp;TEXT($J133,"dd/mm")&amp;")")))</f>
      </c>
      <c r="O133" s="23"/>
      <c r="P133" s="17">
        <f>IF(OR($B133="",$O133=""),"",$O133-$A133)</f>
      </c>
    </row>
    <row r="134">
      <c r="A134" s="23"/>
      <c r="B134" s="20"/>
      <c r="C134" s="19">
        <f>IF($B134="","",IFERROR(VLOOKUP($B134,'Catálogo'!$A:$B,2,FALSE),"⚠ Código no existe"))</f>
      </c>
      <c r="D134" s="21"/>
      <c r="E134" s="22"/>
      <c r="F134" s="16">
        <f>IF($B134="","",$D134*$E134)</f>
      </c>
      <c r="G134" s="20"/>
      <c r="H134" s="20"/>
      <c r="I134" s="14">
        <f>IF(OR($B134="",$H134&lt;&gt;"Sí"),"",IF(DAY($A134)&lt;='Config'!$B$13,DATE(YEAR($A134),MONTH($A134),'Config'!$B$13),EOMONTH($A134,0)+'Config'!$B$13))</f>
      </c>
      <c r="J134" s="14">
        <f>IF($I134="","",DATE(YEAR(EOMONTH($I134,0)+1),MONTH(EOMONTH($I134,0)+1),'Config'!$B$14))</f>
      </c>
      <c r="K134" s="22"/>
      <c r="L134" s="16">
        <f>IF($B134="","",MAX($F134-$K134,0))</f>
      </c>
      <c r="M134" s="19">
        <f>IF($B134="","",IF($H134&lt;&gt;"Sí","Pagado (contado)",IF($L134&lt;=0,"Pagado",IF($K134&gt;0,"Abono parcial","Pendiente"))))</f>
      </c>
      <c r="N134" s="19">
        <f>IF(OR($B134="",$H134&lt;&gt;"Sí",$L134&lt;=0),"",IF(TODAY()&gt;$J134,"🔴 VENCIDO hace "&amp;(TODAY()-$J134)&amp;" día(s)",IF($J134-TODAY()&lt;='Config'!$B$15,"🟠 Faltan "&amp;($J134-TODAY())&amp;" día(s) para pagar","🟢 Al día (paga el "&amp;TEXT($J134,"dd/mm")&amp;")")))</f>
      </c>
      <c r="O134" s="23"/>
      <c r="P134" s="17">
        <f>IF(OR($B134="",$O134=""),"",$O134-$A134)</f>
      </c>
    </row>
    <row r="135">
      <c r="A135" s="23"/>
      <c r="B135" s="20"/>
      <c r="C135" s="19">
        <f>IF($B135="","",IFERROR(VLOOKUP($B135,'Catálogo'!$A:$B,2,FALSE),"⚠ Código no existe"))</f>
      </c>
      <c r="D135" s="21"/>
      <c r="E135" s="22"/>
      <c r="F135" s="16">
        <f>IF($B135="","",$D135*$E135)</f>
      </c>
      <c r="G135" s="20"/>
      <c r="H135" s="20"/>
      <c r="I135" s="14">
        <f>IF(OR($B135="",$H135&lt;&gt;"Sí"),"",IF(DAY($A135)&lt;='Config'!$B$13,DATE(YEAR($A135),MONTH($A135),'Config'!$B$13),EOMONTH($A135,0)+'Config'!$B$13))</f>
      </c>
      <c r="J135" s="14">
        <f>IF($I135="","",DATE(YEAR(EOMONTH($I135,0)+1),MONTH(EOMONTH($I135,0)+1),'Config'!$B$14))</f>
      </c>
      <c r="K135" s="22"/>
      <c r="L135" s="16">
        <f>IF($B135="","",MAX($F135-$K135,0))</f>
      </c>
      <c r="M135" s="19">
        <f>IF($B135="","",IF($H135&lt;&gt;"Sí","Pagado (contado)",IF($L135&lt;=0,"Pagado",IF($K135&gt;0,"Abono parcial","Pendiente"))))</f>
      </c>
      <c r="N135" s="19">
        <f>IF(OR($B135="",$H135&lt;&gt;"Sí",$L135&lt;=0),"",IF(TODAY()&gt;$J135,"🔴 VENCIDO hace "&amp;(TODAY()-$J135)&amp;" día(s)",IF($J135-TODAY()&lt;='Config'!$B$15,"🟠 Faltan "&amp;($J135-TODAY())&amp;" día(s) para pagar","🟢 Al día (paga el "&amp;TEXT($J135,"dd/mm")&amp;")")))</f>
      </c>
      <c r="O135" s="23"/>
      <c r="P135" s="17">
        <f>IF(OR($B135="",$O135=""),"",$O135-$A135)</f>
      </c>
    </row>
    <row r="136">
      <c r="A136" s="23"/>
      <c r="B136" s="20"/>
      <c r="C136" s="19">
        <f>IF($B136="","",IFERROR(VLOOKUP($B136,'Catálogo'!$A:$B,2,FALSE),"⚠ Código no existe"))</f>
      </c>
      <c r="D136" s="21"/>
      <c r="E136" s="22"/>
      <c r="F136" s="16">
        <f>IF($B136="","",$D136*$E136)</f>
      </c>
      <c r="G136" s="20"/>
      <c r="H136" s="20"/>
      <c r="I136" s="14">
        <f>IF(OR($B136="",$H136&lt;&gt;"Sí"),"",IF(DAY($A136)&lt;='Config'!$B$13,DATE(YEAR($A136),MONTH($A136),'Config'!$B$13),EOMONTH($A136,0)+'Config'!$B$13))</f>
      </c>
      <c r="J136" s="14">
        <f>IF($I136="","",DATE(YEAR(EOMONTH($I136,0)+1),MONTH(EOMONTH($I136,0)+1),'Config'!$B$14))</f>
      </c>
      <c r="K136" s="22"/>
      <c r="L136" s="16">
        <f>IF($B136="","",MAX($F136-$K136,0))</f>
      </c>
      <c r="M136" s="19">
        <f>IF($B136="","",IF($H136&lt;&gt;"Sí","Pagado (contado)",IF($L136&lt;=0,"Pagado",IF($K136&gt;0,"Abono parcial","Pendiente"))))</f>
      </c>
      <c r="N136" s="19">
        <f>IF(OR($B136="",$H136&lt;&gt;"Sí",$L136&lt;=0),"",IF(TODAY()&gt;$J136,"🔴 VENCIDO hace "&amp;(TODAY()-$J136)&amp;" día(s)",IF($J136-TODAY()&lt;='Config'!$B$15,"🟠 Faltan "&amp;($J136-TODAY())&amp;" día(s) para pagar","🟢 Al día (paga el "&amp;TEXT($J136,"dd/mm")&amp;")")))</f>
      </c>
      <c r="O136" s="23"/>
      <c r="P136" s="17">
        <f>IF(OR($B136="",$O136=""),"",$O136-$A136)</f>
      </c>
    </row>
    <row r="137">
      <c r="A137" s="23"/>
      <c r="B137" s="20"/>
      <c r="C137" s="19">
        <f>IF($B137="","",IFERROR(VLOOKUP($B137,'Catálogo'!$A:$B,2,FALSE),"⚠ Código no existe"))</f>
      </c>
      <c r="D137" s="21"/>
      <c r="E137" s="22"/>
      <c r="F137" s="16">
        <f>IF($B137="","",$D137*$E137)</f>
      </c>
      <c r="G137" s="20"/>
      <c r="H137" s="20"/>
      <c r="I137" s="14">
        <f>IF(OR($B137="",$H137&lt;&gt;"Sí"),"",IF(DAY($A137)&lt;='Config'!$B$13,DATE(YEAR($A137),MONTH($A137),'Config'!$B$13),EOMONTH($A137,0)+'Config'!$B$13))</f>
      </c>
      <c r="J137" s="14">
        <f>IF($I137="","",DATE(YEAR(EOMONTH($I137,0)+1),MONTH(EOMONTH($I137,0)+1),'Config'!$B$14))</f>
      </c>
      <c r="K137" s="22"/>
      <c r="L137" s="16">
        <f>IF($B137="","",MAX($F137-$K137,0))</f>
      </c>
      <c r="M137" s="19">
        <f>IF($B137="","",IF($H137&lt;&gt;"Sí","Pagado (contado)",IF($L137&lt;=0,"Pagado",IF($K137&gt;0,"Abono parcial","Pendiente"))))</f>
      </c>
      <c r="N137" s="19">
        <f>IF(OR($B137="",$H137&lt;&gt;"Sí",$L137&lt;=0),"",IF(TODAY()&gt;$J137,"🔴 VENCIDO hace "&amp;(TODAY()-$J137)&amp;" día(s)",IF($J137-TODAY()&lt;='Config'!$B$15,"🟠 Faltan "&amp;($J137-TODAY())&amp;" día(s) para pagar","🟢 Al día (paga el "&amp;TEXT($J137,"dd/mm")&amp;")")))</f>
      </c>
      <c r="O137" s="23"/>
      <c r="P137" s="17">
        <f>IF(OR($B137="",$O137=""),"",$O137-$A137)</f>
      </c>
    </row>
    <row r="138">
      <c r="A138" s="23"/>
      <c r="B138" s="20"/>
      <c r="C138" s="19">
        <f>IF($B138="","",IFERROR(VLOOKUP($B138,'Catálogo'!$A:$B,2,FALSE),"⚠ Código no existe"))</f>
      </c>
      <c r="D138" s="21"/>
      <c r="E138" s="22"/>
      <c r="F138" s="16">
        <f>IF($B138="","",$D138*$E138)</f>
      </c>
      <c r="G138" s="20"/>
      <c r="H138" s="20"/>
      <c r="I138" s="14">
        <f>IF(OR($B138="",$H138&lt;&gt;"Sí"),"",IF(DAY($A138)&lt;='Config'!$B$13,DATE(YEAR($A138),MONTH($A138),'Config'!$B$13),EOMONTH($A138,0)+'Config'!$B$13))</f>
      </c>
      <c r="J138" s="14">
        <f>IF($I138="","",DATE(YEAR(EOMONTH($I138,0)+1),MONTH(EOMONTH($I138,0)+1),'Config'!$B$14))</f>
      </c>
      <c r="K138" s="22"/>
      <c r="L138" s="16">
        <f>IF($B138="","",MAX($F138-$K138,0))</f>
      </c>
      <c r="M138" s="19">
        <f>IF($B138="","",IF($H138&lt;&gt;"Sí","Pagado (contado)",IF($L138&lt;=0,"Pagado",IF($K138&gt;0,"Abono parcial","Pendiente"))))</f>
      </c>
      <c r="N138" s="19">
        <f>IF(OR($B138="",$H138&lt;&gt;"Sí",$L138&lt;=0),"",IF(TODAY()&gt;$J138,"🔴 VENCIDO hace "&amp;(TODAY()-$J138)&amp;" día(s)",IF($J138-TODAY()&lt;='Config'!$B$15,"🟠 Faltan "&amp;($J138-TODAY())&amp;" día(s) para pagar","🟢 Al día (paga el "&amp;TEXT($J138,"dd/mm")&amp;")")))</f>
      </c>
      <c r="O138" s="23"/>
      <c r="P138" s="17">
        <f>IF(OR($B138="",$O138=""),"",$O138-$A138)</f>
      </c>
    </row>
    <row r="139">
      <c r="A139" s="23"/>
      <c r="B139" s="20"/>
      <c r="C139" s="19">
        <f>IF($B139="","",IFERROR(VLOOKUP($B139,'Catálogo'!$A:$B,2,FALSE),"⚠ Código no existe"))</f>
      </c>
      <c r="D139" s="21"/>
      <c r="E139" s="22"/>
      <c r="F139" s="16">
        <f>IF($B139="","",$D139*$E139)</f>
      </c>
      <c r="G139" s="20"/>
      <c r="H139" s="20"/>
      <c r="I139" s="14">
        <f>IF(OR($B139="",$H139&lt;&gt;"Sí"),"",IF(DAY($A139)&lt;='Config'!$B$13,DATE(YEAR($A139),MONTH($A139),'Config'!$B$13),EOMONTH($A139,0)+'Config'!$B$13))</f>
      </c>
      <c r="J139" s="14">
        <f>IF($I139="","",DATE(YEAR(EOMONTH($I139,0)+1),MONTH(EOMONTH($I139,0)+1),'Config'!$B$14))</f>
      </c>
      <c r="K139" s="22"/>
      <c r="L139" s="16">
        <f>IF($B139="","",MAX($F139-$K139,0))</f>
      </c>
      <c r="M139" s="19">
        <f>IF($B139="","",IF($H139&lt;&gt;"Sí","Pagado (contado)",IF($L139&lt;=0,"Pagado",IF($K139&gt;0,"Abono parcial","Pendiente"))))</f>
      </c>
      <c r="N139" s="19">
        <f>IF(OR($B139="",$H139&lt;&gt;"Sí",$L139&lt;=0),"",IF(TODAY()&gt;$J139,"🔴 VENCIDO hace "&amp;(TODAY()-$J139)&amp;" día(s)",IF($J139-TODAY()&lt;='Config'!$B$15,"🟠 Faltan "&amp;($J139-TODAY())&amp;" día(s) para pagar","🟢 Al día (paga el "&amp;TEXT($J139,"dd/mm")&amp;")")))</f>
      </c>
      <c r="O139" s="23"/>
      <c r="P139" s="17">
        <f>IF(OR($B139="",$O139=""),"",$O139-$A139)</f>
      </c>
    </row>
    <row r="140">
      <c r="A140" s="23"/>
      <c r="B140" s="20"/>
      <c r="C140" s="19">
        <f>IF($B140="","",IFERROR(VLOOKUP($B140,'Catálogo'!$A:$B,2,FALSE),"⚠ Código no existe"))</f>
      </c>
      <c r="D140" s="21"/>
      <c r="E140" s="22"/>
      <c r="F140" s="16">
        <f>IF($B140="","",$D140*$E140)</f>
      </c>
      <c r="G140" s="20"/>
      <c r="H140" s="20"/>
      <c r="I140" s="14">
        <f>IF(OR($B140="",$H140&lt;&gt;"Sí"),"",IF(DAY($A140)&lt;='Config'!$B$13,DATE(YEAR($A140),MONTH($A140),'Config'!$B$13),EOMONTH($A140,0)+'Config'!$B$13))</f>
      </c>
      <c r="J140" s="14">
        <f>IF($I140="","",DATE(YEAR(EOMONTH($I140,0)+1),MONTH(EOMONTH($I140,0)+1),'Config'!$B$14))</f>
      </c>
      <c r="K140" s="22"/>
      <c r="L140" s="16">
        <f>IF($B140="","",MAX($F140-$K140,0))</f>
      </c>
      <c r="M140" s="19">
        <f>IF($B140="","",IF($H140&lt;&gt;"Sí","Pagado (contado)",IF($L140&lt;=0,"Pagado",IF($K140&gt;0,"Abono parcial","Pendiente"))))</f>
      </c>
      <c r="N140" s="19">
        <f>IF(OR($B140="",$H140&lt;&gt;"Sí",$L140&lt;=0),"",IF(TODAY()&gt;$J140,"🔴 VENCIDO hace "&amp;(TODAY()-$J140)&amp;" día(s)",IF($J140-TODAY()&lt;='Config'!$B$15,"🟠 Faltan "&amp;($J140-TODAY())&amp;" día(s) para pagar","🟢 Al día (paga el "&amp;TEXT($J140,"dd/mm")&amp;")")))</f>
      </c>
      <c r="O140" s="23"/>
      <c r="P140" s="17">
        <f>IF(OR($B140="",$O140=""),"",$O140-$A140)</f>
      </c>
    </row>
    <row r="141">
      <c r="A141" s="23"/>
      <c r="B141" s="20"/>
      <c r="C141" s="19">
        <f>IF($B141="","",IFERROR(VLOOKUP($B141,'Catálogo'!$A:$B,2,FALSE),"⚠ Código no existe"))</f>
      </c>
      <c r="D141" s="21"/>
      <c r="E141" s="22"/>
      <c r="F141" s="16">
        <f>IF($B141="","",$D141*$E141)</f>
      </c>
      <c r="G141" s="20"/>
      <c r="H141" s="20"/>
      <c r="I141" s="14">
        <f>IF(OR($B141="",$H141&lt;&gt;"Sí"),"",IF(DAY($A141)&lt;='Config'!$B$13,DATE(YEAR($A141),MONTH($A141),'Config'!$B$13),EOMONTH($A141,0)+'Config'!$B$13))</f>
      </c>
      <c r="J141" s="14">
        <f>IF($I141="","",DATE(YEAR(EOMONTH($I141,0)+1),MONTH(EOMONTH($I141,0)+1),'Config'!$B$14))</f>
      </c>
      <c r="K141" s="22"/>
      <c r="L141" s="16">
        <f>IF($B141="","",MAX($F141-$K141,0))</f>
      </c>
      <c r="M141" s="19">
        <f>IF($B141="","",IF($H141&lt;&gt;"Sí","Pagado (contado)",IF($L141&lt;=0,"Pagado",IF($K141&gt;0,"Abono parcial","Pendiente"))))</f>
      </c>
      <c r="N141" s="19">
        <f>IF(OR($B141="",$H141&lt;&gt;"Sí",$L141&lt;=0),"",IF(TODAY()&gt;$J141,"🔴 VENCIDO hace "&amp;(TODAY()-$J141)&amp;" día(s)",IF($J141-TODAY()&lt;='Config'!$B$15,"🟠 Faltan "&amp;($J141-TODAY())&amp;" día(s) para pagar","🟢 Al día (paga el "&amp;TEXT($J141,"dd/mm")&amp;")")))</f>
      </c>
      <c r="O141" s="23"/>
      <c r="P141" s="17">
        <f>IF(OR($B141="",$O141=""),"",$O141-$A141)</f>
      </c>
    </row>
    <row r="142">
      <c r="A142" s="23"/>
      <c r="B142" s="20"/>
      <c r="C142" s="19">
        <f>IF($B142="","",IFERROR(VLOOKUP($B142,'Catálogo'!$A:$B,2,FALSE),"⚠ Código no existe"))</f>
      </c>
      <c r="D142" s="21"/>
      <c r="E142" s="22"/>
      <c r="F142" s="16">
        <f>IF($B142="","",$D142*$E142)</f>
      </c>
      <c r="G142" s="20"/>
      <c r="H142" s="20"/>
      <c r="I142" s="14">
        <f>IF(OR($B142="",$H142&lt;&gt;"Sí"),"",IF(DAY($A142)&lt;='Config'!$B$13,DATE(YEAR($A142),MONTH($A142),'Config'!$B$13),EOMONTH($A142,0)+'Config'!$B$13))</f>
      </c>
      <c r="J142" s="14">
        <f>IF($I142="","",DATE(YEAR(EOMONTH($I142,0)+1),MONTH(EOMONTH($I142,0)+1),'Config'!$B$14))</f>
      </c>
      <c r="K142" s="22"/>
      <c r="L142" s="16">
        <f>IF($B142="","",MAX($F142-$K142,0))</f>
      </c>
      <c r="M142" s="19">
        <f>IF($B142="","",IF($H142&lt;&gt;"Sí","Pagado (contado)",IF($L142&lt;=0,"Pagado",IF($K142&gt;0,"Abono parcial","Pendiente"))))</f>
      </c>
      <c r="N142" s="19">
        <f>IF(OR($B142="",$H142&lt;&gt;"Sí",$L142&lt;=0),"",IF(TODAY()&gt;$J142,"🔴 VENCIDO hace "&amp;(TODAY()-$J142)&amp;" día(s)",IF($J142-TODAY()&lt;='Config'!$B$15,"🟠 Faltan "&amp;($J142-TODAY())&amp;" día(s) para pagar","🟢 Al día (paga el "&amp;TEXT($J142,"dd/mm")&amp;")")))</f>
      </c>
      <c r="O142" s="23"/>
      <c r="P142" s="17">
        <f>IF(OR($B142="",$O142=""),"",$O142-$A142)</f>
      </c>
    </row>
    <row r="143">
      <c r="A143" s="23"/>
      <c r="B143" s="20"/>
      <c r="C143" s="19">
        <f>IF($B143="","",IFERROR(VLOOKUP($B143,'Catálogo'!$A:$B,2,FALSE),"⚠ Código no existe"))</f>
      </c>
      <c r="D143" s="21"/>
      <c r="E143" s="22"/>
      <c r="F143" s="16">
        <f>IF($B143="","",$D143*$E143)</f>
      </c>
      <c r="G143" s="20"/>
      <c r="H143" s="20"/>
      <c r="I143" s="14">
        <f>IF(OR($B143="",$H143&lt;&gt;"Sí"),"",IF(DAY($A143)&lt;='Config'!$B$13,DATE(YEAR($A143),MONTH($A143),'Config'!$B$13),EOMONTH($A143,0)+'Config'!$B$13))</f>
      </c>
      <c r="J143" s="14">
        <f>IF($I143="","",DATE(YEAR(EOMONTH($I143,0)+1),MONTH(EOMONTH($I143,0)+1),'Config'!$B$14))</f>
      </c>
      <c r="K143" s="22"/>
      <c r="L143" s="16">
        <f>IF($B143="","",MAX($F143-$K143,0))</f>
      </c>
      <c r="M143" s="19">
        <f>IF($B143="","",IF($H143&lt;&gt;"Sí","Pagado (contado)",IF($L143&lt;=0,"Pagado",IF($K143&gt;0,"Abono parcial","Pendiente"))))</f>
      </c>
      <c r="N143" s="19">
        <f>IF(OR($B143="",$H143&lt;&gt;"Sí",$L143&lt;=0),"",IF(TODAY()&gt;$J143,"🔴 VENCIDO hace "&amp;(TODAY()-$J143)&amp;" día(s)",IF($J143-TODAY()&lt;='Config'!$B$15,"🟠 Faltan "&amp;($J143-TODAY())&amp;" día(s) para pagar","🟢 Al día (paga el "&amp;TEXT($J143,"dd/mm")&amp;")")))</f>
      </c>
      <c r="O143" s="23"/>
      <c r="P143" s="17">
        <f>IF(OR($B143="",$O143=""),"",$O143-$A143)</f>
      </c>
    </row>
    <row r="144">
      <c r="A144" s="23"/>
      <c r="B144" s="20"/>
      <c r="C144" s="19">
        <f>IF($B144="","",IFERROR(VLOOKUP($B144,'Catálogo'!$A:$B,2,FALSE),"⚠ Código no existe"))</f>
      </c>
      <c r="D144" s="21"/>
      <c r="E144" s="22"/>
      <c r="F144" s="16">
        <f>IF($B144="","",$D144*$E144)</f>
      </c>
      <c r="G144" s="20"/>
      <c r="H144" s="20"/>
      <c r="I144" s="14">
        <f>IF(OR($B144="",$H144&lt;&gt;"Sí"),"",IF(DAY($A144)&lt;='Config'!$B$13,DATE(YEAR($A144),MONTH($A144),'Config'!$B$13),EOMONTH($A144,0)+'Config'!$B$13))</f>
      </c>
      <c r="J144" s="14">
        <f>IF($I144="","",DATE(YEAR(EOMONTH($I144,0)+1),MONTH(EOMONTH($I144,0)+1),'Config'!$B$14))</f>
      </c>
      <c r="K144" s="22"/>
      <c r="L144" s="16">
        <f>IF($B144="","",MAX($F144-$K144,0))</f>
      </c>
      <c r="M144" s="19">
        <f>IF($B144="","",IF($H144&lt;&gt;"Sí","Pagado (contado)",IF($L144&lt;=0,"Pagado",IF($K144&gt;0,"Abono parcial","Pendiente"))))</f>
      </c>
      <c r="N144" s="19">
        <f>IF(OR($B144="",$H144&lt;&gt;"Sí",$L144&lt;=0),"",IF(TODAY()&gt;$J144,"🔴 VENCIDO hace "&amp;(TODAY()-$J144)&amp;" día(s)",IF($J144-TODAY()&lt;='Config'!$B$15,"🟠 Faltan "&amp;($J144-TODAY())&amp;" día(s) para pagar","🟢 Al día (paga el "&amp;TEXT($J144,"dd/mm")&amp;")")))</f>
      </c>
      <c r="O144" s="23"/>
      <c r="P144" s="17">
        <f>IF(OR($B144="",$O144=""),"",$O144-$A144)</f>
      </c>
    </row>
    <row r="145">
      <c r="A145" s="23"/>
      <c r="B145" s="20"/>
      <c r="C145" s="19">
        <f>IF($B145="","",IFERROR(VLOOKUP($B145,'Catálogo'!$A:$B,2,FALSE),"⚠ Código no existe"))</f>
      </c>
      <c r="D145" s="21"/>
      <c r="E145" s="22"/>
      <c r="F145" s="16">
        <f>IF($B145="","",$D145*$E145)</f>
      </c>
      <c r="G145" s="20"/>
      <c r="H145" s="20"/>
      <c r="I145" s="14">
        <f>IF(OR($B145="",$H145&lt;&gt;"Sí"),"",IF(DAY($A145)&lt;='Config'!$B$13,DATE(YEAR($A145),MONTH($A145),'Config'!$B$13),EOMONTH($A145,0)+'Config'!$B$13))</f>
      </c>
      <c r="J145" s="14">
        <f>IF($I145="","",DATE(YEAR(EOMONTH($I145,0)+1),MONTH(EOMONTH($I145,0)+1),'Config'!$B$14))</f>
      </c>
      <c r="K145" s="22"/>
      <c r="L145" s="16">
        <f>IF($B145="","",MAX($F145-$K145,0))</f>
      </c>
      <c r="M145" s="19">
        <f>IF($B145="","",IF($H145&lt;&gt;"Sí","Pagado (contado)",IF($L145&lt;=0,"Pagado",IF($K145&gt;0,"Abono parcial","Pendiente"))))</f>
      </c>
      <c r="N145" s="19">
        <f>IF(OR($B145="",$H145&lt;&gt;"Sí",$L145&lt;=0),"",IF(TODAY()&gt;$J145,"🔴 VENCIDO hace "&amp;(TODAY()-$J145)&amp;" día(s)",IF($J145-TODAY()&lt;='Config'!$B$15,"🟠 Faltan "&amp;($J145-TODAY())&amp;" día(s) para pagar","🟢 Al día (paga el "&amp;TEXT($J145,"dd/mm")&amp;")")))</f>
      </c>
      <c r="O145" s="23"/>
      <c r="P145" s="17">
        <f>IF(OR($B145="",$O145=""),"",$O145-$A145)</f>
      </c>
    </row>
    <row r="146">
      <c r="A146" s="23"/>
      <c r="B146" s="20"/>
      <c r="C146" s="19">
        <f>IF($B146="","",IFERROR(VLOOKUP($B146,'Catálogo'!$A:$B,2,FALSE),"⚠ Código no existe"))</f>
      </c>
      <c r="D146" s="21"/>
      <c r="E146" s="22"/>
      <c r="F146" s="16">
        <f>IF($B146="","",$D146*$E146)</f>
      </c>
      <c r="G146" s="20"/>
      <c r="H146" s="20"/>
      <c r="I146" s="14">
        <f>IF(OR($B146="",$H146&lt;&gt;"Sí"),"",IF(DAY($A146)&lt;='Config'!$B$13,DATE(YEAR($A146),MONTH($A146),'Config'!$B$13),EOMONTH($A146,0)+'Config'!$B$13))</f>
      </c>
      <c r="J146" s="14">
        <f>IF($I146="","",DATE(YEAR(EOMONTH($I146,0)+1),MONTH(EOMONTH($I146,0)+1),'Config'!$B$14))</f>
      </c>
      <c r="K146" s="22"/>
      <c r="L146" s="16">
        <f>IF($B146="","",MAX($F146-$K146,0))</f>
      </c>
      <c r="M146" s="19">
        <f>IF($B146="","",IF($H146&lt;&gt;"Sí","Pagado (contado)",IF($L146&lt;=0,"Pagado",IF($K146&gt;0,"Abono parcial","Pendiente"))))</f>
      </c>
      <c r="N146" s="19">
        <f>IF(OR($B146="",$H146&lt;&gt;"Sí",$L146&lt;=0),"",IF(TODAY()&gt;$J146,"🔴 VENCIDO hace "&amp;(TODAY()-$J146)&amp;" día(s)",IF($J146-TODAY()&lt;='Config'!$B$15,"🟠 Faltan "&amp;($J146-TODAY())&amp;" día(s) para pagar","🟢 Al día (paga el "&amp;TEXT($J146,"dd/mm")&amp;")")))</f>
      </c>
      <c r="O146" s="23"/>
      <c r="P146" s="17">
        <f>IF(OR($B146="",$O146=""),"",$O146-$A146)</f>
      </c>
    </row>
    <row r="147">
      <c r="A147" s="23"/>
      <c r="B147" s="20"/>
      <c r="C147" s="19">
        <f>IF($B147="","",IFERROR(VLOOKUP($B147,'Catálogo'!$A:$B,2,FALSE),"⚠ Código no existe"))</f>
      </c>
      <c r="D147" s="21"/>
      <c r="E147" s="22"/>
      <c r="F147" s="16">
        <f>IF($B147="","",$D147*$E147)</f>
      </c>
      <c r="G147" s="20"/>
      <c r="H147" s="20"/>
      <c r="I147" s="14">
        <f>IF(OR($B147="",$H147&lt;&gt;"Sí"),"",IF(DAY($A147)&lt;='Config'!$B$13,DATE(YEAR($A147),MONTH($A147),'Config'!$B$13),EOMONTH($A147,0)+'Config'!$B$13))</f>
      </c>
      <c r="J147" s="14">
        <f>IF($I147="","",DATE(YEAR(EOMONTH($I147,0)+1),MONTH(EOMONTH($I147,0)+1),'Config'!$B$14))</f>
      </c>
      <c r="K147" s="22"/>
      <c r="L147" s="16">
        <f>IF($B147="","",MAX($F147-$K147,0))</f>
      </c>
      <c r="M147" s="19">
        <f>IF($B147="","",IF($H147&lt;&gt;"Sí","Pagado (contado)",IF($L147&lt;=0,"Pagado",IF($K147&gt;0,"Abono parcial","Pendiente"))))</f>
      </c>
      <c r="N147" s="19">
        <f>IF(OR($B147="",$H147&lt;&gt;"Sí",$L147&lt;=0),"",IF(TODAY()&gt;$J147,"🔴 VENCIDO hace "&amp;(TODAY()-$J147)&amp;" día(s)",IF($J147-TODAY()&lt;='Config'!$B$15,"🟠 Faltan "&amp;($J147-TODAY())&amp;" día(s) para pagar","🟢 Al día (paga el "&amp;TEXT($J147,"dd/mm")&amp;")")))</f>
      </c>
      <c r="O147" s="23"/>
      <c r="P147" s="17">
        <f>IF(OR($B147="",$O147=""),"",$O147-$A147)</f>
      </c>
    </row>
    <row r="148">
      <c r="A148" s="23"/>
      <c r="B148" s="20"/>
      <c r="C148" s="19">
        <f>IF($B148="","",IFERROR(VLOOKUP($B148,'Catálogo'!$A:$B,2,FALSE),"⚠ Código no existe"))</f>
      </c>
      <c r="D148" s="21"/>
      <c r="E148" s="22"/>
      <c r="F148" s="16">
        <f>IF($B148="","",$D148*$E148)</f>
      </c>
      <c r="G148" s="20"/>
      <c r="H148" s="20"/>
      <c r="I148" s="14">
        <f>IF(OR($B148="",$H148&lt;&gt;"Sí"),"",IF(DAY($A148)&lt;='Config'!$B$13,DATE(YEAR($A148),MONTH($A148),'Config'!$B$13),EOMONTH($A148,0)+'Config'!$B$13))</f>
      </c>
      <c r="J148" s="14">
        <f>IF($I148="","",DATE(YEAR(EOMONTH($I148,0)+1),MONTH(EOMONTH($I148,0)+1),'Config'!$B$14))</f>
      </c>
      <c r="K148" s="22"/>
      <c r="L148" s="16">
        <f>IF($B148="","",MAX($F148-$K148,0))</f>
      </c>
      <c r="M148" s="19">
        <f>IF($B148="","",IF($H148&lt;&gt;"Sí","Pagado (contado)",IF($L148&lt;=0,"Pagado",IF($K148&gt;0,"Abono parcial","Pendiente"))))</f>
      </c>
      <c r="N148" s="19">
        <f>IF(OR($B148="",$H148&lt;&gt;"Sí",$L148&lt;=0),"",IF(TODAY()&gt;$J148,"🔴 VENCIDO hace "&amp;(TODAY()-$J148)&amp;" día(s)",IF($J148-TODAY()&lt;='Config'!$B$15,"🟠 Faltan "&amp;($J148-TODAY())&amp;" día(s) para pagar","🟢 Al día (paga el "&amp;TEXT($J148,"dd/mm")&amp;")")))</f>
      </c>
      <c r="O148" s="23"/>
      <c r="P148" s="17">
        <f>IF(OR($B148="",$O148=""),"",$O148-$A148)</f>
      </c>
    </row>
    <row r="149">
      <c r="A149" s="23"/>
      <c r="B149" s="20"/>
      <c r="C149" s="19">
        <f>IF($B149="","",IFERROR(VLOOKUP($B149,'Catálogo'!$A:$B,2,FALSE),"⚠ Código no existe"))</f>
      </c>
      <c r="D149" s="21"/>
      <c r="E149" s="22"/>
      <c r="F149" s="16">
        <f>IF($B149="","",$D149*$E149)</f>
      </c>
      <c r="G149" s="20"/>
      <c r="H149" s="20"/>
      <c r="I149" s="14">
        <f>IF(OR($B149="",$H149&lt;&gt;"Sí"),"",IF(DAY($A149)&lt;='Config'!$B$13,DATE(YEAR($A149),MONTH($A149),'Config'!$B$13),EOMONTH($A149,0)+'Config'!$B$13))</f>
      </c>
      <c r="J149" s="14">
        <f>IF($I149="","",DATE(YEAR(EOMONTH($I149,0)+1),MONTH(EOMONTH($I149,0)+1),'Config'!$B$14))</f>
      </c>
      <c r="K149" s="22"/>
      <c r="L149" s="16">
        <f>IF($B149="","",MAX($F149-$K149,0))</f>
      </c>
      <c r="M149" s="19">
        <f>IF($B149="","",IF($H149&lt;&gt;"Sí","Pagado (contado)",IF($L149&lt;=0,"Pagado",IF($K149&gt;0,"Abono parcial","Pendiente"))))</f>
      </c>
      <c r="N149" s="19">
        <f>IF(OR($B149="",$H149&lt;&gt;"Sí",$L149&lt;=0),"",IF(TODAY()&gt;$J149,"🔴 VENCIDO hace "&amp;(TODAY()-$J149)&amp;" día(s)",IF($J149-TODAY()&lt;='Config'!$B$15,"🟠 Faltan "&amp;($J149-TODAY())&amp;" día(s) para pagar","🟢 Al día (paga el "&amp;TEXT($J149,"dd/mm")&amp;")")))</f>
      </c>
      <c r="O149" s="23"/>
      <c r="P149" s="17">
        <f>IF(OR($B149="",$O149=""),"",$O149-$A149)</f>
      </c>
    </row>
    <row r="150">
      <c r="A150" s="23"/>
      <c r="B150" s="20"/>
      <c r="C150" s="19">
        <f>IF($B150="","",IFERROR(VLOOKUP($B150,'Catálogo'!$A:$B,2,FALSE),"⚠ Código no existe"))</f>
      </c>
      <c r="D150" s="21"/>
      <c r="E150" s="22"/>
      <c r="F150" s="16">
        <f>IF($B150="","",$D150*$E150)</f>
      </c>
      <c r="G150" s="20"/>
      <c r="H150" s="20"/>
      <c r="I150" s="14">
        <f>IF(OR($B150="",$H150&lt;&gt;"Sí"),"",IF(DAY($A150)&lt;='Config'!$B$13,DATE(YEAR($A150),MONTH($A150),'Config'!$B$13),EOMONTH($A150,0)+'Config'!$B$13))</f>
      </c>
      <c r="J150" s="14">
        <f>IF($I150="","",DATE(YEAR(EOMONTH($I150,0)+1),MONTH(EOMONTH($I150,0)+1),'Config'!$B$14))</f>
      </c>
      <c r="K150" s="22"/>
      <c r="L150" s="16">
        <f>IF($B150="","",MAX($F150-$K150,0))</f>
      </c>
      <c r="M150" s="19">
        <f>IF($B150="","",IF($H150&lt;&gt;"Sí","Pagado (contado)",IF($L150&lt;=0,"Pagado",IF($K150&gt;0,"Abono parcial","Pendiente"))))</f>
      </c>
      <c r="N150" s="19">
        <f>IF(OR($B150="",$H150&lt;&gt;"Sí",$L150&lt;=0),"",IF(TODAY()&gt;$J150,"🔴 VENCIDO hace "&amp;(TODAY()-$J150)&amp;" día(s)",IF($J150-TODAY()&lt;='Config'!$B$15,"🟠 Faltan "&amp;($J150-TODAY())&amp;" día(s) para pagar","🟢 Al día (paga el "&amp;TEXT($J150,"dd/mm")&amp;")")))</f>
      </c>
      <c r="O150" s="23"/>
      <c r="P150" s="17">
        <f>IF(OR($B150="",$O150=""),"",$O150-$A150)</f>
      </c>
    </row>
    <row r="151">
      <c r="A151" s="23"/>
      <c r="B151" s="20"/>
      <c r="C151" s="19">
        <f>IF($B151="","",IFERROR(VLOOKUP($B151,'Catálogo'!$A:$B,2,FALSE),"⚠ Código no existe"))</f>
      </c>
      <c r="D151" s="21"/>
      <c r="E151" s="22"/>
      <c r="F151" s="16">
        <f>IF($B151="","",$D151*$E151)</f>
      </c>
      <c r="G151" s="20"/>
      <c r="H151" s="20"/>
      <c r="I151" s="14">
        <f>IF(OR($B151="",$H151&lt;&gt;"Sí"),"",IF(DAY($A151)&lt;='Config'!$B$13,DATE(YEAR($A151),MONTH($A151),'Config'!$B$13),EOMONTH($A151,0)+'Config'!$B$13))</f>
      </c>
      <c r="J151" s="14">
        <f>IF($I151="","",DATE(YEAR(EOMONTH($I151,0)+1),MONTH(EOMONTH($I151,0)+1),'Config'!$B$14))</f>
      </c>
      <c r="K151" s="22"/>
      <c r="L151" s="16">
        <f>IF($B151="","",MAX($F151-$K151,0))</f>
      </c>
      <c r="M151" s="19">
        <f>IF($B151="","",IF($H151&lt;&gt;"Sí","Pagado (contado)",IF($L151&lt;=0,"Pagado",IF($K151&gt;0,"Abono parcial","Pendiente"))))</f>
      </c>
      <c r="N151" s="19">
        <f>IF(OR($B151="",$H151&lt;&gt;"Sí",$L151&lt;=0),"",IF(TODAY()&gt;$J151,"🔴 VENCIDO hace "&amp;(TODAY()-$J151)&amp;" día(s)",IF($J151-TODAY()&lt;='Config'!$B$15,"🟠 Faltan "&amp;($J151-TODAY())&amp;" día(s) para pagar","🟢 Al día (paga el "&amp;TEXT($J151,"dd/mm")&amp;")")))</f>
      </c>
      <c r="O151" s="23"/>
      <c r="P151" s="17">
        <f>IF(OR($B151="",$O151=""),"",$O151-$A151)</f>
      </c>
    </row>
    <row r="152">
      <c r="A152" s="23"/>
      <c r="B152" s="20"/>
      <c r="C152" s="19">
        <f>IF($B152="","",IFERROR(VLOOKUP($B152,'Catálogo'!$A:$B,2,FALSE),"⚠ Código no existe"))</f>
      </c>
      <c r="D152" s="21"/>
      <c r="E152" s="22"/>
      <c r="F152" s="16">
        <f>IF($B152="","",$D152*$E152)</f>
      </c>
      <c r="G152" s="20"/>
      <c r="H152" s="20"/>
      <c r="I152" s="14">
        <f>IF(OR($B152="",$H152&lt;&gt;"Sí"),"",IF(DAY($A152)&lt;='Config'!$B$13,DATE(YEAR($A152),MONTH($A152),'Config'!$B$13),EOMONTH($A152,0)+'Config'!$B$13))</f>
      </c>
      <c r="J152" s="14">
        <f>IF($I152="","",DATE(YEAR(EOMONTH($I152,0)+1),MONTH(EOMONTH($I152,0)+1),'Config'!$B$14))</f>
      </c>
      <c r="K152" s="22"/>
      <c r="L152" s="16">
        <f>IF($B152="","",MAX($F152-$K152,0))</f>
      </c>
      <c r="M152" s="19">
        <f>IF($B152="","",IF($H152&lt;&gt;"Sí","Pagado (contado)",IF($L152&lt;=0,"Pagado",IF($K152&gt;0,"Abono parcial","Pendiente"))))</f>
      </c>
      <c r="N152" s="19">
        <f>IF(OR($B152="",$H152&lt;&gt;"Sí",$L152&lt;=0),"",IF(TODAY()&gt;$J152,"🔴 VENCIDO hace "&amp;(TODAY()-$J152)&amp;" día(s)",IF($J152-TODAY()&lt;='Config'!$B$15,"🟠 Faltan "&amp;($J152-TODAY())&amp;" día(s) para pagar","🟢 Al día (paga el "&amp;TEXT($J152,"dd/mm")&amp;")")))</f>
      </c>
      <c r="O152" s="23"/>
      <c r="P152" s="17">
        <f>IF(OR($B152="",$O152=""),"",$O152-$A152)</f>
      </c>
    </row>
    <row r="153">
      <c r="A153" s="23"/>
      <c r="B153" s="20"/>
      <c r="C153" s="19">
        <f>IF($B153="","",IFERROR(VLOOKUP($B153,'Catálogo'!$A:$B,2,FALSE),"⚠ Código no existe"))</f>
      </c>
      <c r="D153" s="21"/>
      <c r="E153" s="22"/>
      <c r="F153" s="16">
        <f>IF($B153="","",$D153*$E153)</f>
      </c>
      <c r="G153" s="20"/>
      <c r="H153" s="20"/>
      <c r="I153" s="14">
        <f>IF(OR($B153="",$H153&lt;&gt;"Sí"),"",IF(DAY($A153)&lt;='Config'!$B$13,DATE(YEAR($A153),MONTH($A153),'Config'!$B$13),EOMONTH($A153,0)+'Config'!$B$13))</f>
      </c>
      <c r="J153" s="14">
        <f>IF($I153="","",DATE(YEAR(EOMONTH($I153,0)+1),MONTH(EOMONTH($I153,0)+1),'Config'!$B$14))</f>
      </c>
      <c r="K153" s="22"/>
      <c r="L153" s="16">
        <f>IF($B153="","",MAX($F153-$K153,0))</f>
      </c>
      <c r="M153" s="19">
        <f>IF($B153="","",IF($H153&lt;&gt;"Sí","Pagado (contado)",IF($L153&lt;=0,"Pagado",IF($K153&gt;0,"Abono parcial","Pendiente"))))</f>
      </c>
      <c r="N153" s="19">
        <f>IF(OR($B153="",$H153&lt;&gt;"Sí",$L153&lt;=0),"",IF(TODAY()&gt;$J153,"🔴 VENCIDO hace "&amp;(TODAY()-$J153)&amp;" día(s)",IF($J153-TODAY()&lt;='Config'!$B$15,"🟠 Faltan "&amp;($J153-TODAY())&amp;" día(s) para pagar","🟢 Al día (paga el "&amp;TEXT($J153,"dd/mm")&amp;")")))</f>
      </c>
      <c r="O153" s="23"/>
      <c r="P153" s="17">
        <f>IF(OR($B153="",$O153=""),"",$O153-$A153)</f>
      </c>
    </row>
    <row r="154">
      <c r="A154" s="23"/>
      <c r="B154" s="20"/>
      <c r="C154" s="19">
        <f>IF($B154="","",IFERROR(VLOOKUP($B154,'Catálogo'!$A:$B,2,FALSE),"⚠ Código no existe"))</f>
      </c>
      <c r="D154" s="21"/>
      <c r="E154" s="22"/>
      <c r="F154" s="16">
        <f>IF($B154="","",$D154*$E154)</f>
      </c>
      <c r="G154" s="20"/>
      <c r="H154" s="20"/>
      <c r="I154" s="14">
        <f>IF(OR($B154="",$H154&lt;&gt;"Sí"),"",IF(DAY($A154)&lt;='Config'!$B$13,DATE(YEAR($A154),MONTH($A154),'Config'!$B$13),EOMONTH($A154,0)+'Config'!$B$13))</f>
      </c>
      <c r="J154" s="14">
        <f>IF($I154="","",DATE(YEAR(EOMONTH($I154,0)+1),MONTH(EOMONTH($I154,0)+1),'Config'!$B$14))</f>
      </c>
      <c r="K154" s="22"/>
      <c r="L154" s="16">
        <f>IF($B154="","",MAX($F154-$K154,0))</f>
      </c>
      <c r="M154" s="19">
        <f>IF($B154="","",IF($H154&lt;&gt;"Sí","Pagado (contado)",IF($L154&lt;=0,"Pagado",IF($K154&gt;0,"Abono parcial","Pendiente"))))</f>
      </c>
      <c r="N154" s="19">
        <f>IF(OR($B154="",$H154&lt;&gt;"Sí",$L154&lt;=0),"",IF(TODAY()&gt;$J154,"🔴 VENCIDO hace "&amp;(TODAY()-$J154)&amp;" día(s)",IF($J154-TODAY()&lt;='Config'!$B$15,"🟠 Faltan "&amp;($J154-TODAY())&amp;" día(s) para pagar","🟢 Al día (paga el "&amp;TEXT($J154,"dd/mm")&amp;")")))</f>
      </c>
      <c r="O154" s="23"/>
      <c r="P154" s="17">
        <f>IF(OR($B154="",$O154=""),"",$O154-$A154)</f>
      </c>
    </row>
    <row r="155">
      <c r="A155" s="23"/>
      <c r="B155" s="20"/>
      <c r="C155" s="19">
        <f>IF($B155="","",IFERROR(VLOOKUP($B155,'Catálogo'!$A:$B,2,FALSE),"⚠ Código no existe"))</f>
      </c>
      <c r="D155" s="21"/>
      <c r="E155" s="22"/>
      <c r="F155" s="16">
        <f>IF($B155="","",$D155*$E155)</f>
      </c>
      <c r="G155" s="20"/>
      <c r="H155" s="20"/>
      <c r="I155" s="14">
        <f>IF(OR($B155="",$H155&lt;&gt;"Sí"),"",IF(DAY($A155)&lt;='Config'!$B$13,DATE(YEAR($A155),MONTH($A155),'Config'!$B$13),EOMONTH($A155,0)+'Config'!$B$13))</f>
      </c>
      <c r="J155" s="14">
        <f>IF($I155="","",DATE(YEAR(EOMONTH($I155,0)+1),MONTH(EOMONTH($I155,0)+1),'Config'!$B$14))</f>
      </c>
      <c r="K155" s="22"/>
      <c r="L155" s="16">
        <f>IF($B155="","",MAX($F155-$K155,0))</f>
      </c>
      <c r="M155" s="19">
        <f>IF($B155="","",IF($H155&lt;&gt;"Sí","Pagado (contado)",IF($L155&lt;=0,"Pagado",IF($K155&gt;0,"Abono parcial","Pendiente"))))</f>
      </c>
      <c r="N155" s="19">
        <f>IF(OR($B155="",$H155&lt;&gt;"Sí",$L155&lt;=0),"",IF(TODAY()&gt;$J155,"🔴 VENCIDO hace "&amp;(TODAY()-$J155)&amp;" día(s)",IF($J155-TODAY()&lt;='Config'!$B$15,"🟠 Faltan "&amp;($J155-TODAY())&amp;" día(s) para pagar","🟢 Al día (paga el "&amp;TEXT($J155,"dd/mm")&amp;")")))</f>
      </c>
      <c r="O155" s="23"/>
      <c r="P155" s="17">
        <f>IF(OR($B155="",$O155=""),"",$O155-$A155)</f>
      </c>
    </row>
    <row r="156">
      <c r="A156" s="23"/>
      <c r="B156" s="20"/>
      <c r="C156" s="19">
        <f>IF($B156="","",IFERROR(VLOOKUP($B156,'Catálogo'!$A:$B,2,FALSE),"⚠ Código no existe"))</f>
      </c>
      <c r="D156" s="21"/>
      <c r="E156" s="22"/>
      <c r="F156" s="16">
        <f>IF($B156="","",$D156*$E156)</f>
      </c>
      <c r="G156" s="20"/>
      <c r="H156" s="20"/>
      <c r="I156" s="14">
        <f>IF(OR($B156="",$H156&lt;&gt;"Sí"),"",IF(DAY($A156)&lt;='Config'!$B$13,DATE(YEAR($A156),MONTH($A156),'Config'!$B$13),EOMONTH($A156,0)+'Config'!$B$13))</f>
      </c>
      <c r="J156" s="14">
        <f>IF($I156="","",DATE(YEAR(EOMONTH($I156,0)+1),MONTH(EOMONTH($I156,0)+1),'Config'!$B$14))</f>
      </c>
      <c r="K156" s="22"/>
      <c r="L156" s="16">
        <f>IF($B156="","",MAX($F156-$K156,0))</f>
      </c>
      <c r="M156" s="19">
        <f>IF($B156="","",IF($H156&lt;&gt;"Sí","Pagado (contado)",IF($L156&lt;=0,"Pagado",IF($K156&gt;0,"Abono parcial","Pendiente"))))</f>
      </c>
      <c r="N156" s="19">
        <f>IF(OR($B156="",$H156&lt;&gt;"Sí",$L156&lt;=0),"",IF(TODAY()&gt;$J156,"🔴 VENCIDO hace "&amp;(TODAY()-$J156)&amp;" día(s)",IF($J156-TODAY()&lt;='Config'!$B$15,"🟠 Faltan "&amp;($J156-TODAY())&amp;" día(s) para pagar","🟢 Al día (paga el "&amp;TEXT($J156,"dd/mm")&amp;")")))</f>
      </c>
      <c r="O156" s="23"/>
      <c r="P156" s="17">
        <f>IF(OR($B156="",$O156=""),"",$O156-$A156)</f>
      </c>
    </row>
    <row r="157">
      <c r="A157" s="23"/>
      <c r="B157" s="20"/>
      <c r="C157" s="19">
        <f>IF($B157="","",IFERROR(VLOOKUP($B157,'Catálogo'!$A:$B,2,FALSE),"⚠ Código no existe"))</f>
      </c>
      <c r="D157" s="21"/>
      <c r="E157" s="22"/>
      <c r="F157" s="16">
        <f>IF($B157="","",$D157*$E157)</f>
      </c>
      <c r="G157" s="20"/>
      <c r="H157" s="20"/>
      <c r="I157" s="14">
        <f>IF(OR($B157="",$H157&lt;&gt;"Sí"),"",IF(DAY($A157)&lt;='Config'!$B$13,DATE(YEAR($A157),MONTH($A157),'Config'!$B$13),EOMONTH($A157,0)+'Config'!$B$13))</f>
      </c>
      <c r="J157" s="14">
        <f>IF($I157="","",DATE(YEAR(EOMONTH($I157,0)+1),MONTH(EOMONTH($I157,0)+1),'Config'!$B$14))</f>
      </c>
      <c r="K157" s="22"/>
      <c r="L157" s="16">
        <f>IF($B157="","",MAX($F157-$K157,0))</f>
      </c>
      <c r="M157" s="19">
        <f>IF($B157="","",IF($H157&lt;&gt;"Sí","Pagado (contado)",IF($L157&lt;=0,"Pagado",IF($K157&gt;0,"Abono parcial","Pendiente"))))</f>
      </c>
      <c r="N157" s="19">
        <f>IF(OR($B157="",$H157&lt;&gt;"Sí",$L157&lt;=0),"",IF(TODAY()&gt;$J157,"🔴 VENCIDO hace "&amp;(TODAY()-$J157)&amp;" día(s)",IF($J157-TODAY()&lt;='Config'!$B$15,"🟠 Faltan "&amp;($J157-TODAY())&amp;" día(s) para pagar","🟢 Al día (paga el "&amp;TEXT($J157,"dd/mm")&amp;")")))</f>
      </c>
      <c r="O157" s="23"/>
      <c r="P157" s="17">
        <f>IF(OR($B157="",$O157=""),"",$O157-$A157)</f>
      </c>
    </row>
    <row r="158">
      <c r="A158" s="23"/>
      <c r="B158" s="20"/>
      <c r="C158" s="19">
        <f>IF($B158="","",IFERROR(VLOOKUP($B158,'Catálogo'!$A:$B,2,FALSE),"⚠ Código no existe"))</f>
      </c>
      <c r="D158" s="21"/>
      <c r="E158" s="22"/>
      <c r="F158" s="16">
        <f>IF($B158="","",$D158*$E158)</f>
      </c>
      <c r="G158" s="20"/>
      <c r="H158" s="20"/>
      <c r="I158" s="14">
        <f>IF(OR($B158="",$H158&lt;&gt;"Sí"),"",IF(DAY($A158)&lt;='Config'!$B$13,DATE(YEAR($A158),MONTH($A158),'Config'!$B$13),EOMONTH($A158,0)+'Config'!$B$13))</f>
      </c>
      <c r="J158" s="14">
        <f>IF($I158="","",DATE(YEAR(EOMONTH($I158,0)+1),MONTH(EOMONTH($I158,0)+1),'Config'!$B$14))</f>
      </c>
      <c r="K158" s="22"/>
      <c r="L158" s="16">
        <f>IF($B158="","",MAX($F158-$K158,0))</f>
      </c>
      <c r="M158" s="19">
        <f>IF($B158="","",IF($H158&lt;&gt;"Sí","Pagado (contado)",IF($L158&lt;=0,"Pagado",IF($K158&gt;0,"Abono parcial","Pendiente"))))</f>
      </c>
      <c r="N158" s="19">
        <f>IF(OR($B158="",$H158&lt;&gt;"Sí",$L158&lt;=0),"",IF(TODAY()&gt;$J158,"🔴 VENCIDO hace "&amp;(TODAY()-$J158)&amp;" día(s)",IF($J158-TODAY()&lt;='Config'!$B$15,"🟠 Faltan "&amp;($J158-TODAY())&amp;" día(s) para pagar","🟢 Al día (paga el "&amp;TEXT($J158,"dd/mm")&amp;")")))</f>
      </c>
      <c r="O158" s="23"/>
      <c r="P158" s="17">
        <f>IF(OR($B158="",$O158=""),"",$O158-$A158)</f>
      </c>
    </row>
    <row r="159">
      <c r="A159" s="23"/>
      <c r="B159" s="20"/>
      <c r="C159" s="19">
        <f>IF($B159="","",IFERROR(VLOOKUP($B159,'Catálogo'!$A:$B,2,FALSE),"⚠ Código no existe"))</f>
      </c>
      <c r="D159" s="21"/>
      <c r="E159" s="22"/>
      <c r="F159" s="16">
        <f>IF($B159="","",$D159*$E159)</f>
      </c>
      <c r="G159" s="20"/>
      <c r="H159" s="20"/>
      <c r="I159" s="14">
        <f>IF(OR($B159="",$H159&lt;&gt;"Sí"),"",IF(DAY($A159)&lt;='Config'!$B$13,DATE(YEAR($A159),MONTH($A159),'Config'!$B$13),EOMONTH($A159,0)+'Config'!$B$13))</f>
      </c>
      <c r="J159" s="14">
        <f>IF($I159="","",DATE(YEAR(EOMONTH($I159,0)+1),MONTH(EOMONTH($I159,0)+1),'Config'!$B$14))</f>
      </c>
      <c r="K159" s="22"/>
      <c r="L159" s="16">
        <f>IF($B159="","",MAX($F159-$K159,0))</f>
      </c>
      <c r="M159" s="19">
        <f>IF($B159="","",IF($H159&lt;&gt;"Sí","Pagado (contado)",IF($L159&lt;=0,"Pagado",IF($K159&gt;0,"Abono parcial","Pendiente"))))</f>
      </c>
      <c r="N159" s="19">
        <f>IF(OR($B159="",$H159&lt;&gt;"Sí",$L159&lt;=0),"",IF(TODAY()&gt;$J159,"🔴 VENCIDO hace "&amp;(TODAY()-$J159)&amp;" día(s)",IF($J159-TODAY()&lt;='Config'!$B$15,"🟠 Faltan "&amp;($J159-TODAY())&amp;" día(s) para pagar","🟢 Al día (paga el "&amp;TEXT($J159,"dd/mm")&amp;")")))</f>
      </c>
      <c r="O159" s="23"/>
      <c r="P159" s="17">
        <f>IF(OR($B159="",$O159=""),"",$O159-$A159)</f>
      </c>
    </row>
    <row r="160">
      <c r="A160" s="23"/>
      <c r="B160" s="20"/>
      <c r="C160" s="19">
        <f>IF($B160="","",IFERROR(VLOOKUP($B160,'Catálogo'!$A:$B,2,FALSE),"⚠ Código no existe"))</f>
      </c>
      <c r="D160" s="21"/>
      <c r="E160" s="22"/>
      <c r="F160" s="16">
        <f>IF($B160="","",$D160*$E160)</f>
      </c>
      <c r="G160" s="20"/>
      <c r="H160" s="20"/>
      <c r="I160" s="14">
        <f>IF(OR($B160="",$H160&lt;&gt;"Sí"),"",IF(DAY($A160)&lt;='Config'!$B$13,DATE(YEAR($A160),MONTH($A160),'Config'!$B$13),EOMONTH($A160,0)+'Config'!$B$13))</f>
      </c>
      <c r="J160" s="14">
        <f>IF($I160="","",DATE(YEAR(EOMONTH($I160,0)+1),MONTH(EOMONTH($I160,0)+1),'Config'!$B$14))</f>
      </c>
      <c r="K160" s="22"/>
      <c r="L160" s="16">
        <f>IF($B160="","",MAX($F160-$K160,0))</f>
      </c>
      <c r="M160" s="19">
        <f>IF($B160="","",IF($H160&lt;&gt;"Sí","Pagado (contado)",IF($L160&lt;=0,"Pagado",IF($K160&gt;0,"Abono parcial","Pendiente"))))</f>
      </c>
      <c r="N160" s="19">
        <f>IF(OR($B160="",$H160&lt;&gt;"Sí",$L160&lt;=0),"",IF(TODAY()&gt;$J160,"🔴 VENCIDO hace "&amp;(TODAY()-$J160)&amp;" día(s)",IF($J160-TODAY()&lt;='Config'!$B$15,"🟠 Faltan "&amp;($J160-TODAY())&amp;" día(s) para pagar","🟢 Al día (paga el "&amp;TEXT($J160,"dd/mm")&amp;")")))</f>
      </c>
      <c r="O160" s="23"/>
      <c r="P160" s="17">
        <f>IF(OR($B160="",$O160=""),"",$O160-$A160)</f>
      </c>
    </row>
    <row r="161">
      <c r="A161" s="23"/>
      <c r="B161" s="20"/>
      <c r="C161" s="19">
        <f>IF($B161="","",IFERROR(VLOOKUP($B161,'Catálogo'!$A:$B,2,FALSE),"⚠ Código no existe"))</f>
      </c>
      <c r="D161" s="21"/>
      <c r="E161" s="22"/>
      <c r="F161" s="16">
        <f>IF($B161="","",$D161*$E161)</f>
      </c>
      <c r="G161" s="20"/>
      <c r="H161" s="20"/>
      <c r="I161" s="14">
        <f>IF(OR($B161="",$H161&lt;&gt;"Sí"),"",IF(DAY($A161)&lt;='Config'!$B$13,DATE(YEAR($A161),MONTH($A161),'Config'!$B$13),EOMONTH($A161,0)+'Config'!$B$13))</f>
      </c>
      <c r="J161" s="14">
        <f>IF($I161="","",DATE(YEAR(EOMONTH($I161,0)+1),MONTH(EOMONTH($I161,0)+1),'Config'!$B$14))</f>
      </c>
      <c r="K161" s="22"/>
      <c r="L161" s="16">
        <f>IF($B161="","",MAX($F161-$K161,0))</f>
      </c>
      <c r="M161" s="19">
        <f>IF($B161="","",IF($H161&lt;&gt;"Sí","Pagado (contado)",IF($L161&lt;=0,"Pagado",IF($K161&gt;0,"Abono parcial","Pendiente"))))</f>
      </c>
      <c r="N161" s="19">
        <f>IF(OR($B161="",$H161&lt;&gt;"Sí",$L161&lt;=0),"",IF(TODAY()&gt;$J161,"🔴 VENCIDO hace "&amp;(TODAY()-$J161)&amp;" día(s)",IF($J161-TODAY()&lt;='Config'!$B$15,"🟠 Faltan "&amp;($J161-TODAY())&amp;" día(s) para pagar","🟢 Al día (paga el "&amp;TEXT($J161,"dd/mm")&amp;")")))</f>
      </c>
      <c r="O161" s="23"/>
      <c r="P161" s="17">
        <f>IF(OR($B161="",$O161=""),"",$O161-$A161)</f>
      </c>
    </row>
    <row r="162">
      <c r="A162" s="23"/>
      <c r="B162" s="20"/>
      <c r="C162" s="19">
        <f>IF($B162="","",IFERROR(VLOOKUP($B162,'Catálogo'!$A:$B,2,FALSE),"⚠ Código no existe"))</f>
      </c>
      <c r="D162" s="21"/>
      <c r="E162" s="22"/>
      <c r="F162" s="16">
        <f>IF($B162="","",$D162*$E162)</f>
      </c>
      <c r="G162" s="20"/>
      <c r="H162" s="20"/>
      <c r="I162" s="14">
        <f>IF(OR($B162="",$H162&lt;&gt;"Sí"),"",IF(DAY($A162)&lt;='Config'!$B$13,DATE(YEAR($A162),MONTH($A162),'Config'!$B$13),EOMONTH($A162,0)+'Config'!$B$13))</f>
      </c>
      <c r="J162" s="14">
        <f>IF($I162="","",DATE(YEAR(EOMONTH($I162,0)+1),MONTH(EOMONTH($I162,0)+1),'Config'!$B$14))</f>
      </c>
      <c r="K162" s="22"/>
      <c r="L162" s="16">
        <f>IF($B162="","",MAX($F162-$K162,0))</f>
      </c>
      <c r="M162" s="19">
        <f>IF($B162="","",IF($H162&lt;&gt;"Sí","Pagado (contado)",IF($L162&lt;=0,"Pagado",IF($K162&gt;0,"Abono parcial","Pendiente"))))</f>
      </c>
      <c r="N162" s="19">
        <f>IF(OR($B162="",$H162&lt;&gt;"Sí",$L162&lt;=0),"",IF(TODAY()&gt;$J162,"🔴 VENCIDO hace "&amp;(TODAY()-$J162)&amp;" día(s)",IF($J162-TODAY()&lt;='Config'!$B$15,"🟠 Faltan "&amp;($J162-TODAY())&amp;" día(s) para pagar","🟢 Al día (paga el "&amp;TEXT($J162,"dd/mm")&amp;")")))</f>
      </c>
      <c r="O162" s="23"/>
      <c r="P162" s="17">
        <f>IF(OR($B162="",$O162=""),"",$O162-$A162)</f>
      </c>
    </row>
    <row r="163">
      <c r="A163" s="23"/>
      <c r="B163" s="20"/>
      <c r="C163" s="19">
        <f>IF($B163="","",IFERROR(VLOOKUP($B163,'Catálogo'!$A:$B,2,FALSE),"⚠ Código no existe"))</f>
      </c>
      <c r="D163" s="21"/>
      <c r="E163" s="22"/>
      <c r="F163" s="16">
        <f>IF($B163="","",$D163*$E163)</f>
      </c>
      <c r="G163" s="20"/>
      <c r="H163" s="20"/>
      <c r="I163" s="14">
        <f>IF(OR($B163="",$H163&lt;&gt;"Sí"),"",IF(DAY($A163)&lt;='Config'!$B$13,DATE(YEAR($A163),MONTH($A163),'Config'!$B$13),EOMONTH($A163,0)+'Config'!$B$13))</f>
      </c>
      <c r="J163" s="14">
        <f>IF($I163="","",DATE(YEAR(EOMONTH($I163,0)+1),MONTH(EOMONTH($I163,0)+1),'Config'!$B$14))</f>
      </c>
      <c r="K163" s="22"/>
      <c r="L163" s="16">
        <f>IF($B163="","",MAX($F163-$K163,0))</f>
      </c>
      <c r="M163" s="19">
        <f>IF($B163="","",IF($H163&lt;&gt;"Sí","Pagado (contado)",IF($L163&lt;=0,"Pagado",IF($K163&gt;0,"Abono parcial","Pendiente"))))</f>
      </c>
      <c r="N163" s="19">
        <f>IF(OR($B163="",$H163&lt;&gt;"Sí",$L163&lt;=0),"",IF(TODAY()&gt;$J163,"🔴 VENCIDO hace "&amp;(TODAY()-$J163)&amp;" día(s)",IF($J163-TODAY()&lt;='Config'!$B$15,"🟠 Faltan "&amp;($J163-TODAY())&amp;" día(s) para pagar","🟢 Al día (paga el "&amp;TEXT($J163,"dd/mm")&amp;")")))</f>
      </c>
      <c r="O163" s="23"/>
      <c r="P163" s="17">
        <f>IF(OR($B163="",$O163=""),"",$O163-$A163)</f>
      </c>
    </row>
    <row r="164">
      <c r="A164" s="23"/>
      <c r="B164" s="20"/>
      <c r="C164" s="19">
        <f>IF($B164="","",IFERROR(VLOOKUP($B164,'Catálogo'!$A:$B,2,FALSE),"⚠ Código no existe"))</f>
      </c>
      <c r="D164" s="21"/>
      <c r="E164" s="22"/>
      <c r="F164" s="16">
        <f>IF($B164="","",$D164*$E164)</f>
      </c>
      <c r="G164" s="20"/>
      <c r="H164" s="20"/>
      <c r="I164" s="14">
        <f>IF(OR($B164="",$H164&lt;&gt;"Sí"),"",IF(DAY($A164)&lt;='Config'!$B$13,DATE(YEAR($A164),MONTH($A164),'Config'!$B$13),EOMONTH($A164,0)+'Config'!$B$13))</f>
      </c>
      <c r="J164" s="14">
        <f>IF($I164="","",DATE(YEAR(EOMONTH($I164,0)+1),MONTH(EOMONTH($I164,0)+1),'Config'!$B$14))</f>
      </c>
      <c r="K164" s="22"/>
      <c r="L164" s="16">
        <f>IF($B164="","",MAX($F164-$K164,0))</f>
      </c>
      <c r="M164" s="19">
        <f>IF($B164="","",IF($H164&lt;&gt;"Sí","Pagado (contado)",IF($L164&lt;=0,"Pagado",IF($K164&gt;0,"Abono parcial","Pendiente"))))</f>
      </c>
      <c r="N164" s="19">
        <f>IF(OR($B164="",$H164&lt;&gt;"Sí",$L164&lt;=0),"",IF(TODAY()&gt;$J164,"🔴 VENCIDO hace "&amp;(TODAY()-$J164)&amp;" día(s)",IF($J164-TODAY()&lt;='Config'!$B$15,"🟠 Faltan "&amp;($J164-TODAY())&amp;" día(s) para pagar","🟢 Al día (paga el "&amp;TEXT($J164,"dd/mm")&amp;")")))</f>
      </c>
      <c r="O164" s="23"/>
      <c r="P164" s="17">
        <f>IF(OR($B164="",$O164=""),"",$O164-$A164)</f>
      </c>
    </row>
    <row r="165">
      <c r="A165" s="23"/>
      <c r="B165" s="20"/>
      <c r="C165" s="19">
        <f>IF($B165="","",IFERROR(VLOOKUP($B165,'Catálogo'!$A:$B,2,FALSE),"⚠ Código no existe"))</f>
      </c>
      <c r="D165" s="21"/>
      <c r="E165" s="22"/>
      <c r="F165" s="16">
        <f>IF($B165="","",$D165*$E165)</f>
      </c>
      <c r="G165" s="20"/>
      <c r="H165" s="20"/>
      <c r="I165" s="14">
        <f>IF(OR($B165="",$H165&lt;&gt;"Sí"),"",IF(DAY($A165)&lt;='Config'!$B$13,DATE(YEAR($A165),MONTH($A165),'Config'!$B$13),EOMONTH($A165,0)+'Config'!$B$13))</f>
      </c>
      <c r="J165" s="14">
        <f>IF($I165="","",DATE(YEAR(EOMONTH($I165,0)+1),MONTH(EOMONTH($I165,0)+1),'Config'!$B$14))</f>
      </c>
      <c r="K165" s="22"/>
      <c r="L165" s="16">
        <f>IF($B165="","",MAX($F165-$K165,0))</f>
      </c>
      <c r="M165" s="19">
        <f>IF($B165="","",IF($H165&lt;&gt;"Sí","Pagado (contado)",IF($L165&lt;=0,"Pagado",IF($K165&gt;0,"Abono parcial","Pendiente"))))</f>
      </c>
      <c r="N165" s="19">
        <f>IF(OR($B165="",$H165&lt;&gt;"Sí",$L165&lt;=0),"",IF(TODAY()&gt;$J165,"🔴 VENCIDO hace "&amp;(TODAY()-$J165)&amp;" día(s)",IF($J165-TODAY()&lt;='Config'!$B$15,"🟠 Faltan "&amp;($J165-TODAY())&amp;" día(s) para pagar","🟢 Al día (paga el "&amp;TEXT($J165,"dd/mm")&amp;")")))</f>
      </c>
      <c r="O165" s="23"/>
      <c r="P165" s="17">
        <f>IF(OR($B165="",$O165=""),"",$O165-$A165)</f>
      </c>
    </row>
    <row r="166">
      <c r="A166" s="23"/>
      <c r="B166" s="20"/>
      <c r="C166" s="19">
        <f>IF($B166="","",IFERROR(VLOOKUP($B166,'Catálogo'!$A:$B,2,FALSE),"⚠ Código no existe"))</f>
      </c>
      <c r="D166" s="21"/>
      <c r="E166" s="22"/>
      <c r="F166" s="16">
        <f>IF($B166="","",$D166*$E166)</f>
      </c>
      <c r="G166" s="20"/>
      <c r="H166" s="20"/>
      <c r="I166" s="14">
        <f>IF(OR($B166="",$H166&lt;&gt;"Sí"),"",IF(DAY($A166)&lt;='Config'!$B$13,DATE(YEAR($A166),MONTH($A166),'Config'!$B$13),EOMONTH($A166,0)+'Config'!$B$13))</f>
      </c>
      <c r="J166" s="14">
        <f>IF($I166="","",DATE(YEAR(EOMONTH($I166,0)+1),MONTH(EOMONTH($I166,0)+1),'Config'!$B$14))</f>
      </c>
      <c r="K166" s="22"/>
      <c r="L166" s="16">
        <f>IF($B166="","",MAX($F166-$K166,0))</f>
      </c>
      <c r="M166" s="19">
        <f>IF($B166="","",IF($H166&lt;&gt;"Sí","Pagado (contado)",IF($L166&lt;=0,"Pagado",IF($K166&gt;0,"Abono parcial","Pendiente"))))</f>
      </c>
      <c r="N166" s="19">
        <f>IF(OR($B166="",$H166&lt;&gt;"Sí",$L166&lt;=0),"",IF(TODAY()&gt;$J166,"🔴 VENCIDO hace "&amp;(TODAY()-$J166)&amp;" día(s)",IF($J166-TODAY()&lt;='Config'!$B$15,"🟠 Faltan "&amp;($J166-TODAY())&amp;" día(s) para pagar","🟢 Al día (paga el "&amp;TEXT($J166,"dd/mm")&amp;")")))</f>
      </c>
      <c r="O166" s="23"/>
      <c r="P166" s="17">
        <f>IF(OR($B166="",$O166=""),"",$O166-$A166)</f>
      </c>
    </row>
    <row r="167">
      <c r="A167" s="23"/>
      <c r="B167" s="20"/>
      <c r="C167" s="19">
        <f>IF($B167="","",IFERROR(VLOOKUP($B167,'Catálogo'!$A:$B,2,FALSE),"⚠ Código no existe"))</f>
      </c>
      <c r="D167" s="21"/>
      <c r="E167" s="22"/>
      <c r="F167" s="16">
        <f>IF($B167="","",$D167*$E167)</f>
      </c>
      <c r="G167" s="20"/>
      <c r="H167" s="20"/>
      <c r="I167" s="14">
        <f>IF(OR($B167="",$H167&lt;&gt;"Sí"),"",IF(DAY($A167)&lt;='Config'!$B$13,DATE(YEAR($A167),MONTH($A167),'Config'!$B$13),EOMONTH($A167,0)+'Config'!$B$13))</f>
      </c>
      <c r="J167" s="14">
        <f>IF($I167="","",DATE(YEAR(EOMONTH($I167,0)+1),MONTH(EOMONTH($I167,0)+1),'Config'!$B$14))</f>
      </c>
      <c r="K167" s="22"/>
      <c r="L167" s="16">
        <f>IF($B167="","",MAX($F167-$K167,0))</f>
      </c>
      <c r="M167" s="19">
        <f>IF($B167="","",IF($H167&lt;&gt;"Sí","Pagado (contado)",IF($L167&lt;=0,"Pagado",IF($K167&gt;0,"Abono parcial","Pendiente"))))</f>
      </c>
      <c r="N167" s="19">
        <f>IF(OR($B167="",$H167&lt;&gt;"Sí",$L167&lt;=0),"",IF(TODAY()&gt;$J167,"🔴 VENCIDO hace "&amp;(TODAY()-$J167)&amp;" día(s)",IF($J167-TODAY()&lt;='Config'!$B$15,"🟠 Faltan "&amp;($J167-TODAY())&amp;" día(s) para pagar","🟢 Al día (paga el "&amp;TEXT($J167,"dd/mm")&amp;")")))</f>
      </c>
      <c r="O167" s="23"/>
      <c r="P167" s="17">
        <f>IF(OR($B167="",$O167=""),"",$O167-$A167)</f>
      </c>
    </row>
    <row r="168">
      <c r="A168" s="23"/>
      <c r="B168" s="20"/>
      <c r="C168" s="19">
        <f>IF($B168="","",IFERROR(VLOOKUP($B168,'Catálogo'!$A:$B,2,FALSE),"⚠ Código no existe"))</f>
      </c>
      <c r="D168" s="21"/>
      <c r="E168" s="22"/>
      <c r="F168" s="16">
        <f>IF($B168="","",$D168*$E168)</f>
      </c>
      <c r="G168" s="20"/>
      <c r="H168" s="20"/>
      <c r="I168" s="14">
        <f>IF(OR($B168="",$H168&lt;&gt;"Sí"),"",IF(DAY($A168)&lt;='Config'!$B$13,DATE(YEAR($A168),MONTH($A168),'Config'!$B$13),EOMONTH($A168,0)+'Config'!$B$13))</f>
      </c>
      <c r="J168" s="14">
        <f>IF($I168="","",DATE(YEAR(EOMONTH($I168,0)+1),MONTH(EOMONTH($I168,0)+1),'Config'!$B$14))</f>
      </c>
      <c r="K168" s="22"/>
      <c r="L168" s="16">
        <f>IF($B168="","",MAX($F168-$K168,0))</f>
      </c>
      <c r="M168" s="19">
        <f>IF($B168="","",IF($H168&lt;&gt;"Sí","Pagado (contado)",IF($L168&lt;=0,"Pagado",IF($K168&gt;0,"Abono parcial","Pendiente"))))</f>
      </c>
      <c r="N168" s="19">
        <f>IF(OR($B168="",$H168&lt;&gt;"Sí",$L168&lt;=0),"",IF(TODAY()&gt;$J168,"🔴 VENCIDO hace "&amp;(TODAY()-$J168)&amp;" día(s)",IF($J168-TODAY()&lt;='Config'!$B$15,"🟠 Faltan "&amp;($J168-TODAY())&amp;" día(s) para pagar","🟢 Al día (paga el "&amp;TEXT($J168,"dd/mm")&amp;")")))</f>
      </c>
      <c r="O168" s="23"/>
      <c r="P168" s="17">
        <f>IF(OR($B168="",$O168=""),"",$O168-$A168)</f>
      </c>
    </row>
    <row r="169">
      <c r="A169" s="23"/>
      <c r="B169" s="20"/>
      <c r="C169" s="19">
        <f>IF($B169="","",IFERROR(VLOOKUP($B169,'Catálogo'!$A:$B,2,FALSE),"⚠ Código no existe"))</f>
      </c>
      <c r="D169" s="21"/>
      <c r="E169" s="22"/>
      <c r="F169" s="16">
        <f>IF($B169="","",$D169*$E169)</f>
      </c>
      <c r="G169" s="20"/>
      <c r="H169" s="20"/>
      <c r="I169" s="14">
        <f>IF(OR($B169="",$H169&lt;&gt;"Sí"),"",IF(DAY($A169)&lt;='Config'!$B$13,DATE(YEAR($A169),MONTH($A169),'Config'!$B$13),EOMONTH($A169,0)+'Config'!$B$13))</f>
      </c>
      <c r="J169" s="14">
        <f>IF($I169="","",DATE(YEAR(EOMONTH($I169,0)+1),MONTH(EOMONTH($I169,0)+1),'Config'!$B$14))</f>
      </c>
      <c r="K169" s="22"/>
      <c r="L169" s="16">
        <f>IF($B169="","",MAX($F169-$K169,0))</f>
      </c>
      <c r="M169" s="19">
        <f>IF($B169="","",IF($H169&lt;&gt;"Sí","Pagado (contado)",IF($L169&lt;=0,"Pagado",IF($K169&gt;0,"Abono parcial","Pendiente"))))</f>
      </c>
      <c r="N169" s="19">
        <f>IF(OR($B169="",$H169&lt;&gt;"Sí",$L169&lt;=0),"",IF(TODAY()&gt;$J169,"🔴 VENCIDO hace "&amp;(TODAY()-$J169)&amp;" día(s)",IF($J169-TODAY()&lt;='Config'!$B$15,"🟠 Faltan "&amp;($J169-TODAY())&amp;" día(s) para pagar","🟢 Al día (paga el "&amp;TEXT($J169,"dd/mm")&amp;")")))</f>
      </c>
      <c r="O169" s="23"/>
      <c r="P169" s="17">
        <f>IF(OR($B169="",$O169=""),"",$O169-$A169)</f>
      </c>
    </row>
    <row r="170">
      <c r="A170" s="23"/>
      <c r="B170" s="20"/>
      <c r="C170" s="19">
        <f>IF($B170="","",IFERROR(VLOOKUP($B170,'Catálogo'!$A:$B,2,FALSE),"⚠ Código no existe"))</f>
      </c>
      <c r="D170" s="21"/>
      <c r="E170" s="22"/>
      <c r="F170" s="16">
        <f>IF($B170="","",$D170*$E170)</f>
      </c>
      <c r="G170" s="20"/>
      <c r="H170" s="20"/>
      <c r="I170" s="14">
        <f>IF(OR($B170="",$H170&lt;&gt;"Sí"),"",IF(DAY($A170)&lt;='Config'!$B$13,DATE(YEAR($A170),MONTH($A170),'Config'!$B$13),EOMONTH($A170,0)+'Config'!$B$13))</f>
      </c>
      <c r="J170" s="14">
        <f>IF($I170="","",DATE(YEAR(EOMONTH($I170,0)+1),MONTH(EOMONTH($I170,0)+1),'Config'!$B$14))</f>
      </c>
      <c r="K170" s="22"/>
      <c r="L170" s="16">
        <f>IF($B170="","",MAX($F170-$K170,0))</f>
      </c>
      <c r="M170" s="19">
        <f>IF($B170="","",IF($H170&lt;&gt;"Sí","Pagado (contado)",IF($L170&lt;=0,"Pagado",IF($K170&gt;0,"Abono parcial","Pendiente"))))</f>
      </c>
      <c r="N170" s="19">
        <f>IF(OR($B170="",$H170&lt;&gt;"Sí",$L170&lt;=0),"",IF(TODAY()&gt;$J170,"🔴 VENCIDO hace "&amp;(TODAY()-$J170)&amp;" día(s)",IF($J170-TODAY()&lt;='Config'!$B$15,"🟠 Faltan "&amp;($J170-TODAY())&amp;" día(s) para pagar","🟢 Al día (paga el "&amp;TEXT($J170,"dd/mm")&amp;")")))</f>
      </c>
      <c r="O170" s="23"/>
      <c r="P170" s="17">
        <f>IF(OR($B170="",$O170=""),"",$O170-$A170)</f>
      </c>
    </row>
    <row r="171">
      <c r="A171" s="23"/>
      <c r="B171" s="20"/>
      <c r="C171" s="19">
        <f>IF($B171="","",IFERROR(VLOOKUP($B171,'Catálogo'!$A:$B,2,FALSE),"⚠ Código no existe"))</f>
      </c>
      <c r="D171" s="21"/>
      <c r="E171" s="22"/>
      <c r="F171" s="16">
        <f>IF($B171="","",$D171*$E171)</f>
      </c>
      <c r="G171" s="20"/>
      <c r="H171" s="20"/>
      <c r="I171" s="14">
        <f>IF(OR($B171="",$H171&lt;&gt;"Sí"),"",IF(DAY($A171)&lt;='Config'!$B$13,DATE(YEAR($A171),MONTH($A171),'Config'!$B$13),EOMONTH($A171,0)+'Config'!$B$13))</f>
      </c>
      <c r="J171" s="14">
        <f>IF($I171="","",DATE(YEAR(EOMONTH($I171,0)+1),MONTH(EOMONTH($I171,0)+1),'Config'!$B$14))</f>
      </c>
      <c r="K171" s="22"/>
      <c r="L171" s="16">
        <f>IF($B171="","",MAX($F171-$K171,0))</f>
      </c>
      <c r="M171" s="19">
        <f>IF($B171="","",IF($H171&lt;&gt;"Sí","Pagado (contado)",IF($L171&lt;=0,"Pagado",IF($K171&gt;0,"Abono parcial","Pendiente"))))</f>
      </c>
      <c r="N171" s="19">
        <f>IF(OR($B171="",$H171&lt;&gt;"Sí",$L171&lt;=0),"",IF(TODAY()&gt;$J171,"🔴 VENCIDO hace "&amp;(TODAY()-$J171)&amp;" día(s)",IF($J171-TODAY()&lt;='Config'!$B$15,"🟠 Faltan "&amp;($J171-TODAY())&amp;" día(s) para pagar","🟢 Al día (paga el "&amp;TEXT($J171,"dd/mm")&amp;")")))</f>
      </c>
      <c r="O171" s="23"/>
      <c r="P171" s="17">
        <f>IF(OR($B171="",$O171=""),"",$O171-$A171)</f>
      </c>
    </row>
    <row r="172">
      <c r="A172" s="23"/>
      <c r="B172" s="20"/>
      <c r="C172" s="19">
        <f>IF($B172="","",IFERROR(VLOOKUP($B172,'Catálogo'!$A:$B,2,FALSE),"⚠ Código no existe"))</f>
      </c>
      <c r="D172" s="21"/>
      <c r="E172" s="22"/>
      <c r="F172" s="16">
        <f>IF($B172="","",$D172*$E172)</f>
      </c>
      <c r="G172" s="20"/>
      <c r="H172" s="20"/>
      <c r="I172" s="14">
        <f>IF(OR($B172="",$H172&lt;&gt;"Sí"),"",IF(DAY($A172)&lt;='Config'!$B$13,DATE(YEAR($A172),MONTH($A172),'Config'!$B$13),EOMONTH($A172,0)+'Config'!$B$13))</f>
      </c>
      <c r="J172" s="14">
        <f>IF($I172="","",DATE(YEAR(EOMONTH($I172,0)+1),MONTH(EOMONTH($I172,0)+1),'Config'!$B$14))</f>
      </c>
      <c r="K172" s="22"/>
      <c r="L172" s="16">
        <f>IF($B172="","",MAX($F172-$K172,0))</f>
      </c>
      <c r="M172" s="19">
        <f>IF($B172="","",IF($H172&lt;&gt;"Sí","Pagado (contado)",IF($L172&lt;=0,"Pagado",IF($K172&gt;0,"Abono parcial","Pendiente"))))</f>
      </c>
      <c r="N172" s="19">
        <f>IF(OR($B172="",$H172&lt;&gt;"Sí",$L172&lt;=0),"",IF(TODAY()&gt;$J172,"🔴 VENCIDO hace "&amp;(TODAY()-$J172)&amp;" día(s)",IF($J172-TODAY()&lt;='Config'!$B$15,"🟠 Faltan "&amp;($J172-TODAY())&amp;" día(s) para pagar","🟢 Al día (paga el "&amp;TEXT($J172,"dd/mm")&amp;")")))</f>
      </c>
      <c r="O172" s="23"/>
      <c r="P172" s="17">
        <f>IF(OR($B172="",$O172=""),"",$O172-$A172)</f>
      </c>
    </row>
    <row r="173">
      <c r="A173" s="23"/>
      <c r="B173" s="20"/>
      <c r="C173" s="19">
        <f>IF($B173="","",IFERROR(VLOOKUP($B173,'Catálogo'!$A:$B,2,FALSE),"⚠ Código no existe"))</f>
      </c>
      <c r="D173" s="21"/>
      <c r="E173" s="22"/>
      <c r="F173" s="16">
        <f>IF($B173="","",$D173*$E173)</f>
      </c>
      <c r="G173" s="20"/>
      <c r="H173" s="20"/>
      <c r="I173" s="14">
        <f>IF(OR($B173="",$H173&lt;&gt;"Sí"),"",IF(DAY($A173)&lt;='Config'!$B$13,DATE(YEAR($A173),MONTH($A173),'Config'!$B$13),EOMONTH($A173,0)+'Config'!$B$13))</f>
      </c>
      <c r="J173" s="14">
        <f>IF($I173="","",DATE(YEAR(EOMONTH($I173,0)+1),MONTH(EOMONTH($I173,0)+1),'Config'!$B$14))</f>
      </c>
      <c r="K173" s="22"/>
      <c r="L173" s="16">
        <f>IF($B173="","",MAX($F173-$K173,0))</f>
      </c>
      <c r="M173" s="19">
        <f>IF($B173="","",IF($H173&lt;&gt;"Sí","Pagado (contado)",IF($L173&lt;=0,"Pagado",IF($K173&gt;0,"Abono parcial","Pendiente"))))</f>
      </c>
      <c r="N173" s="19">
        <f>IF(OR($B173="",$H173&lt;&gt;"Sí",$L173&lt;=0),"",IF(TODAY()&gt;$J173,"🔴 VENCIDO hace "&amp;(TODAY()-$J173)&amp;" día(s)",IF($J173-TODAY()&lt;='Config'!$B$15,"🟠 Faltan "&amp;($J173-TODAY())&amp;" día(s) para pagar","🟢 Al día (paga el "&amp;TEXT($J173,"dd/mm")&amp;")")))</f>
      </c>
      <c r="O173" s="23"/>
      <c r="P173" s="17">
        <f>IF(OR($B173="",$O173=""),"",$O173-$A173)</f>
      </c>
    </row>
    <row r="174">
      <c r="A174" s="23"/>
      <c r="B174" s="20"/>
      <c r="C174" s="19">
        <f>IF($B174="","",IFERROR(VLOOKUP($B174,'Catálogo'!$A:$B,2,FALSE),"⚠ Código no existe"))</f>
      </c>
      <c r="D174" s="21"/>
      <c r="E174" s="22"/>
      <c r="F174" s="16">
        <f>IF($B174="","",$D174*$E174)</f>
      </c>
      <c r="G174" s="20"/>
      <c r="H174" s="20"/>
      <c r="I174" s="14">
        <f>IF(OR($B174="",$H174&lt;&gt;"Sí"),"",IF(DAY($A174)&lt;='Config'!$B$13,DATE(YEAR($A174),MONTH($A174),'Config'!$B$13),EOMONTH($A174,0)+'Config'!$B$13))</f>
      </c>
      <c r="J174" s="14">
        <f>IF($I174="","",DATE(YEAR(EOMONTH($I174,0)+1),MONTH(EOMONTH($I174,0)+1),'Config'!$B$14))</f>
      </c>
      <c r="K174" s="22"/>
      <c r="L174" s="16">
        <f>IF($B174="","",MAX($F174-$K174,0))</f>
      </c>
      <c r="M174" s="19">
        <f>IF($B174="","",IF($H174&lt;&gt;"Sí","Pagado (contado)",IF($L174&lt;=0,"Pagado",IF($K174&gt;0,"Abono parcial","Pendiente"))))</f>
      </c>
      <c r="N174" s="19">
        <f>IF(OR($B174="",$H174&lt;&gt;"Sí",$L174&lt;=0),"",IF(TODAY()&gt;$J174,"🔴 VENCIDO hace "&amp;(TODAY()-$J174)&amp;" día(s)",IF($J174-TODAY()&lt;='Config'!$B$15,"🟠 Faltan "&amp;($J174-TODAY())&amp;" día(s) para pagar","🟢 Al día (paga el "&amp;TEXT($J174,"dd/mm")&amp;")")))</f>
      </c>
      <c r="O174" s="23"/>
      <c r="P174" s="17">
        <f>IF(OR($B174="",$O174=""),"",$O174-$A174)</f>
      </c>
    </row>
    <row r="175">
      <c r="A175" s="23"/>
      <c r="B175" s="20"/>
      <c r="C175" s="19">
        <f>IF($B175="","",IFERROR(VLOOKUP($B175,'Catálogo'!$A:$B,2,FALSE),"⚠ Código no existe"))</f>
      </c>
      <c r="D175" s="21"/>
      <c r="E175" s="22"/>
      <c r="F175" s="16">
        <f>IF($B175="","",$D175*$E175)</f>
      </c>
      <c r="G175" s="20"/>
      <c r="H175" s="20"/>
      <c r="I175" s="14">
        <f>IF(OR($B175="",$H175&lt;&gt;"Sí"),"",IF(DAY($A175)&lt;='Config'!$B$13,DATE(YEAR($A175),MONTH($A175),'Config'!$B$13),EOMONTH($A175,0)+'Config'!$B$13))</f>
      </c>
      <c r="J175" s="14">
        <f>IF($I175="","",DATE(YEAR(EOMONTH($I175,0)+1),MONTH(EOMONTH($I175,0)+1),'Config'!$B$14))</f>
      </c>
      <c r="K175" s="22"/>
      <c r="L175" s="16">
        <f>IF($B175="","",MAX($F175-$K175,0))</f>
      </c>
      <c r="M175" s="19">
        <f>IF($B175="","",IF($H175&lt;&gt;"Sí","Pagado (contado)",IF($L175&lt;=0,"Pagado",IF($K175&gt;0,"Abono parcial","Pendiente"))))</f>
      </c>
      <c r="N175" s="19">
        <f>IF(OR($B175="",$H175&lt;&gt;"Sí",$L175&lt;=0),"",IF(TODAY()&gt;$J175,"🔴 VENCIDO hace "&amp;(TODAY()-$J175)&amp;" día(s)",IF($J175-TODAY()&lt;='Config'!$B$15,"🟠 Faltan "&amp;($J175-TODAY())&amp;" día(s) para pagar","🟢 Al día (paga el "&amp;TEXT($J175,"dd/mm")&amp;")")))</f>
      </c>
      <c r="O175" s="23"/>
      <c r="P175" s="17">
        <f>IF(OR($B175="",$O175=""),"",$O175-$A175)</f>
      </c>
    </row>
    <row r="176">
      <c r="A176" s="23"/>
      <c r="B176" s="20"/>
      <c r="C176" s="19">
        <f>IF($B176="","",IFERROR(VLOOKUP($B176,'Catálogo'!$A:$B,2,FALSE),"⚠ Código no existe"))</f>
      </c>
      <c r="D176" s="21"/>
      <c r="E176" s="22"/>
      <c r="F176" s="16">
        <f>IF($B176="","",$D176*$E176)</f>
      </c>
      <c r="G176" s="20"/>
      <c r="H176" s="20"/>
      <c r="I176" s="14">
        <f>IF(OR($B176="",$H176&lt;&gt;"Sí"),"",IF(DAY($A176)&lt;='Config'!$B$13,DATE(YEAR($A176),MONTH($A176),'Config'!$B$13),EOMONTH($A176,0)+'Config'!$B$13))</f>
      </c>
      <c r="J176" s="14">
        <f>IF($I176="","",DATE(YEAR(EOMONTH($I176,0)+1),MONTH(EOMONTH($I176,0)+1),'Config'!$B$14))</f>
      </c>
      <c r="K176" s="22"/>
      <c r="L176" s="16">
        <f>IF($B176="","",MAX($F176-$K176,0))</f>
      </c>
      <c r="M176" s="19">
        <f>IF($B176="","",IF($H176&lt;&gt;"Sí","Pagado (contado)",IF($L176&lt;=0,"Pagado",IF($K176&gt;0,"Abono parcial","Pendiente"))))</f>
      </c>
      <c r="N176" s="19">
        <f>IF(OR($B176="",$H176&lt;&gt;"Sí",$L176&lt;=0),"",IF(TODAY()&gt;$J176,"🔴 VENCIDO hace "&amp;(TODAY()-$J176)&amp;" día(s)",IF($J176-TODAY()&lt;='Config'!$B$15,"🟠 Faltan "&amp;($J176-TODAY())&amp;" día(s) para pagar","🟢 Al día (paga el "&amp;TEXT($J176,"dd/mm")&amp;")")))</f>
      </c>
      <c r="O176" s="23"/>
      <c r="P176" s="17">
        <f>IF(OR($B176="",$O176=""),"",$O176-$A176)</f>
      </c>
    </row>
    <row r="177">
      <c r="A177" s="23"/>
      <c r="B177" s="20"/>
      <c r="C177" s="19">
        <f>IF($B177="","",IFERROR(VLOOKUP($B177,'Catálogo'!$A:$B,2,FALSE),"⚠ Código no existe"))</f>
      </c>
      <c r="D177" s="21"/>
      <c r="E177" s="22"/>
      <c r="F177" s="16">
        <f>IF($B177="","",$D177*$E177)</f>
      </c>
      <c r="G177" s="20"/>
      <c r="H177" s="20"/>
      <c r="I177" s="14">
        <f>IF(OR($B177="",$H177&lt;&gt;"Sí"),"",IF(DAY($A177)&lt;='Config'!$B$13,DATE(YEAR($A177),MONTH($A177),'Config'!$B$13),EOMONTH($A177,0)+'Config'!$B$13))</f>
      </c>
      <c r="J177" s="14">
        <f>IF($I177="","",DATE(YEAR(EOMONTH($I177,0)+1),MONTH(EOMONTH($I177,0)+1),'Config'!$B$14))</f>
      </c>
      <c r="K177" s="22"/>
      <c r="L177" s="16">
        <f>IF($B177="","",MAX($F177-$K177,0))</f>
      </c>
      <c r="M177" s="19">
        <f>IF($B177="","",IF($H177&lt;&gt;"Sí","Pagado (contado)",IF($L177&lt;=0,"Pagado",IF($K177&gt;0,"Abono parcial","Pendiente"))))</f>
      </c>
      <c r="N177" s="19">
        <f>IF(OR($B177="",$H177&lt;&gt;"Sí",$L177&lt;=0),"",IF(TODAY()&gt;$J177,"🔴 VENCIDO hace "&amp;(TODAY()-$J177)&amp;" día(s)",IF($J177-TODAY()&lt;='Config'!$B$15,"🟠 Faltan "&amp;($J177-TODAY())&amp;" día(s) para pagar","🟢 Al día (paga el "&amp;TEXT($J177,"dd/mm")&amp;")")))</f>
      </c>
      <c r="O177" s="23"/>
      <c r="P177" s="17">
        <f>IF(OR($B177="",$O177=""),"",$O177-$A177)</f>
      </c>
    </row>
    <row r="178">
      <c r="A178" s="23"/>
      <c r="B178" s="20"/>
      <c r="C178" s="19">
        <f>IF($B178="","",IFERROR(VLOOKUP($B178,'Catálogo'!$A:$B,2,FALSE),"⚠ Código no existe"))</f>
      </c>
      <c r="D178" s="21"/>
      <c r="E178" s="22"/>
      <c r="F178" s="16">
        <f>IF($B178="","",$D178*$E178)</f>
      </c>
      <c r="G178" s="20"/>
      <c r="H178" s="20"/>
      <c r="I178" s="14">
        <f>IF(OR($B178="",$H178&lt;&gt;"Sí"),"",IF(DAY($A178)&lt;='Config'!$B$13,DATE(YEAR($A178),MONTH($A178),'Config'!$B$13),EOMONTH($A178,0)+'Config'!$B$13))</f>
      </c>
      <c r="J178" s="14">
        <f>IF($I178="","",DATE(YEAR(EOMONTH($I178,0)+1),MONTH(EOMONTH($I178,0)+1),'Config'!$B$14))</f>
      </c>
      <c r="K178" s="22"/>
      <c r="L178" s="16">
        <f>IF($B178="","",MAX($F178-$K178,0))</f>
      </c>
      <c r="M178" s="19">
        <f>IF($B178="","",IF($H178&lt;&gt;"Sí","Pagado (contado)",IF($L178&lt;=0,"Pagado",IF($K178&gt;0,"Abono parcial","Pendiente"))))</f>
      </c>
      <c r="N178" s="19">
        <f>IF(OR($B178="",$H178&lt;&gt;"Sí",$L178&lt;=0),"",IF(TODAY()&gt;$J178,"🔴 VENCIDO hace "&amp;(TODAY()-$J178)&amp;" día(s)",IF($J178-TODAY()&lt;='Config'!$B$15,"🟠 Faltan "&amp;($J178-TODAY())&amp;" día(s) para pagar","🟢 Al día (paga el "&amp;TEXT($J178,"dd/mm")&amp;")")))</f>
      </c>
      <c r="O178" s="23"/>
      <c r="P178" s="17">
        <f>IF(OR($B178="",$O178=""),"",$O178-$A178)</f>
      </c>
    </row>
    <row r="179">
      <c r="A179" s="23"/>
      <c r="B179" s="20"/>
      <c r="C179" s="19">
        <f>IF($B179="","",IFERROR(VLOOKUP($B179,'Catálogo'!$A:$B,2,FALSE),"⚠ Código no existe"))</f>
      </c>
      <c r="D179" s="21"/>
      <c r="E179" s="22"/>
      <c r="F179" s="16">
        <f>IF($B179="","",$D179*$E179)</f>
      </c>
      <c r="G179" s="20"/>
      <c r="H179" s="20"/>
      <c r="I179" s="14">
        <f>IF(OR($B179="",$H179&lt;&gt;"Sí"),"",IF(DAY($A179)&lt;='Config'!$B$13,DATE(YEAR($A179),MONTH($A179),'Config'!$B$13),EOMONTH($A179,0)+'Config'!$B$13))</f>
      </c>
      <c r="J179" s="14">
        <f>IF($I179="","",DATE(YEAR(EOMONTH($I179,0)+1),MONTH(EOMONTH($I179,0)+1),'Config'!$B$14))</f>
      </c>
      <c r="K179" s="22"/>
      <c r="L179" s="16">
        <f>IF($B179="","",MAX($F179-$K179,0))</f>
      </c>
      <c r="M179" s="19">
        <f>IF($B179="","",IF($H179&lt;&gt;"Sí","Pagado (contado)",IF($L179&lt;=0,"Pagado",IF($K179&gt;0,"Abono parcial","Pendiente"))))</f>
      </c>
      <c r="N179" s="19">
        <f>IF(OR($B179="",$H179&lt;&gt;"Sí",$L179&lt;=0),"",IF(TODAY()&gt;$J179,"🔴 VENCIDO hace "&amp;(TODAY()-$J179)&amp;" día(s)",IF($J179-TODAY()&lt;='Config'!$B$15,"🟠 Faltan "&amp;($J179-TODAY())&amp;" día(s) para pagar","🟢 Al día (paga el "&amp;TEXT($J179,"dd/mm")&amp;")")))</f>
      </c>
      <c r="O179" s="23"/>
      <c r="P179" s="17">
        <f>IF(OR($B179="",$O179=""),"",$O179-$A179)</f>
      </c>
    </row>
    <row r="180">
      <c r="A180" s="23"/>
      <c r="B180" s="20"/>
      <c r="C180" s="19">
        <f>IF($B180="","",IFERROR(VLOOKUP($B180,'Catálogo'!$A:$B,2,FALSE),"⚠ Código no existe"))</f>
      </c>
      <c r="D180" s="21"/>
      <c r="E180" s="22"/>
      <c r="F180" s="16">
        <f>IF($B180="","",$D180*$E180)</f>
      </c>
      <c r="G180" s="20"/>
      <c r="H180" s="20"/>
      <c r="I180" s="14">
        <f>IF(OR($B180="",$H180&lt;&gt;"Sí"),"",IF(DAY($A180)&lt;='Config'!$B$13,DATE(YEAR($A180),MONTH($A180),'Config'!$B$13),EOMONTH($A180,0)+'Config'!$B$13))</f>
      </c>
      <c r="J180" s="14">
        <f>IF($I180="","",DATE(YEAR(EOMONTH($I180,0)+1),MONTH(EOMONTH($I180,0)+1),'Config'!$B$14))</f>
      </c>
      <c r="K180" s="22"/>
      <c r="L180" s="16">
        <f>IF($B180="","",MAX($F180-$K180,0))</f>
      </c>
      <c r="M180" s="19">
        <f>IF($B180="","",IF($H180&lt;&gt;"Sí","Pagado (contado)",IF($L180&lt;=0,"Pagado",IF($K180&gt;0,"Abono parcial","Pendiente"))))</f>
      </c>
      <c r="N180" s="19">
        <f>IF(OR($B180="",$H180&lt;&gt;"Sí",$L180&lt;=0),"",IF(TODAY()&gt;$J180,"🔴 VENCIDO hace "&amp;(TODAY()-$J180)&amp;" día(s)",IF($J180-TODAY()&lt;='Config'!$B$15,"🟠 Faltan "&amp;($J180-TODAY())&amp;" día(s) para pagar","🟢 Al día (paga el "&amp;TEXT($J180,"dd/mm")&amp;")")))</f>
      </c>
      <c r="O180" s="23"/>
      <c r="P180" s="17">
        <f>IF(OR($B180="",$O180=""),"",$O180-$A180)</f>
      </c>
    </row>
    <row r="181">
      <c r="A181" s="23"/>
      <c r="B181" s="20"/>
      <c r="C181" s="19">
        <f>IF($B181="","",IFERROR(VLOOKUP($B181,'Catálogo'!$A:$B,2,FALSE),"⚠ Código no existe"))</f>
      </c>
      <c r="D181" s="21"/>
      <c r="E181" s="22"/>
      <c r="F181" s="16">
        <f>IF($B181="","",$D181*$E181)</f>
      </c>
      <c r="G181" s="20"/>
      <c r="H181" s="20"/>
      <c r="I181" s="14">
        <f>IF(OR($B181="",$H181&lt;&gt;"Sí"),"",IF(DAY($A181)&lt;='Config'!$B$13,DATE(YEAR($A181),MONTH($A181),'Config'!$B$13),EOMONTH($A181,0)+'Config'!$B$13))</f>
      </c>
      <c r="J181" s="14">
        <f>IF($I181="","",DATE(YEAR(EOMONTH($I181,0)+1),MONTH(EOMONTH($I181,0)+1),'Config'!$B$14))</f>
      </c>
      <c r="K181" s="22"/>
      <c r="L181" s="16">
        <f>IF($B181="","",MAX($F181-$K181,0))</f>
      </c>
      <c r="M181" s="19">
        <f>IF($B181="","",IF($H181&lt;&gt;"Sí","Pagado (contado)",IF($L181&lt;=0,"Pagado",IF($K181&gt;0,"Abono parcial","Pendiente"))))</f>
      </c>
      <c r="N181" s="19">
        <f>IF(OR($B181="",$H181&lt;&gt;"Sí",$L181&lt;=0),"",IF(TODAY()&gt;$J181,"🔴 VENCIDO hace "&amp;(TODAY()-$J181)&amp;" día(s)",IF($J181-TODAY()&lt;='Config'!$B$15,"🟠 Faltan "&amp;($J181-TODAY())&amp;" día(s) para pagar","🟢 Al día (paga el "&amp;TEXT($J181,"dd/mm")&amp;")")))</f>
      </c>
      <c r="O181" s="23"/>
      <c r="P181" s="17">
        <f>IF(OR($B181="",$O181=""),"",$O181-$A181)</f>
      </c>
    </row>
    <row r="182">
      <c r="A182" s="23"/>
      <c r="B182" s="20"/>
      <c r="C182" s="19">
        <f>IF($B182="","",IFERROR(VLOOKUP($B182,'Catálogo'!$A:$B,2,FALSE),"⚠ Código no existe"))</f>
      </c>
      <c r="D182" s="21"/>
      <c r="E182" s="22"/>
      <c r="F182" s="16">
        <f>IF($B182="","",$D182*$E182)</f>
      </c>
      <c r="G182" s="20"/>
      <c r="H182" s="20"/>
      <c r="I182" s="14">
        <f>IF(OR($B182="",$H182&lt;&gt;"Sí"),"",IF(DAY($A182)&lt;='Config'!$B$13,DATE(YEAR($A182),MONTH($A182),'Config'!$B$13),EOMONTH($A182,0)+'Config'!$B$13))</f>
      </c>
      <c r="J182" s="14">
        <f>IF($I182="","",DATE(YEAR(EOMONTH($I182,0)+1),MONTH(EOMONTH($I182,0)+1),'Config'!$B$14))</f>
      </c>
      <c r="K182" s="22"/>
      <c r="L182" s="16">
        <f>IF($B182="","",MAX($F182-$K182,0))</f>
      </c>
      <c r="M182" s="19">
        <f>IF($B182="","",IF($H182&lt;&gt;"Sí","Pagado (contado)",IF($L182&lt;=0,"Pagado",IF($K182&gt;0,"Abono parcial","Pendiente"))))</f>
      </c>
      <c r="N182" s="19">
        <f>IF(OR($B182="",$H182&lt;&gt;"Sí",$L182&lt;=0),"",IF(TODAY()&gt;$J182,"🔴 VENCIDO hace "&amp;(TODAY()-$J182)&amp;" día(s)",IF($J182-TODAY()&lt;='Config'!$B$15,"🟠 Faltan "&amp;($J182-TODAY())&amp;" día(s) para pagar","🟢 Al día (paga el "&amp;TEXT($J182,"dd/mm")&amp;")")))</f>
      </c>
      <c r="O182" s="23"/>
      <c r="P182" s="17">
        <f>IF(OR($B182="",$O182=""),"",$O182-$A182)</f>
      </c>
    </row>
    <row r="183">
      <c r="A183" s="23"/>
      <c r="B183" s="20"/>
      <c r="C183" s="19">
        <f>IF($B183="","",IFERROR(VLOOKUP($B183,'Catálogo'!$A:$B,2,FALSE),"⚠ Código no existe"))</f>
      </c>
      <c r="D183" s="21"/>
      <c r="E183" s="22"/>
      <c r="F183" s="16">
        <f>IF($B183="","",$D183*$E183)</f>
      </c>
      <c r="G183" s="20"/>
      <c r="H183" s="20"/>
      <c r="I183" s="14">
        <f>IF(OR($B183="",$H183&lt;&gt;"Sí"),"",IF(DAY($A183)&lt;='Config'!$B$13,DATE(YEAR($A183),MONTH($A183),'Config'!$B$13),EOMONTH($A183,0)+'Config'!$B$13))</f>
      </c>
      <c r="J183" s="14">
        <f>IF($I183="","",DATE(YEAR(EOMONTH($I183,0)+1),MONTH(EOMONTH($I183,0)+1),'Config'!$B$14))</f>
      </c>
      <c r="K183" s="22"/>
      <c r="L183" s="16">
        <f>IF($B183="","",MAX($F183-$K183,0))</f>
      </c>
      <c r="M183" s="19">
        <f>IF($B183="","",IF($H183&lt;&gt;"Sí","Pagado (contado)",IF($L183&lt;=0,"Pagado",IF($K183&gt;0,"Abono parcial","Pendiente"))))</f>
      </c>
      <c r="N183" s="19">
        <f>IF(OR($B183="",$H183&lt;&gt;"Sí",$L183&lt;=0),"",IF(TODAY()&gt;$J183,"🔴 VENCIDO hace "&amp;(TODAY()-$J183)&amp;" día(s)",IF($J183-TODAY()&lt;='Config'!$B$15,"🟠 Faltan "&amp;($J183-TODAY())&amp;" día(s) para pagar","🟢 Al día (paga el "&amp;TEXT($J183,"dd/mm")&amp;")")))</f>
      </c>
      <c r="O183" s="23"/>
      <c r="P183" s="17">
        <f>IF(OR($B183="",$O183=""),"",$O183-$A183)</f>
      </c>
    </row>
    <row r="184">
      <c r="A184" s="23"/>
      <c r="B184" s="20"/>
      <c r="C184" s="19">
        <f>IF($B184="","",IFERROR(VLOOKUP($B184,'Catálogo'!$A:$B,2,FALSE),"⚠ Código no existe"))</f>
      </c>
      <c r="D184" s="21"/>
      <c r="E184" s="22"/>
      <c r="F184" s="16">
        <f>IF($B184="","",$D184*$E184)</f>
      </c>
      <c r="G184" s="20"/>
      <c r="H184" s="20"/>
      <c r="I184" s="14">
        <f>IF(OR($B184="",$H184&lt;&gt;"Sí"),"",IF(DAY($A184)&lt;='Config'!$B$13,DATE(YEAR($A184),MONTH($A184),'Config'!$B$13),EOMONTH($A184,0)+'Config'!$B$13))</f>
      </c>
      <c r="J184" s="14">
        <f>IF($I184="","",DATE(YEAR(EOMONTH($I184,0)+1),MONTH(EOMONTH($I184,0)+1),'Config'!$B$14))</f>
      </c>
      <c r="K184" s="22"/>
      <c r="L184" s="16">
        <f>IF($B184="","",MAX($F184-$K184,0))</f>
      </c>
      <c r="M184" s="19">
        <f>IF($B184="","",IF($H184&lt;&gt;"Sí","Pagado (contado)",IF($L184&lt;=0,"Pagado",IF($K184&gt;0,"Abono parcial","Pendiente"))))</f>
      </c>
      <c r="N184" s="19">
        <f>IF(OR($B184="",$H184&lt;&gt;"Sí",$L184&lt;=0),"",IF(TODAY()&gt;$J184,"🔴 VENCIDO hace "&amp;(TODAY()-$J184)&amp;" día(s)",IF($J184-TODAY()&lt;='Config'!$B$15,"🟠 Faltan "&amp;($J184-TODAY())&amp;" día(s) para pagar","🟢 Al día (paga el "&amp;TEXT($J184,"dd/mm")&amp;")")))</f>
      </c>
      <c r="O184" s="23"/>
      <c r="P184" s="17">
        <f>IF(OR($B184="",$O184=""),"",$O184-$A184)</f>
      </c>
    </row>
    <row r="185">
      <c r="A185" s="23"/>
      <c r="B185" s="20"/>
      <c r="C185" s="19">
        <f>IF($B185="","",IFERROR(VLOOKUP($B185,'Catálogo'!$A:$B,2,FALSE),"⚠ Código no existe"))</f>
      </c>
      <c r="D185" s="21"/>
      <c r="E185" s="22"/>
      <c r="F185" s="16">
        <f>IF($B185="","",$D185*$E185)</f>
      </c>
      <c r="G185" s="20"/>
      <c r="H185" s="20"/>
      <c r="I185" s="14">
        <f>IF(OR($B185="",$H185&lt;&gt;"Sí"),"",IF(DAY($A185)&lt;='Config'!$B$13,DATE(YEAR($A185),MONTH($A185),'Config'!$B$13),EOMONTH($A185,0)+'Config'!$B$13))</f>
      </c>
      <c r="J185" s="14">
        <f>IF($I185="","",DATE(YEAR(EOMONTH($I185,0)+1),MONTH(EOMONTH($I185,0)+1),'Config'!$B$14))</f>
      </c>
      <c r="K185" s="22"/>
      <c r="L185" s="16">
        <f>IF($B185="","",MAX($F185-$K185,0))</f>
      </c>
      <c r="M185" s="19">
        <f>IF($B185="","",IF($H185&lt;&gt;"Sí","Pagado (contado)",IF($L185&lt;=0,"Pagado",IF($K185&gt;0,"Abono parcial","Pendiente"))))</f>
      </c>
      <c r="N185" s="19">
        <f>IF(OR($B185="",$H185&lt;&gt;"Sí",$L185&lt;=0),"",IF(TODAY()&gt;$J185,"🔴 VENCIDO hace "&amp;(TODAY()-$J185)&amp;" día(s)",IF($J185-TODAY()&lt;='Config'!$B$15,"🟠 Faltan "&amp;($J185-TODAY())&amp;" día(s) para pagar","🟢 Al día (paga el "&amp;TEXT($J185,"dd/mm")&amp;")")))</f>
      </c>
      <c r="O185" s="23"/>
      <c r="P185" s="17">
        <f>IF(OR($B185="",$O185=""),"",$O185-$A185)</f>
      </c>
    </row>
    <row r="186">
      <c r="A186" s="23"/>
      <c r="B186" s="20"/>
      <c r="C186" s="19">
        <f>IF($B186="","",IFERROR(VLOOKUP($B186,'Catálogo'!$A:$B,2,FALSE),"⚠ Código no existe"))</f>
      </c>
      <c r="D186" s="21"/>
      <c r="E186" s="22"/>
      <c r="F186" s="16">
        <f>IF($B186="","",$D186*$E186)</f>
      </c>
      <c r="G186" s="20"/>
      <c r="H186" s="20"/>
      <c r="I186" s="14">
        <f>IF(OR($B186="",$H186&lt;&gt;"Sí"),"",IF(DAY($A186)&lt;='Config'!$B$13,DATE(YEAR($A186),MONTH($A186),'Config'!$B$13),EOMONTH($A186,0)+'Config'!$B$13))</f>
      </c>
      <c r="J186" s="14">
        <f>IF($I186="","",DATE(YEAR(EOMONTH($I186,0)+1),MONTH(EOMONTH($I186,0)+1),'Config'!$B$14))</f>
      </c>
      <c r="K186" s="22"/>
      <c r="L186" s="16">
        <f>IF($B186="","",MAX($F186-$K186,0))</f>
      </c>
      <c r="M186" s="19">
        <f>IF($B186="","",IF($H186&lt;&gt;"Sí","Pagado (contado)",IF($L186&lt;=0,"Pagado",IF($K186&gt;0,"Abono parcial","Pendiente"))))</f>
      </c>
      <c r="N186" s="19">
        <f>IF(OR($B186="",$H186&lt;&gt;"Sí",$L186&lt;=0),"",IF(TODAY()&gt;$J186,"🔴 VENCIDO hace "&amp;(TODAY()-$J186)&amp;" día(s)",IF($J186-TODAY()&lt;='Config'!$B$15,"🟠 Faltan "&amp;($J186-TODAY())&amp;" día(s) para pagar","🟢 Al día (paga el "&amp;TEXT($J186,"dd/mm")&amp;")")))</f>
      </c>
      <c r="O186" s="23"/>
      <c r="P186" s="17">
        <f>IF(OR($B186="",$O186=""),"",$O186-$A186)</f>
      </c>
    </row>
    <row r="187">
      <c r="A187" s="23"/>
      <c r="B187" s="20"/>
      <c r="C187" s="19">
        <f>IF($B187="","",IFERROR(VLOOKUP($B187,'Catálogo'!$A:$B,2,FALSE),"⚠ Código no existe"))</f>
      </c>
      <c r="D187" s="21"/>
      <c r="E187" s="22"/>
      <c r="F187" s="16">
        <f>IF($B187="","",$D187*$E187)</f>
      </c>
      <c r="G187" s="20"/>
      <c r="H187" s="20"/>
      <c r="I187" s="14">
        <f>IF(OR($B187="",$H187&lt;&gt;"Sí"),"",IF(DAY($A187)&lt;='Config'!$B$13,DATE(YEAR($A187),MONTH($A187),'Config'!$B$13),EOMONTH($A187,0)+'Config'!$B$13))</f>
      </c>
      <c r="J187" s="14">
        <f>IF($I187="","",DATE(YEAR(EOMONTH($I187,0)+1),MONTH(EOMONTH($I187,0)+1),'Config'!$B$14))</f>
      </c>
      <c r="K187" s="22"/>
      <c r="L187" s="16">
        <f>IF($B187="","",MAX($F187-$K187,0))</f>
      </c>
      <c r="M187" s="19">
        <f>IF($B187="","",IF($H187&lt;&gt;"Sí","Pagado (contado)",IF($L187&lt;=0,"Pagado",IF($K187&gt;0,"Abono parcial","Pendiente"))))</f>
      </c>
      <c r="N187" s="19">
        <f>IF(OR($B187="",$H187&lt;&gt;"Sí",$L187&lt;=0),"",IF(TODAY()&gt;$J187,"🔴 VENCIDO hace "&amp;(TODAY()-$J187)&amp;" día(s)",IF($J187-TODAY()&lt;='Config'!$B$15,"🟠 Faltan "&amp;($J187-TODAY())&amp;" día(s) para pagar","🟢 Al día (paga el "&amp;TEXT($J187,"dd/mm")&amp;")")))</f>
      </c>
      <c r="O187" s="23"/>
      <c r="P187" s="17">
        <f>IF(OR($B187="",$O187=""),"",$O187-$A187)</f>
      </c>
    </row>
    <row r="188">
      <c r="A188" s="23"/>
      <c r="B188" s="20"/>
      <c r="C188" s="19">
        <f>IF($B188="","",IFERROR(VLOOKUP($B188,'Catálogo'!$A:$B,2,FALSE),"⚠ Código no existe"))</f>
      </c>
      <c r="D188" s="21"/>
      <c r="E188" s="22"/>
      <c r="F188" s="16">
        <f>IF($B188="","",$D188*$E188)</f>
      </c>
      <c r="G188" s="20"/>
      <c r="H188" s="20"/>
      <c r="I188" s="14">
        <f>IF(OR($B188="",$H188&lt;&gt;"Sí"),"",IF(DAY($A188)&lt;='Config'!$B$13,DATE(YEAR($A188),MONTH($A188),'Config'!$B$13),EOMONTH($A188,0)+'Config'!$B$13))</f>
      </c>
      <c r="J188" s="14">
        <f>IF($I188="","",DATE(YEAR(EOMONTH($I188,0)+1),MONTH(EOMONTH($I188,0)+1),'Config'!$B$14))</f>
      </c>
      <c r="K188" s="22"/>
      <c r="L188" s="16">
        <f>IF($B188="","",MAX($F188-$K188,0))</f>
      </c>
      <c r="M188" s="19">
        <f>IF($B188="","",IF($H188&lt;&gt;"Sí","Pagado (contado)",IF($L188&lt;=0,"Pagado",IF($K188&gt;0,"Abono parcial","Pendiente"))))</f>
      </c>
      <c r="N188" s="19">
        <f>IF(OR($B188="",$H188&lt;&gt;"Sí",$L188&lt;=0),"",IF(TODAY()&gt;$J188,"🔴 VENCIDO hace "&amp;(TODAY()-$J188)&amp;" día(s)",IF($J188-TODAY()&lt;='Config'!$B$15,"🟠 Faltan "&amp;($J188-TODAY())&amp;" día(s) para pagar","🟢 Al día (paga el "&amp;TEXT($J188,"dd/mm")&amp;")")))</f>
      </c>
      <c r="O188" s="23"/>
      <c r="P188" s="17">
        <f>IF(OR($B188="",$O188=""),"",$O188-$A188)</f>
      </c>
    </row>
    <row r="189">
      <c r="A189" s="23"/>
      <c r="B189" s="20"/>
      <c r="C189" s="19">
        <f>IF($B189="","",IFERROR(VLOOKUP($B189,'Catálogo'!$A:$B,2,FALSE),"⚠ Código no existe"))</f>
      </c>
      <c r="D189" s="21"/>
      <c r="E189" s="22"/>
      <c r="F189" s="16">
        <f>IF($B189="","",$D189*$E189)</f>
      </c>
      <c r="G189" s="20"/>
      <c r="H189" s="20"/>
      <c r="I189" s="14">
        <f>IF(OR($B189="",$H189&lt;&gt;"Sí"),"",IF(DAY($A189)&lt;='Config'!$B$13,DATE(YEAR($A189),MONTH($A189),'Config'!$B$13),EOMONTH($A189,0)+'Config'!$B$13))</f>
      </c>
      <c r="J189" s="14">
        <f>IF($I189="","",DATE(YEAR(EOMONTH($I189,0)+1),MONTH(EOMONTH($I189,0)+1),'Config'!$B$14))</f>
      </c>
      <c r="K189" s="22"/>
      <c r="L189" s="16">
        <f>IF($B189="","",MAX($F189-$K189,0))</f>
      </c>
      <c r="M189" s="19">
        <f>IF($B189="","",IF($H189&lt;&gt;"Sí","Pagado (contado)",IF($L189&lt;=0,"Pagado",IF($K189&gt;0,"Abono parcial","Pendiente"))))</f>
      </c>
      <c r="N189" s="19">
        <f>IF(OR($B189="",$H189&lt;&gt;"Sí",$L189&lt;=0),"",IF(TODAY()&gt;$J189,"🔴 VENCIDO hace "&amp;(TODAY()-$J189)&amp;" día(s)",IF($J189-TODAY()&lt;='Config'!$B$15,"🟠 Faltan "&amp;($J189-TODAY())&amp;" día(s) para pagar","🟢 Al día (paga el "&amp;TEXT($J189,"dd/mm")&amp;")")))</f>
      </c>
      <c r="O189" s="23"/>
      <c r="P189" s="17">
        <f>IF(OR($B189="",$O189=""),"",$O189-$A189)</f>
      </c>
    </row>
    <row r="190">
      <c r="A190" s="23"/>
      <c r="B190" s="20"/>
      <c r="C190" s="19">
        <f>IF($B190="","",IFERROR(VLOOKUP($B190,'Catálogo'!$A:$B,2,FALSE),"⚠ Código no existe"))</f>
      </c>
      <c r="D190" s="21"/>
      <c r="E190" s="22"/>
      <c r="F190" s="16">
        <f>IF($B190="","",$D190*$E190)</f>
      </c>
      <c r="G190" s="20"/>
      <c r="H190" s="20"/>
      <c r="I190" s="14">
        <f>IF(OR($B190="",$H190&lt;&gt;"Sí"),"",IF(DAY($A190)&lt;='Config'!$B$13,DATE(YEAR($A190),MONTH($A190),'Config'!$B$13),EOMONTH($A190,0)+'Config'!$B$13))</f>
      </c>
      <c r="J190" s="14">
        <f>IF($I190="","",DATE(YEAR(EOMONTH($I190,0)+1),MONTH(EOMONTH($I190,0)+1),'Config'!$B$14))</f>
      </c>
      <c r="K190" s="22"/>
      <c r="L190" s="16">
        <f>IF($B190="","",MAX($F190-$K190,0))</f>
      </c>
      <c r="M190" s="19">
        <f>IF($B190="","",IF($H190&lt;&gt;"Sí","Pagado (contado)",IF($L190&lt;=0,"Pagado",IF($K190&gt;0,"Abono parcial","Pendiente"))))</f>
      </c>
      <c r="N190" s="19">
        <f>IF(OR($B190="",$H190&lt;&gt;"Sí",$L190&lt;=0),"",IF(TODAY()&gt;$J190,"🔴 VENCIDO hace "&amp;(TODAY()-$J190)&amp;" día(s)",IF($J190-TODAY()&lt;='Config'!$B$15,"🟠 Faltan "&amp;($J190-TODAY())&amp;" día(s) para pagar","🟢 Al día (paga el "&amp;TEXT($J190,"dd/mm")&amp;")")))</f>
      </c>
      <c r="O190" s="23"/>
      <c r="P190" s="17">
        <f>IF(OR($B190="",$O190=""),"",$O190-$A190)</f>
      </c>
    </row>
    <row r="191">
      <c r="A191" s="23"/>
      <c r="B191" s="20"/>
      <c r="C191" s="19">
        <f>IF($B191="","",IFERROR(VLOOKUP($B191,'Catálogo'!$A:$B,2,FALSE),"⚠ Código no existe"))</f>
      </c>
      <c r="D191" s="21"/>
      <c r="E191" s="22"/>
      <c r="F191" s="16">
        <f>IF($B191="","",$D191*$E191)</f>
      </c>
      <c r="G191" s="20"/>
      <c r="H191" s="20"/>
      <c r="I191" s="14">
        <f>IF(OR($B191="",$H191&lt;&gt;"Sí"),"",IF(DAY($A191)&lt;='Config'!$B$13,DATE(YEAR($A191),MONTH($A191),'Config'!$B$13),EOMONTH($A191,0)+'Config'!$B$13))</f>
      </c>
      <c r="J191" s="14">
        <f>IF($I191="","",DATE(YEAR(EOMONTH($I191,0)+1),MONTH(EOMONTH($I191,0)+1),'Config'!$B$14))</f>
      </c>
      <c r="K191" s="22"/>
      <c r="L191" s="16">
        <f>IF($B191="","",MAX($F191-$K191,0))</f>
      </c>
      <c r="M191" s="19">
        <f>IF($B191="","",IF($H191&lt;&gt;"Sí","Pagado (contado)",IF($L191&lt;=0,"Pagado",IF($K191&gt;0,"Abono parcial","Pendiente"))))</f>
      </c>
      <c r="N191" s="19">
        <f>IF(OR($B191="",$H191&lt;&gt;"Sí",$L191&lt;=0),"",IF(TODAY()&gt;$J191,"🔴 VENCIDO hace "&amp;(TODAY()-$J191)&amp;" día(s)",IF($J191-TODAY()&lt;='Config'!$B$15,"🟠 Faltan "&amp;($J191-TODAY())&amp;" día(s) para pagar","🟢 Al día (paga el "&amp;TEXT($J191,"dd/mm")&amp;")")))</f>
      </c>
      <c r="O191" s="23"/>
      <c r="P191" s="17">
        <f>IF(OR($B191="",$O191=""),"",$O191-$A191)</f>
      </c>
    </row>
    <row r="192">
      <c r="A192" s="23"/>
      <c r="B192" s="20"/>
      <c r="C192" s="19">
        <f>IF($B192="","",IFERROR(VLOOKUP($B192,'Catálogo'!$A:$B,2,FALSE),"⚠ Código no existe"))</f>
      </c>
      <c r="D192" s="21"/>
      <c r="E192" s="22"/>
      <c r="F192" s="16">
        <f>IF($B192="","",$D192*$E192)</f>
      </c>
      <c r="G192" s="20"/>
      <c r="H192" s="20"/>
      <c r="I192" s="14">
        <f>IF(OR($B192="",$H192&lt;&gt;"Sí"),"",IF(DAY($A192)&lt;='Config'!$B$13,DATE(YEAR($A192),MONTH($A192),'Config'!$B$13),EOMONTH($A192,0)+'Config'!$B$13))</f>
      </c>
      <c r="J192" s="14">
        <f>IF($I192="","",DATE(YEAR(EOMONTH($I192,0)+1),MONTH(EOMONTH($I192,0)+1),'Config'!$B$14))</f>
      </c>
      <c r="K192" s="22"/>
      <c r="L192" s="16">
        <f>IF($B192="","",MAX($F192-$K192,0))</f>
      </c>
      <c r="M192" s="19">
        <f>IF($B192="","",IF($H192&lt;&gt;"Sí","Pagado (contado)",IF($L192&lt;=0,"Pagado",IF($K192&gt;0,"Abono parcial","Pendiente"))))</f>
      </c>
      <c r="N192" s="19">
        <f>IF(OR($B192="",$H192&lt;&gt;"Sí",$L192&lt;=0),"",IF(TODAY()&gt;$J192,"🔴 VENCIDO hace "&amp;(TODAY()-$J192)&amp;" día(s)",IF($J192-TODAY()&lt;='Config'!$B$15,"🟠 Faltan "&amp;($J192-TODAY())&amp;" día(s) para pagar","🟢 Al día (paga el "&amp;TEXT($J192,"dd/mm")&amp;")")))</f>
      </c>
      <c r="O192" s="23"/>
      <c r="P192" s="17">
        <f>IF(OR($B192="",$O192=""),"",$O192-$A192)</f>
      </c>
    </row>
    <row r="193">
      <c r="A193" s="23"/>
      <c r="B193" s="20"/>
      <c r="C193" s="19">
        <f>IF($B193="","",IFERROR(VLOOKUP($B193,'Catálogo'!$A:$B,2,FALSE),"⚠ Código no existe"))</f>
      </c>
      <c r="D193" s="21"/>
      <c r="E193" s="22"/>
      <c r="F193" s="16">
        <f>IF($B193="","",$D193*$E193)</f>
      </c>
      <c r="G193" s="20"/>
      <c r="H193" s="20"/>
      <c r="I193" s="14">
        <f>IF(OR($B193="",$H193&lt;&gt;"Sí"),"",IF(DAY($A193)&lt;='Config'!$B$13,DATE(YEAR($A193),MONTH($A193),'Config'!$B$13),EOMONTH($A193,0)+'Config'!$B$13))</f>
      </c>
      <c r="J193" s="14">
        <f>IF($I193="","",DATE(YEAR(EOMONTH($I193,0)+1),MONTH(EOMONTH($I193,0)+1),'Config'!$B$14))</f>
      </c>
      <c r="K193" s="22"/>
      <c r="L193" s="16">
        <f>IF($B193="","",MAX($F193-$K193,0))</f>
      </c>
      <c r="M193" s="19">
        <f>IF($B193="","",IF($H193&lt;&gt;"Sí","Pagado (contado)",IF($L193&lt;=0,"Pagado",IF($K193&gt;0,"Abono parcial","Pendiente"))))</f>
      </c>
      <c r="N193" s="19">
        <f>IF(OR($B193="",$H193&lt;&gt;"Sí",$L193&lt;=0),"",IF(TODAY()&gt;$J193,"🔴 VENCIDO hace "&amp;(TODAY()-$J193)&amp;" día(s)",IF($J193-TODAY()&lt;='Config'!$B$15,"🟠 Faltan "&amp;($J193-TODAY())&amp;" día(s) para pagar","🟢 Al día (paga el "&amp;TEXT($J193,"dd/mm")&amp;")")))</f>
      </c>
      <c r="O193" s="23"/>
      <c r="P193" s="17">
        <f>IF(OR($B193="",$O193=""),"",$O193-$A193)</f>
      </c>
    </row>
    <row r="194">
      <c r="A194" s="23"/>
      <c r="B194" s="20"/>
      <c r="C194" s="19">
        <f>IF($B194="","",IFERROR(VLOOKUP($B194,'Catálogo'!$A:$B,2,FALSE),"⚠ Código no existe"))</f>
      </c>
      <c r="D194" s="21"/>
      <c r="E194" s="22"/>
      <c r="F194" s="16">
        <f>IF($B194="","",$D194*$E194)</f>
      </c>
      <c r="G194" s="20"/>
      <c r="H194" s="20"/>
      <c r="I194" s="14">
        <f>IF(OR($B194="",$H194&lt;&gt;"Sí"),"",IF(DAY($A194)&lt;='Config'!$B$13,DATE(YEAR($A194),MONTH($A194),'Config'!$B$13),EOMONTH($A194,0)+'Config'!$B$13))</f>
      </c>
      <c r="J194" s="14">
        <f>IF($I194="","",DATE(YEAR(EOMONTH($I194,0)+1),MONTH(EOMONTH($I194,0)+1),'Config'!$B$14))</f>
      </c>
      <c r="K194" s="22"/>
      <c r="L194" s="16">
        <f>IF($B194="","",MAX($F194-$K194,0))</f>
      </c>
      <c r="M194" s="19">
        <f>IF($B194="","",IF($H194&lt;&gt;"Sí","Pagado (contado)",IF($L194&lt;=0,"Pagado",IF($K194&gt;0,"Abono parcial","Pendiente"))))</f>
      </c>
      <c r="N194" s="19">
        <f>IF(OR($B194="",$H194&lt;&gt;"Sí",$L194&lt;=0),"",IF(TODAY()&gt;$J194,"🔴 VENCIDO hace "&amp;(TODAY()-$J194)&amp;" día(s)",IF($J194-TODAY()&lt;='Config'!$B$15,"🟠 Faltan "&amp;($J194-TODAY())&amp;" día(s) para pagar","🟢 Al día (paga el "&amp;TEXT($J194,"dd/mm")&amp;")")))</f>
      </c>
      <c r="O194" s="23"/>
      <c r="P194" s="17">
        <f>IF(OR($B194="",$O194=""),"",$O194-$A194)</f>
      </c>
    </row>
    <row r="195">
      <c r="A195" s="23"/>
      <c r="B195" s="20"/>
      <c r="C195" s="19">
        <f>IF($B195="","",IFERROR(VLOOKUP($B195,'Catálogo'!$A:$B,2,FALSE),"⚠ Código no existe"))</f>
      </c>
      <c r="D195" s="21"/>
      <c r="E195" s="22"/>
      <c r="F195" s="16">
        <f>IF($B195="","",$D195*$E195)</f>
      </c>
      <c r="G195" s="20"/>
      <c r="H195" s="20"/>
      <c r="I195" s="14">
        <f>IF(OR($B195="",$H195&lt;&gt;"Sí"),"",IF(DAY($A195)&lt;='Config'!$B$13,DATE(YEAR($A195),MONTH($A195),'Config'!$B$13),EOMONTH($A195,0)+'Config'!$B$13))</f>
      </c>
      <c r="J195" s="14">
        <f>IF($I195="","",DATE(YEAR(EOMONTH($I195,0)+1),MONTH(EOMONTH($I195,0)+1),'Config'!$B$14))</f>
      </c>
      <c r="K195" s="22"/>
      <c r="L195" s="16">
        <f>IF($B195="","",MAX($F195-$K195,0))</f>
      </c>
      <c r="M195" s="19">
        <f>IF($B195="","",IF($H195&lt;&gt;"Sí","Pagado (contado)",IF($L195&lt;=0,"Pagado",IF($K195&gt;0,"Abono parcial","Pendiente"))))</f>
      </c>
      <c r="N195" s="19">
        <f>IF(OR($B195="",$H195&lt;&gt;"Sí",$L195&lt;=0),"",IF(TODAY()&gt;$J195,"🔴 VENCIDO hace "&amp;(TODAY()-$J195)&amp;" día(s)",IF($J195-TODAY()&lt;='Config'!$B$15,"🟠 Faltan "&amp;($J195-TODAY())&amp;" día(s) para pagar","🟢 Al día (paga el "&amp;TEXT($J195,"dd/mm")&amp;")")))</f>
      </c>
      <c r="O195" s="23"/>
      <c r="P195" s="17">
        <f>IF(OR($B195="",$O195=""),"",$O195-$A195)</f>
      </c>
    </row>
    <row r="196">
      <c r="A196" s="23"/>
      <c r="B196" s="20"/>
      <c r="C196" s="19">
        <f>IF($B196="","",IFERROR(VLOOKUP($B196,'Catálogo'!$A:$B,2,FALSE),"⚠ Código no existe"))</f>
      </c>
      <c r="D196" s="21"/>
      <c r="E196" s="22"/>
      <c r="F196" s="16">
        <f>IF($B196="","",$D196*$E196)</f>
      </c>
      <c r="G196" s="20"/>
      <c r="H196" s="20"/>
      <c r="I196" s="14">
        <f>IF(OR($B196="",$H196&lt;&gt;"Sí"),"",IF(DAY($A196)&lt;='Config'!$B$13,DATE(YEAR($A196),MONTH($A196),'Config'!$B$13),EOMONTH($A196,0)+'Config'!$B$13))</f>
      </c>
      <c r="J196" s="14">
        <f>IF($I196="","",DATE(YEAR(EOMONTH($I196,0)+1),MONTH(EOMONTH($I196,0)+1),'Config'!$B$14))</f>
      </c>
      <c r="K196" s="22"/>
      <c r="L196" s="16">
        <f>IF($B196="","",MAX($F196-$K196,0))</f>
      </c>
      <c r="M196" s="19">
        <f>IF($B196="","",IF($H196&lt;&gt;"Sí","Pagado (contado)",IF($L196&lt;=0,"Pagado",IF($K196&gt;0,"Abono parcial","Pendiente"))))</f>
      </c>
      <c r="N196" s="19">
        <f>IF(OR($B196="",$H196&lt;&gt;"Sí",$L196&lt;=0),"",IF(TODAY()&gt;$J196,"🔴 VENCIDO hace "&amp;(TODAY()-$J196)&amp;" día(s)",IF($J196-TODAY()&lt;='Config'!$B$15,"🟠 Faltan "&amp;($J196-TODAY())&amp;" día(s) para pagar","🟢 Al día (paga el "&amp;TEXT($J196,"dd/mm")&amp;")")))</f>
      </c>
      <c r="O196" s="23"/>
      <c r="P196" s="17">
        <f>IF(OR($B196="",$O196=""),"",$O196-$A196)</f>
      </c>
    </row>
    <row r="197">
      <c r="A197" s="23"/>
      <c r="B197" s="20"/>
      <c r="C197" s="19">
        <f>IF($B197="","",IFERROR(VLOOKUP($B197,'Catálogo'!$A:$B,2,FALSE),"⚠ Código no existe"))</f>
      </c>
      <c r="D197" s="21"/>
      <c r="E197" s="22"/>
      <c r="F197" s="16">
        <f>IF($B197="","",$D197*$E197)</f>
      </c>
      <c r="G197" s="20"/>
      <c r="H197" s="20"/>
      <c r="I197" s="14">
        <f>IF(OR($B197="",$H197&lt;&gt;"Sí"),"",IF(DAY($A197)&lt;='Config'!$B$13,DATE(YEAR($A197),MONTH($A197),'Config'!$B$13),EOMONTH($A197,0)+'Config'!$B$13))</f>
      </c>
      <c r="J197" s="14">
        <f>IF($I197="","",DATE(YEAR(EOMONTH($I197,0)+1),MONTH(EOMONTH($I197,0)+1),'Config'!$B$14))</f>
      </c>
      <c r="K197" s="22"/>
      <c r="L197" s="16">
        <f>IF($B197="","",MAX($F197-$K197,0))</f>
      </c>
      <c r="M197" s="19">
        <f>IF($B197="","",IF($H197&lt;&gt;"Sí","Pagado (contado)",IF($L197&lt;=0,"Pagado",IF($K197&gt;0,"Abono parcial","Pendiente"))))</f>
      </c>
      <c r="N197" s="19">
        <f>IF(OR($B197="",$H197&lt;&gt;"Sí",$L197&lt;=0),"",IF(TODAY()&gt;$J197,"🔴 VENCIDO hace "&amp;(TODAY()-$J197)&amp;" día(s)",IF($J197-TODAY()&lt;='Config'!$B$15,"🟠 Faltan "&amp;($J197-TODAY())&amp;" día(s) para pagar","🟢 Al día (paga el "&amp;TEXT($J197,"dd/mm")&amp;")")))</f>
      </c>
      <c r="O197" s="23"/>
      <c r="P197" s="17">
        <f>IF(OR($B197="",$O197=""),"",$O197-$A197)</f>
      </c>
    </row>
    <row r="198">
      <c r="A198" s="23"/>
      <c r="B198" s="20"/>
      <c r="C198" s="19">
        <f>IF($B198="","",IFERROR(VLOOKUP($B198,'Catálogo'!$A:$B,2,FALSE),"⚠ Código no existe"))</f>
      </c>
      <c r="D198" s="21"/>
      <c r="E198" s="22"/>
      <c r="F198" s="16">
        <f>IF($B198="","",$D198*$E198)</f>
      </c>
      <c r="G198" s="20"/>
      <c r="H198" s="20"/>
      <c r="I198" s="14">
        <f>IF(OR($B198="",$H198&lt;&gt;"Sí"),"",IF(DAY($A198)&lt;='Config'!$B$13,DATE(YEAR($A198),MONTH($A198),'Config'!$B$13),EOMONTH($A198,0)+'Config'!$B$13))</f>
      </c>
      <c r="J198" s="14">
        <f>IF($I198="","",DATE(YEAR(EOMONTH($I198,0)+1),MONTH(EOMONTH($I198,0)+1),'Config'!$B$14))</f>
      </c>
      <c r="K198" s="22"/>
      <c r="L198" s="16">
        <f>IF($B198="","",MAX($F198-$K198,0))</f>
      </c>
      <c r="M198" s="19">
        <f>IF($B198="","",IF($H198&lt;&gt;"Sí","Pagado (contado)",IF($L198&lt;=0,"Pagado",IF($K198&gt;0,"Abono parcial","Pendiente"))))</f>
      </c>
      <c r="N198" s="19">
        <f>IF(OR($B198="",$H198&lt;&gt;"Sí",$L198&lt;=0),"",IF(TODAY()&gt;$J198,"🔴 VENCIDO hace "&amp;(TODAY()-$J198)&amp;" día(s)",IF($J198-TODAY()&lt;='Config'!$B$15,"🟠 Faltan "&amp;($J198-TODAY())&amp;" día(s) para pagar","🟢 Al día (paga el "&amp;TEXT($J198,"dd/mm")&amp;")")))</f>
      </c>
      <c r="O198" s="23"/>
      <c r="P198" s="17">
        <f>IF(OR($B198="",$O198=""),"",$O198-$A198)</f>
      </c>
    </row>
    <row r="199">
      <c r="A199" s="23"/>
      <c r="B199" s="20"/>
      <c r="C199" s="19">
        <f>IF($B199="","",IFERROR(VLOOKUP($B199,'Catálogo'!$A:$B,2,FALSE),"⚠ Código no existe"))</f>
      </c>
      <c r="D199" s="21"/>
      <c r="E199" s="22"/>
      <c r="F199" s="16">
        <f>IF($B199="","",$D199*$E199)</f>
      </c>
      <c r="G199" s="20"/>
      <c r="H199" s="20"/>
      <c r="I199" s="14">
        <f>IF(OR($B199="",$H199&lt;&gt;"Sí"),"",IF(DAY($A199)&lt;='Config'!$B$13,DATE(YEAR($A199),MONTH($A199),'Config'!$B$13),EOMONTH($A199,0)+'Config'!$B$13))</f>
      </c>
      <c r="J199" s="14">
        <f>IF($I199="","",DATE(YEAR(EOMONTH($I199,0)+1),MONTH(EOMONTH($I199,0)+1),'Config'!$B$14))</f>
      </c>
      <c r="K199" s="22"/>
      <c r="L199" s="16">
        <f>IF($B199="","",MAX($F199-$K199,0))</f>
      </c>
      <c r="M199" s="19">
        <f>IF($B199="","",IF($H199&lt;&gt;"Sí","Pagado (contado)",IF($L199&lt;=0,"Pagado",IF($K199&gt;0,"Abono parcial","Pendiente"))))</f>
      </c>
      <c r="N199" s="19">
        <f>IF(OR($B199="",$H199&lt;&gt;"Sí",$L199&lt;=0),"",IF(TODAY()&gt;$J199,"🔴 VENCIDO hace "&amp;(TODAY()-$J199)&amp;" día(s)",IF($J199-TODAY()&lt;='Config'!$B$15,"🟠 Faltan "&amp;($J199-TODAY())&amp;" día(s) para pagar","🟢 Al día (paga el "&amp;TEXT($J199,"dd/mm")&amp;")")))</f>
      </c>
      <c r="O199" s="23"/>
      <c r="P199" s="17">
        <f>IF(OR($B199="",$O199=""),"",$O199-$A199)</f>
      </c>
    </row>
    <row r="200">
      <c r="A200" s="23"/>
      <c r="B200" s="20"/>
      <c r="C200" s="19">
        <f>IF($B200="","",IFERROR(VLOOKUP($B200,'Catálogo'!$A:$B,2,FALSE),"⚠ Código no existe"))</f>
      </c>
      <c r="D200" s="21"/>
      <c r="E200" s="22"/>
      <c r="F200" s="16">
        <f>IF($B200="","",$D200*$E200)</f>
      </c>
      <c r="G200" s="20"/>
      <c r="H200" s="20"/>
      <c r="I200" s="14">
        <f>IF(OR($B200="",$H200&lt;&gt;"Sí"),"",IF(DAY($A200)&lt;='Config'!$B$13,DATE(YEAR($A200),MONTH($A200),'Config'!$B$13),EOMONTH($A200,0)+'Config'!$B$13))</f>
      </c>
      <c r="J200" s="14">
        <f>IF($I200="","",DATE(YEAR(EOMONTH($I200,0)+1),MONTH(EOMONTH($I200,0)+1),'Config'!$B$14))</f>
      </c>
      <c r="K200" s="22"/>
      <c r="L200" s="16">
        <f>IF($B200="","",MAX($F200-$K200,0))</f>
      </c>
      <c r="M200" s="19">
        <f>IF($B200="","",IF($H200&lt;&gt;"Sí","Pagado (contado)",IF($L200&lt;=0,"Pagado",IF($K200&gt;0,"Abono parcial","Pendiente"))))</f>
      </c>
      <c r="N200" s="19">
        <f>IF(OR($B200="",$H200&lt;&gt;"Sí",$L200&lt;=0),"",IF(TODAY()&gt;$J200,"🔴 VENCIDO hace "&amp;(TODAY()-$J200)&amp;" día(s)",IF($J200-TODAY()&lt;='Config'!$B$15,"🟠 Faltan "&amp;($J200-TODAY())&amp;" día(s) para pagar","🟢 Al día (paga el "&amp;TEXT($J200,"dd/mm")&amp;")")))</f>
      </c>
      <c r="O200" s="23"/>
      <c r="P200" s="17">
        <f>IF(OR($B200="",$O200=""),"",$O200-$A200)</f>
      </c>
    </row>
    <row r="201">
      <c r="A201" s="23"/>
      <c r="B201" s="20"/>
      <c r="C201" s="19">
        <f>IF($B201="","",IFERROR(VLOOKUP($B201,'Catálogo'!$A:$B,2,FALSE),"⚠ Código no existe"))</f>
      </c>
      <c r="D201" s="21"/>
      <c r="E201" s="22"/>
      <c r="F201" s="16">
        <f>IF($B201="","",$D201*$E201)</f>
      </c>
      <c r="G201" s="20"/>
      <c r="H201" s="20"/>
      <c r="I201" s="14">
        <f>IF(OR($B201="",$H201&lt;&gt;"Sí"),"",IF(DAY($A201)&lt;='Config'!$B$13,DATE(YEAR($A201),MONTH($A201),'Config'!$B$13),EOMONTH($A201,0)+'Config'!$B$13))</f>
      </c>
      <c r="J201" s="14">
        <f>IF($I201="","",DATE(YEAR(EOMONTH($I201,0)+1),MONTH(EOMONTH($I201,0)+1),'Config'!$B$14))</f>
      </c>
      <c r="K201" s="22"/>
      <c r="L201" s="16">
        <f>IF($B201="","",MAX($F201-$K201,0))</f>
      </c>
      <c r="M201" s="19">
        <f>IF($B201="","",IF($H201&lt;&gt;"Sí","Pagado (contado)",IF($L201&lt;=0,"Pagado",IF($K201&gt;0,"Abono parcial","Pendiente"))))</f>
      </c>
      <c r="N201" s="19">
        <f>IF(OR($B201="",$H201&lt;&gt;"Sí",$L201&lt;=0),"",IF(TODAY()&gt;$J201,"🔴 VENCIDO hace "&amp;(TODAY()-$J201)&amp;" día(s)",IF($J201-TODAY()&lt;='Config'!$B$15,"🟠 Faltan "&amp;($J201-TODAY())&amp;" día(s) para pagar","🟢 Al día (paga el "&amp;TEXT($J201,"dd/mm")&amp;")")))</f>
      </c>
      <c r="O201" s="23"/>
      <c r="P201" s="17">
        <f>IF(OR($B201="",$O201=""),"",$O201-$A201)</f>
      </c>
    </row>
    <row r="202">
      <c r="A202" s="23"/>
      <c r="B202" s="20"/>
      <c r="C202" s="19">
        <f>IF($B202="","",IFERROR(VLOOKUP($B202,'Catálogo'!$A:$B,2,FALSE),"⚠ Código no existe"))</f>
      </c>
      <c r="D202" s="21"/>
      <c r="E202" s="22"/>
      <c r="F202" s="16">
        <f>IF($B202="","",$D202*$E202)</f>
      </c>
      <c r="G202" s="20"/>
      <c r="H202" s="20"/>
      <c r="I202" s="14">
        <f>IF(OR($B202="",$H202&lt;&gt;"Sí"),"",IF(DAY($A202)&lt;='Config'!$B$13,DATE(YEAR($A202),MONTH($A202),'Config'!$B$13),EOMONTH($A202,0)+'Config'!$B$13))</f>
      </c>
      <c r="J202" s="14">
        <f>IF($I202="","",DATE(YEAR(EOMONTH($I202,0)+1),MONTH(EOMONTH($I202,0)+1),'Config'!$B$14))</f>
      </c>
      <c r="K202" s="22"/>
      <c r="L202" s="16">
        <f>IF($B202="","",MAX($F202-$K202,0))</f>
      </c>
      <c r="M202" s="19">
        <f>IF($B202="","",IF($H202&lt;&gt;"Sí","Pagado (contado)",IF($L202&lt;=0,"Pagado",IF($K202&gt;0,"Abono parcial","Pendiente"))))</f>
      </c>
      <c r="N202" s="19">
        <f>IF(OR($B202="",$H202&lt;&gt;"Sí",$L202&lt;=0),"",IF(TODAY()&gt;$J202,"🔴 VENCIDO hace "&amp;(TODAY()-$J202)&amp;" día(s)",IF($J202-TODAY()&lt;='Config'!$B$15,"🟠 Faltan "&amp;($J202-TODAY())&amp;" día(s) para pagar","🟢 Al día (paga el "&amp;TEXT($J202,"dd/mm")&amp;")")))</f>
      </c>
      <c r="O202" s="23"/>
      <c r="P202" s="17">
        <f>IF(OR($B202="",$O202=""),"",$O202-$A202)</f>
      </c>
    </row>
    <row r="203">
      <c r="A203" s="23"/>
      <c r="B203" s="20"/>
      <c r="C203" s="19">
        <f>IF($B203="","",IFERROR(VLOOKUP($B203,'Catálogo'!$A:$B,2,FALSE),"⚠ Código no existe"))</f>
      </c>
      <c r="D203" s="21"/>
      <c r="E203" s="22"/>
      <c r="F203" s="16">
        <f>IF($B203="","",$D203*$E203)</f>
      </c>
      <c r="G203" s="20"/>
      <c r="H203" s="20"/>
      <c r="I203" s="14">
        <f>IF(OR($B203="",$H203&lt;&gt;"Sí"),"",IF(DAY($A203)&lt;='Config'!$B$13,DATE(YEAR($A203),MONTH($A203),'Config'!$B$13),EOMONTH($A203,0)+'Config'!$B$13))</f>
      </c>
      <c r="J203" s="14">
        <f>IF($I203="","",DATE(YEAR(EOMONTH($I203,0)+1),MONTH(EOMONTH($I203,0)+1),'Config'!$B$14))</f>
      </c>
      <c r="K203" s="22"/>
      <c r="L203" s="16">
        <f>IF($B203="","",MAX($F203-$K203,0))</f>
      </c>
      <c r="M203" s="19">
        <f>IF($B203="","",IF($H203&lt;&gt;"Sí","Pagado (contado)",IF($L203&lt;=0,"Pagado",IF($K203&gt;0,"Abono parcial","Pendiente"))))</f>
      </c>
      <c r="N203" s="19">
        <f>IF(OR($B203="",$H203&lt;&gt;"Sí",$L203&lt;=0),"",IF(TODAY()&gt;$J203,"🔴 VENCIDO hace "&amp;(TODAY()-$J203)&amp;" día(s)",IF($J203-TODAY()&lt;='Config'!$B$15,"🟠 Faltan "&amp;($J203-TODAY())&amp;" día(s) para pagar","🟢 Al día (paga el "&amp;TEXT($J203,"dd/mm")&amp;")")))</f>
      </c>
      <c r="O203" s="23"/>
      <c r="P203" s="17">
        <f>IF(OR($B203="",$O203=""),"",$O203-$A203)</f>
      </c>
    </row>
    <row r="204">
      <c r="A204" s="23"/>
      <c r="B204" s="20"/>
      <c r="C204" s="19">
        <f>IF($B204="","",IFERROR(VLOOKUP($B204,'Catálogo'!$A:$B,2,FALSE),"⚠ Código no existe"))</f>
      </c>
      <c r="D204" s="21"/>
      <c r="E204" s="22"/>
      <c r="F204" s="16">
        <f>IF($B204="","",$D204*$E204)</f>
      </c>
      <c r="G204" s="20"/>
      <c r="H204" s="20"/>
      <c r="I204" s="14">
        <f>IF(OR($B204="",$H204&lt;&gt;"Sí"),"",IF(DAY($A204)&lt;='Config'!$B$13,DATE(YEAR($A204),MONTH($A204),'Config'!$B$13),EOMONTH($A204,0)+'Config'!$B$13))</f>
      </c>
      <c r="J204" s="14">
        <f>IF($I204="","",DATE(YEAR(EOMONTH($I204,0)+1),MONTH(EOMONTH($I204,0)+1),'Config'!$B$14))</f>
      </c>
      <c r="K204" s="22"/>
      <c r="L204" s="16">
        <f>IF($B204="","",MAX($F204-$K204,0))</f>
      </c>
      <c r="M204" s="19">
        <f>IF($B204="","",IF($H204&lt;&gt;"Sí","Pagado (contado)",IF($L204&lt;=0,"Pagado",IF($K204&gt;0,"Abono parcial","Pendiente"))))</f>
      </c>
      <c r="N204" s="19">
        <f>IF(OR($B204="",$H204&lt;&gt;"Sí",$L204&lt;=0),"",IF(TODAY()&gt;$J204,"🔴 VENCIDO hace "&amp;(TODAY()-$J204)&amp;" día(s)",IF($J204-TODAY()&lt;='Config'!$B$15,"🟠 Faltan "&amp;($J204-TODAY())&amp;" día(s) para pagar","🟢 Al día (paga el "&amp;TEXT($J204,"dd/mm")&amp;")")))</f>
      </c>
      <c r="O204" s="23"/>
      <c r="P204" s="17">
        <f>IF(OR($B204="",$O204=""),"",$O204-$A204)</f>
      </c>
    </row>
    <row r="205">
      <c r="A205" s="23"/>
      <c r="B205" s="20"/>
      <c r="C205" s="19">
        <f>IF($B205="","",IFERROR(VLOOKUP($B205,'Catálogo'!$A:$B,2,FALSE),"⚠ Código no existe"))</f>
      </c>
      <c r="D205" s="21"/>
      <c r="E205" s="22"/>
      <c r="F205" s="16">
        <f>IF($B205="","",$D205*$E205)</f>
      </c>
      <c r="G205" s="20"/>
      <c r="H205" s="20"/>
      <c r="I205" s="14">
        <f>IF(OR($B205="",$H205&lt;&gt;"Sí"),"",IF(DAY($A205)&lt;='Config'!$B$13,DATE(YEAR($A205),MONTH($A205),'Config'!$B$13),EOMONTH($A205,0)+'Config'!$B$13))</f>
      </c>
      <c r="J205" s="14">
        <f>IF($I205="","",DATE(YEAR(EOMONTH($I205,0)+1),MONTH(EOMONTH($I205,0)+1),'Config'!$B$14))</f>
      </c>
      <c r="K205" s="22"/>
      <c r="L205" s="16">
        <f>IF($B205="","",MAX($F205-$K205,0))</f>
      </c>
      <c r="M205" s="19">
        <f>IF($B205="","",IF($H205&lt;&gt;"Sí","Pagado (contado)",IF($L205&lt;=0,"Pagado",IF($K205&gt;0,"Abono parcial","Pendiente"))))</f>
      </c>
      <c r="N205" s="19">
        <f>IF(OR($B205="",$H205&lt;&gt;"Sí",$L205&lt;=0),"",IF(TODAY()&gt;$J205,"🔴 VENCIDO hace "&amp;(TODAY()-$J205)&amp;" día(s)",IF($J205-TODAY()&lt;='Config'!$B$15,"🟠 Faltan "&amp;($J205-TODAY())&amp;" día(s) para pagar","🟢 Al día (paga el "&amp;TEXT($J205,"dd/mm")&amp;")")))</f>
      </c>
      <c r="O205" s="23"/>
      <c r="P205" s="17">
        <f>IF(OR($B205="",$O205=""),"",$O205-$A205)</f>
      </c>
    </row>
    <row r="206">
      <c r="A206" s="23"/>
      <c r="B206" s="20"/>
      <c r="C206" s="19">
        <f>IF($B206="","",IFERROR(VLOOKUP($B206,'Catálogo'!$A:$B,2,FALSE),"⚠ Código no existe"))</f>
      </c>
      <c r="D206" s="21"/>
      <c r="E206" s="22"/>
      <c r="F206" s="16">
        <f>IF($B206="","",$D206*$E206)</f>
      </c>
      <c r="G206" s="20"/>
      <c r="H206" s="20"/>
      <c r="I206" s="14">
        <f>IF(OR($B206="",$H206&lt;&gt;"Sí"),"",IF(DAY($A206)&lt;='Config'!$B$13,DATE(YEAR($A206),MONTH($A206),'Config'!$B$13),EOMONTH($A206,0)+'Config'!$B$13))</f>
      </c>
      <c r="J206" s="14">
        <f>IF($I206="","",DATE(YEAR(EOMONTH($I206,0)+1),MONTH(EOMONTH($I206,0)+1),'Config'!$B$14))</f>
      </c>
      <c r="K206" s="22"/>
      <c r="L206" s="16">
        <f>IF($B206="","",MAX($F206-$K206,0))</f>
      </c>
      <c r="M206" s="19">
        <f>IF($B206="","",IF($H206&lt;&gt;"Sí","Pagado (contado)",IF($L206&lt;=0,"Pagado",IF($K206&gt;0,"Abono parcial","Pendiente"))))</f>
      </c>
      <c r="N206" s="19">
        <f>IF(OR($B206="",$H206&lt;&gt;"Sí",$L206&lt;=0),"",IF(TODAY()&gt;$J206,"🔴 VENCIDO hace "&amp;(TODAY()-$J206)&amp;" día(s)",IF($J206-TODAY()&lt;='Config'!$B$15,"🟠 Faltan "&amp;($J206-TODAY())&amp;" día(s) para pagar","🟢 Al día (paga el "&amp;TEXT($J206,"dd/mm")&amp;")")))</f>
      </c>
      <c r="O206" s="23"/>
      <c r="P206" s="17">
        <f>IF(OR($B206="",$O206=""),"",$O206-$A206)</f>
      </c>
    </row>
    <row r="207">
      <c r="A207" s="23"/>
      <c r="B207" s="20"/>
      <c r="C207" s="19">
        <f>IF($B207="","",IFERROR(VLOOKUP($B207,'Catálogo'!$A:$B,2,FALSE),"⚠ Código no existe"))</f>
      </c>
      <c r="D207" s="21"/>
      <c r="E207" s="22"/>
      <c r="F207" s="16">
        <f>IF($B207="","",$D207*$E207)</f>
      </c>
      <c r="G207" s="20"/>
      <c r="H207" s="20"/>
      <c r="I207" s="14">
        <f>IF(OR($B207="",$H207&lt;&gt;"Sí"),"",IF(DAY($A207)&lt;='Config'!$B$13,DATE(YEAR($A207),MONTH($A207),'Config'!$B$13),EOMONTH($A207,0)+'Config'!$B$13))</f>
      </c>
      <c r="J207" s="14">
        <f>IF($I207="","",DATE(YEAR(EOMONTH($I207,0)+1),MONTH(EOMONTH($I207,0)+1),'Config'!$B$14))</f>
      </c>
      <c r="K207" s="22"/>
      <c r="L207" s="16">
        <f>IF($B207="","",MAX($F207-$K207,0))</f>
      </c>
      <c r="M207" s="19">
        <f>IF($B207="","",IF($H207&lt;&gt;"Sí","Pagado (contado)",IF($L207&lt;=0,"Pagado",IF($K207&gt;0,"Abono parcial","Pendiente"))))</f>
      </c>
      <c r="N207" s="19">
        <f>IF(OR($B207="",$H207&lt;&gt;"Sí",$L207&lt;=0),"",IF(TODAY()&gt;$J207,"🔴 VENCIDO hace "&amp;(TODAY()-$J207)&amp;" día(s)",IF($J207-TODAY()&lt;='Config'!$B$15,"🟠 Faltan "&amp;($J207-TODAY())&amp;" día(s) para pagar","🟢 Al día (paga el "&amp;TEXT($J207,"dd/mm")&amp;")")))</f>
      </c>
      <c r="O207" s="23"/>
      <c r="P207" s="17">
        <f>IF(OR($B207="",$O207=""),"",$O207-$A207)</f>
      </c>
    </row>
    <row r="208">
      <c r="A208" s="23"/>
      <c r="B208" s="20"/>
      <c r="C208" s="19">
        <f>IF($B208="","",IFERROR(VLOOKUP($B208,'Catálogo'!$A:$B,2,FALSE),"⚠ Código no existe"))</f>
      </c>
      <c r="D208" s="21"/>
      <c r="E208" s="22"/>
      <c r="F208" s="16">
        <f>IF($B208="","",$D208*$E208)</f>
      </c>
      <c r="G208" s="20"/>
      <c r="H208" s="20"/>
      <c r="I208" s="14">
        <f>IF(OR($B208="",$H208&lt;&gt;"Sí"),"",IF(DAY($A208)&lt;='Config'!$B$13,DATE(YEAR($A208),MONTH($A208),'Config'!$B$13),EOMONTH($A208,0)+'Config'!$B$13))</f>
      </c>
      <c r="J208" s="14">
        <f>IF($I208="","",DATE(YEAR(EOMONTH($I208,0)+1),MONTH(EOMONTH($I208,0)+1),'Config'!$B$14))</f>
      </c>
      <c r="K208" s="22"/>
      <c r="L208" s="16">
        <f>IF($B208="","",MAX($F208-$K208,0))</f>
      </c>
      <c r="M208" s="19">
        <f>IF($B208="","",IF($H208&lt;&gt;"Sí","Pagado (contado)",IF($L208&lt;=0,"Pagado",IF($K208&gt;0,"Abono parcial","Pendiente"))))</f>
      </c>
      <c r="N208" s="19">
        <f>IF(OR($B208="",$H208&lt;&gt;"Sí",$L208&lt;=0),"",IF(TODAY()&gt;$J208,"🔴 VENCIDO hace "&amp;(TODAY()-$J208)&amp;" día(s)",IF($J208-TODAY()&lt;='Config'!$B$15,"🟠 Faltan "&amp;($J208-TODAY())&amp;" día(s) para pagar","🟢 Al día (paga el "&amp;TEXT($J208,"dd/mm")&amp;")")))</f>
      </c>
      <c r="O208" s="23"/>
      <c r="P208" s="17">
        <f>IF(OR($B208="",$O208=""),"",$O208-$A208)</f>
      </c>
    </row>
    <row r="209">
      <c r="A209" s="23"/>
      <c r="B209" s="20"/>
      <c r="C209" s="19">
        <f>IF($B209="","",IFERROR(VLOOKUP($B209,'Catálogo'!$A:$B,2,FALSE),"⚠ Código no existe"))</f>
      </c>
      <c r="D209" s="21"/>
      <c r="E209" s="22"/>
      <c r="F209" s="16">
        <f>IF($B209="","",$D209*$E209)</f>
      </c>
      <c r="G209" s="20"/>
      <c r="H209" s="20"/>
      <c r="I209" s="14">
        <f>IF(OR($B209="",$H209&lt;&gt;"Sí"),"",IF(DAY($A209)&lt;='Config'!$B$13,DATE(YEAR($A209),MONTH($A209),'Config'!$B$13),EOMONTH($A209,0)+'Config'!$B$13))</f>
      </c>
      <c r="J209" s="14">
        <f>IF($I209="","",DATE(YEAR(EOMONTH($I209,0)+1),MONTH(EOMONTH($I209,0)+1),'Config'!$B$14))</f>
      </c>
      <c r="K209" s="22"/>
      <c r="L209" s="16">
        <f>IF($B209="","",MAX($F209-$K209,0))</f>
      </c>
      <c r="M209" s="19">
        <f>IF($B209="","",IF($H209&lt;&gt;"Sí","Pagado (contado)",IF($L209&lt;=0,"Pagado",IF($K209&gt;0,"Abono parcial","Pendiente"))))</f>
      </c>
      <c r="N209" s="19">
        <f>IF(OR($B209="",$H209&lt;&gt;"Sí",$L209&lt;=0),"",IF(TODAY()&gt;$J209,"🔴 VENCIDO hace "&amp;(TODAY()-$J209)&amp;" día(s)",IF($J209-TODAY()&lt;='Config'!$B$15,"🟠 Faltan "&amp;($J209-TODAY())&amp;" día(s) para pagar","🟢 Al día (paga el "&amp;TEXT($J209,"dd/mm")&amp;")")))</f>
      </c>
      <c r="O209" s="23"/>
      <c r="P209" s="17">
        <f>IF(OR($B209="",$O209=""),"",$O209-$A209)</f>
      </c>
    </row>
    <row r="210">
      <c r="A210" s="23"/>
      <c r="B210" s="20"/>
      <c r="C210" s="19">
        <f>IF($B210="","",IFERROR(VLOOKUP($B210,'Catálogo'!$A:$B,2,FALSE),"⚠ Código no existe"))</f>
      </c>
      <c r="D210" s="21"/>
      <c r="E210" s="22"/>
      <c r="F210" s="16">
        <f>IF($B210="","",$D210*$E210)</f>
      </c>
      <c r="G210" s="20"/>
      <c r="H210" s="20"/>
      <c r="I210" s="14">
        <f>IF(OR($B210="",$H210&lt;&gt;"Sí"),"",IF(DAY($A210)&lt;='Config'!$B$13,DATE(YEAR($A210),MONTH($A210),'Config'!$B$13),EOMONTH($A210,0)+'Config'!$B$13))</f>
      </c>
      <c r="J210" s="14">
        <f>IF($I210="","",DATE(YEAR(EOMONTH($I210,0)+1),MONTH(EOMONTH($I210,0)+1),'Config'!$B$14))</f>
      </c>
      <c r="K210" s="22"/>
      <c r="L210" s="16">
        <f>IF($B210="","",MAX($F210-$K210,0))</f>
      </c>
      <c r="M210" s="19">
        <f>IF($B210="","",IF($H210&lt;&gt;"Sí","Pagado (contado)",IF($L210&lt;=0,"Pagado",IF($K210&gt;0,"Abono parcial","Pendiente"))))</f>
      </c>
      <c r="N210" s="19">
        <f>IF(OR($B210="",$H210&lt;&gt;"Sí",$L210&lt;=0),"",IF(TODAY()&gt;$J210,"🔴 VENCIDO hace "&amp;(TODAY()-$J210)&amp;" día(s)",IF($J210-TODAY()&lt;='Config'!$B$15,"🟠 Faltan "&amp;($J210-TODAY())&amp;" día(s) para pagar","🟢 Al día (paga el "&amp;TEXT($J210,"dd/mm")&amp;")")))</f>
      </c>
      <c r="O210" s="23"/>
      <c r="P210" s="17">
        <f>IF(OR($B210="",$O210=""),"",$O210-$A210)</f>
      </c>
    </row>
    <row r="211">
      <c r="A211" s="23"/>
      <c r="B211" s="20"/>
      <c r="C211" s="19">
        <f>IF($B211="","",IFERROR(VLOOKUP($B211,'Catálogo'!$A:$B,2,FALSE),"⚠ Código no existe"))</f>
      </c>
      <c r="D211" s="21"/>
      <c r="E211" s="22"/>
      <c r="F211" s="16">
        <f>IF($B211="","",$D211*$E211)</f>
      </c>
      <c r="G211" s="20"/>
      <c r="H211" s="20"/>
      <c r="I211" s="14">
        <f>IF(OR($B211="",$H211&lt;&gt;"Sí"),"",IF(DAY($A211)&lt;='Config'!$B$13,DATE(YEAR($A211),MONTH($A211),'Config'!$B$13),EOMONTH($A211,0)+'Config'!$B$13))</f>
      </c>
      <c r="J211" s="14">
        <f>IF($I211="","",DATE(YEAR(EOMONTH($I211,0)+1),MONTH(EOMONTH($I211,0)+1),'Config'!$B$14))</f>
      </c>
      <c r="K211" s="22"/>
      <c r="L211" s="16">
        <f>IF($B211="","",MAX($F211-$K211,0))</f>
      </c>
      <c r="M211" s="19">
        <f>IF($B211="","",IF($H211&lt;&gt;"Sí","Pagado (contado)",IF($L211&lt;=0,"Pagado",IF($K211&gt;0,"Abono parcial","Pendiente"))))</f>
      </c>
      <c r="N211" s="19">
        <f>IF(OR($B211="",$H211&lt;&gt;"Sí",$L211&lt;=0),"",IF(TODAY()&gt;$J211,"🔴 VENCIDO hace "&amp;(TODAY()-$J211)&amp;" día(s)",IF($J211-TODAY()&lt;='Config'!$B$15,"🟠 Faltan "&amp;($J211-TODAY())&amp;" día(s) para pagar","🟢 Al día (paga el "&amp;TEXT($J211,"dd/mm")&amp;")")))</f>
      </c>
      <c r="O211" s="23"/>
      <c r="P211" s="17">
        <f>IF(OR($B211="",$O211=""),"",$O211-$A211)</f>
      </c>
    </row>
    <row r="212">
      <c r="A212" s="23"/>
      <c r="B212" s="20"/>
      <c r="C212" s="19">
        <f>IF($B212="","",IFERROR(VLOOKUP($B212,'Catálogo'!$A:$B,2,FALSE),"⚠ Código no existe"))</f>
      </c>
      <c r="D212" s="21"/>
      <c r="E212" s="22"/>
      <c r="F212" s="16">
        <f>IF($B212="","",$D212*$E212)</f>
      </c>
      <c r="G212" s="20"/>
      <c r="H212" s="20"/>
      <c r="I212" s="14">
        <f>IF(OR($B212="",$H212&lt;&gt;"Sí"),"",IF(DAY($A212)&lt;='Config'!$B$13,DATE(YEAR($A212),MONTH($A212),'Config'!$B$13),EOMONTH($A212,0)+'Config'!$B$13))</f>
      </c>
      <c r="J212" s="14">
        <f>IF($I212="","",DATE(YEAR(EOMONTH($I212,0)+1),MONTH(EOMONTH($I212,0)+1),'Config'!$B$14))</f>
      </c>
      <c r="K212" s="22"/>
      <c r="L212" s="16">
        <f>IF($B212="","",MAX($F212-$K212,0))</f>
      </c>
      <c r="M212" s="19">
        <f>IF($B212="","",IF($H212&lt;&gt;"Sí","Pagado (contado)",IF($L212&lt;=0,"Pagado",IF($K212&gt;0,"Abono parcial","Pendiente"))))</f>
      </c>
      <c r="N212" s="19">
        <f>IF(OR($B212="",$H212&lt;&gt;"Sí",$L212&lt;=0),"",IF(TODAY()&gt;$J212,"🔴 VENCIDO hace "&amp;(TODAY()-$J212)&amp;" día(s)",IF($J212-TODAY()&lt;='Config'!$B$15,"🟠 Faltan "&amp;($J212-TODAY())&amp;" día(s) para pagar","🟢 Al día (paga el "&amp;TEXT($J212,"dd/mm")&amp;")")))</f>
      </c>
      <c r="O212" s="23"/>
      <c r="P212" s="17">
        <f>IF(OR($B212="",$O212=""),"",$O212-$A212)</f>
      </c>
    </row>
    <row r="213">
      <c r="A213" s="23"/>
      <c r="B213" s="20"/>
      <c r="C213" s="19">
        <f>IF($B213="","",IFERROR(VLOOKUP($B213,'Catálogo'!$A:$B,2,FALSE),"⚠ Código no existe"))</f>
      </c>
      <c r="D213" s="21"/>
      <c r="E213" s="22"/>
      <c r="F213" s="16">
        <f>IF($B213="","",$D213*$E213)</f>
      </c>
      <c r="G213" s="20"/>
      <c r="H213" s="20"/>
      <c r="I213" s="14">
        <f>IF(OR($B213="",$H213&lt;&gt;"Sí"),"",IF(DAY($A213)&lt;='Config'!$B$13,DATE(YEAR($A213),MONTH($A213),'Config'!$B$13),EOMONTH($A213,0)+'Config'!$B$13))</f>
      </c>
      <c r="J213" s="14">
        <f>IF($I213="","",DATE(YEAR(EOMONTH($I213,0)+1),MONTH(EOMONTH($I213,0)+1),'Config'!$B$14))</f>
      </c>
      <c r="K213" s="22"/>
      <c r="L213" s="16">
        <f>IF($B213="","",MAX($F213-$K213,0))</f>
      </c>
      <c r="M213" s="19">
        <f>IF($B213="","",IF($H213&lt;&gt;"Sí","Pagado (contado)",IF($L213&lt;=0,"Pagado",IF($K213&gt;0,"Abono parcial","Pendiente"))))</f>
      </c>
      <c r="N213" s="19">
        <f>IF(OR($B213="",$H213&lt;&gt;"Sí",$L213&lt;=0),"",IF(TODAY()&gt;$J213,"🔴 VENCIDO hace "&amp;(TODAY()-$J213)&amp;" día(s)",IF($J213-TODAY()&lt;='Config'!$B$15,"🟠 Faltan "&amp;($J213-TODAY())&amp;" día(s) para pagar","🟢 Al día (paga el "&amp;TEXT($J213,"dd/mm")&amp;")")))</f>
      </c>
      <c r="O213" s="23"/>
      <c r="P213" s="17">
        <f>IF(OR($B213="",$O213=""),"",$O213-$A213)</f>
      </c>
    </row>
    <row r="214">
      <c r="A214" s="23"/>
      <c r="B214" s="20"/>
      <c r="C214" s="19">
        <f>IF($B214="","",IFERROR(VLOOKUP($B214,'Catálogo'!$A:$B,2,FALSE),"⚠ Código no existe"))</f>
      </c>
      <c r="D214" s="21"/>
      <c r="E214" s="22"/>
      <c r="F214" s="16">
        <f>IF($B214="","",$D214*$E214)</f>
      </c>
      <c r="G214" s="20"/>
      <c r="H214" s="20"/>
      <c r="I214" s="14">
        <f>IF(OR($B214="",$H214&lt;&gt;"Sí"),"",IF(DAY($A214)&lt;='Config'!$B$13,DATE(YEAR($A214),MONTH($A214),'Config'!$B$13),EOMONTH($A214,0)+'Config'!$B$13))</f>
      </c>
      <c r="J214" s="14">
        <f>IF($I214="","",DATE(YEAR(EOMONTH($I214,0)+1),MONTH(EOMONTH($I214,0)+1),'Config'!$B$14))</f>
      </c>
      <c r="K214" s="22"/>
      <c r="L214" s="16">
        <f>IF($B214="","",MAX($F214-$K214,0))</f>
      </c>
      <c r="M214" s="19">
        <f>IF($B214="","",IF($H214&lt;&gt;"Sí","Pagado (contado)",IF($L214&lt;=0,"Pagado",IF($K214&gt;0,"Abono parcial","Pendiente"))))</f>
      </c>
      <c r="N214" s="19">
        <f>IF(OR($B214="",$H214&lt;&gt;"Sí",$L214&lt;=0),"",IF(TODAY()&gt;$J214,"🔴 VENCIDO hace "&amp;(TODAY()-$J214)&amp;" día(s)",IF($J214-TODAY()&lt;='Config'!$B$15,"🟠 Faltan "&amp;($J214-TODAY())&amp;" día(s) para pagar","🟢 Al día (paga el "&amp;TEXT($J214,"dd/mm")&amp;")")))</f>
      </c>
      <c r="O214" s="23"/>
      <c r="P214" s="17">
        <f>IF(OR($B214="",$O214=""),"",$O214-$A214)</f>
      </c>
    </row>
    <row r="215">
      <c r="A215" s="23"/>
      <c r="B215" s="20"/>
      <c r="C215" s="19">
        <f>IF($B215="","",IFERROR(VLOOKUP($B215,'Catálogo'!$A:$B,2,FALSE),"⚠ Código no existe"))</f>
      </c>
      <c r="D215" s="21"/>
      <c r="E215" s="22"/>
      <c r="F215" s="16">
        <f>IF($B215="","",$D215*$E215)</f>
      </c>
      <c r="G215" s="20"/>
      <c r="H215" s="20"/>
      <c r="I215" s="14">
        <f>IF(OR($B215="",$H215&lt;&gt;"Sí"),"",IF(DAY($A215)&lt;='Config'!$B$13,DATE(YEAR($A215),MONTH($A215),'Config'!$B$13),EOMONTH($A215,0)+'Config'!$B$13))</f>
      </c>
      <c r="J215" s="14">
        <f>IF($I215="","",DATE(YEAR(EOMONTH($I215,0)+1),MONTH(EOMONTH($I215,0)+1),'Config'!$B$14))</f>
      </c>
      <c r="K215" s="22"/>
      <c r="L215" s="16">
        <f>IF($B215="","",MAX($F215-$K215,0))</f>
      </c>
      <c r="M215" s="19">
        <f>IF($B215="","",IF($H215&lt;&gt;"Sí","Pagado (contado)",IF($L215&lt;=0,"Pagado",IF($K215&gt;0,"Abono parcial","Pendiente"))))</f>
      </c>
      <c r="N215" s="19">
        <f>IF(OR($B215="",$H215&lt;&gt;"Sí",$L215&lt;=0),"",IF(TODAY()&gt;$J215,"🔴 VENCIDO hace "&amp;(TODAY()-$J215)&amp;" día(s)",IF($J215-TODAY()&lt;='Config'!$B$15,"🟠 Faltan "&amp;($J215-TODAY())&amp;" día(s) para pagar","🟢 Al día (paga el "&amp;TEXT($J215,"dd/mm")&amp;")")))</f>
      </c>
      <c r="O215" s="23"/>
      <c r="P215" s="17">
        <f>IF(OR($B215="",$O215=""),"",$O215-$A215)</f>
      </c>
    </row>
    <row r="216">
      <c r="A216" s="23"/>
      <c r="B216" s="20"/>
      <c r="C216" s="19">
        <f>IF($B216="","",IFERROR(VLOOKUP($B216,'Catálogo'!$A:$B,2,FALSE),"⚠ Código no existe"))</f>
      </c>
      <c r="D216" s="21"/>
      <c r="E216" s="22"/>
      <c r="F216" s="16">
        <f>IF($B216="","",$D216*$E216)</f>
      </c>
      <c r="G216" s="20"/>
      <c r="H216" s="20"/>
      <c r="I216" s="14">
        <f>IF(OR($B216="",$H216&lt;&gt;"Sí"),"",IF(DAY($A216)&lt;='Config'!$B$13,DATE(YEAR($A216),MONTH($A216),'Config'!$B$13),EOMONTH($A216,0)+'Config'!$B$13))</f>
      </c>
      <c r="J216" s="14">
        <f>IF($I216="","",DATE(YEAR(EOMONTH($I216,0)+1),MONTH(EOMONTH($I216,0)+1),'Config'!$B$14))</f>
      </c>
      <c r="K216" s="22"/>
      <c r="L216" s="16">
        <f>IF($B216="","",MAX($F216-$K216,0))</f>
      </c>
      <c r="M216" s="19">
        <f>IF($B216="","",IF($H216&lt;&gt;"Sí","Pagado (contado)",IF($L216&lt;=0,"Pagado",IF($K216&gt;0,"Abono parcial","Pendiente"))))</f>
      </c>
      <c r="N216" s="19">
        <f>IF(OR($B216="",$H216&lt;&gt;"Sí",$L216&lt;=0),"",IF(TODAY()&gt;$J216,"🔴 VENCIDO hace "&amp;(TODAY()-$J216)&amp;" día(s)",IF($J216-TODAY()&lt;='Config'!$B$15,"🟠 Faltan "&amp;($J216-TODAY())&amp;" día(s) para pagar","🟢 Al día (paga el "&amp;TEXT($J216,"dd/mm")&amp;")")))</f>
      </c>
      <c r="O216" s="23"/>
      <c r="P216" s="17">
        <f>IF(OR($B216="",$O216=""),"",$O216-$A216)</f>
      </c>
    </row>
    <row r="217">
      <c r="A217" s="23"/>
      <c r="B217" s="20"/>
      <c r="C217" s="19">
        <f>IF($B217="","",IFERROR(VLOOKUP($B217,'Catálogo'!$A:$B,2,FALSE),"⚠ Código no existe"))</f>
      </c>
      <c r="D217" s="21"/>
      <c r="E217" s="22"/>
      <c r="F217" s="16">
        <f>IF($B217="","",$D217*$E217)</f>
      </c>
      <c r="G217" s="20"/>
      <c r="H217" s="20"/>
      <c r="I217" s="14">
        <f>IF(OR($B217="",$H217&lt;&gt;"Sí"),"",IF(DAY($A217)&lt;='Config'!$B$13,DATE(YEAR($A217),MONTH($A217),'Config'!$B$13),EOMONTH($A217,0)+'Config'!$B$13))</f>
      </c>
      <c r="J217" s="14">
        <f>IF($I217="","",DATE(YEAR(EOMONTH($I217,0)+1),MONTH(EOMONTH($I217,0)+1),'Config'!$B$14))</f>
      </c>
      <c r="K217" s="22"/>
      <c r="L217" s="16">
        <f>IF($B217="","",MAX($F217-$K217,0))</f>
      </c>
      <c r="M217" s="19">
        <f>IF($B217="","",IF($H217&lt;&gt;"Sí","Pagado (contado)",IF($L217&lt;=0,"Pagado",IF($K217&gt;0,"Abono parcial","Pendiente"))))</f>
      </c>
      <c r="N217" s="19">
        <f>IF(OR($B217="",$H217&lt;&gt;"Sí",$L217&lt;=0),"",IF(TODAY()&gt;$J217,"🔴 VENCIDO hace "&amp;(TODAY()-$J217)&amp;" día(s)",IF($J217-TODAY()&lt;='Config'!$B$15,"🟠 Faltan "&amp;($J217-TODAY())&amp;" día(s) para pagar","🟢 Al día (paga el "&amp;TEXT($J217,"dd/mm")&amp;")")))</f>
      </c>
      <c r="O217" s="23"/>
      <c r="P217" s="17">
        <f>IF(OR($B217="",$O217=""),"",$O217-$A217)</f>
      </c>
    </row>
    <row r="218">
      <c r="A218" s="23"/>
      <c r="B218" s="20"/>
      <c r="C218" s="19">
        <f>IF($B218="","",IFERROR(VLOOKUP($B218,'Catálogo'!$A:$B,2,FALSE),"⚠ Código no existe"))</f>
      </c>
      <c r="D218" s="21"/>
      <c r="E218" s="22"/>
      <c r="F218" s="16">
        <f>IF($B218="","",$D218*$E218)</f>
      </c>
      <c r="G218" s="20"/>
      <c r="H218" s="20"/>
      <c r="I218" s="14">
        <f>IF(OR($B218="",$H218&lt;&gt;"Sí"),"",IF(DAY($A218)&lt;='Config'!$B$13,DATE(YEAR($A218),MONTH($A218),'Config'!$B$13),EOMONTH($A218,0)+'Config'!$B$13))</f>
      </c>
      <c r="J218" s="14">
        <f>IF($I218="","",DATE(YEAR(EOMONTH($I218,0)+1),MONTH(EOMONTH($I218,0)+1),'Config'!$B$14))</f>
      </c>
      <c r="K218" s="22"/>
      <c r="L218" s="16">
        <f>IF($B218="","",MAX($F218-$K218,0))</f>
      </c>
      <c r="M218" s="19">
        <f>IF($B218="","",IF($H218&lt;&gt;"Sí","Pagado (contado)",IF($L218&lt;=0,"Pagado",IF($K218&gt;0,"Abono parcial","Pendiente"))))</f>
      </c>
      <c r="N218" s="19">
        <f>IF(OR($B218="",$H218&lt;&gt;"Sí",$L218&lt;=0),"",IF(TODAY()&gt;$J218,"🔴 VENCIDO hace "&amp;(TODAY()-$J218)&amp;" día(s)",IF($J218-TODAY()&lt;='Config'!$B$15,"🟠 Faltan "&amp;($J218-TODAY())&amp;" día(s) para pagar","🟢 Al día (paga el "&amp;TEXT($J218,"dd/mm")&amp;")")))</f>
      </c>
      <c r="O218" s="23"/>
      <c r="P218" s="17">
        <f>IF(OR($B218="",$O218=""),"",$O218-$A218)</f>
      </c>
    </row>
    <row r="219">
      <c r="A219" s="23"/>
      <c r="B219" s="20"/>
      <c r="C219" s="19">
        <f>IF($B219="","",IFERROR(VLOOKUP($B219,'Catálogo'!$A:$B,2,FALSE),"⚠ Código no existe"))</f>
      </c>
      <c r="D219" s="21"/>
      <c r="E219" s="22"/>
      <c r="F219" s="16">
        <f>IF($B219="","",$D219*$E219)</f>
      </c>
      <c r="G219" s="20"/>
      <c r="H219" s="20"/>
      <c r="I219" s="14">
        <f>IF(OR($B219="",$H219&lt;&gt;"Sí"),"",IF(DAY($A219)&lt;='Config'!$B$13,DATE(YEAR($A219),MONTH($A219),'Config'!$B$13),EOMONTH($A219,0)+'Config'!$B$13))</f>
      </c>
      <c r="J219" s="14">
        <f>IF($I219="","",DATE(YEAR(EOMONTH($I219,0)+1),MONTH(EOMONTH($I219,0)+1),'Config'!$B$14))</f>
      </c>
      <c r="K219" s="22"/>
      <c r="L219" s="16">
        <f>IF($B219="","",MAX($F219-$K219,0))</f>
      </c>
      <c r="M219" s="19">
        <f>IF($B219="","",IF($H219&lt;&gt;"Sí","Pagado (contado)",IF($L219&lt;=0,"Pagado",IF($K219&gt;0,"Abono parcial","Pendiente"))))</f>
      </c>
      <c r="N219" s="19">
        <f>IF(OR($B219="",$H219&lt;&gt;"Sí",$L219&lt;=0),"",IF(TODAY()&gt;$J219,"🔴 VENCIDO hace "&amp;(TODAY()-$J219)&amp;" día(s)",IF($J219-TODAY()&lt;='Config'!$B$15,"🟠 Faltan "&amp;($J219-TODAY())&amp;" día(s) para pagar","🟢 Al día (paga el "&amp;TEXT($J219,"dd/mm")&amp;")")))</f>
      </c>
      <c r="O219" s="23"/>
      <c r="P219" s="17">
        <f>IF(OR($B219="",$O219=""),"",$O219-$A219)</f>
      </c>
    </row>
    <row r="220">
      <c r="A220" s="23"/>
      <c r="B220" s="20"/>
      <c r="C220" s="19">
        <f>IF($B220="","",IFERROR(VLOOKUP($B220,'Catálogo'!$A:$B,2,FALSE),"⚠ Código no existe"))</f>
      </c>
      <c r="D220" s="21"/>
      <c r="E220" s="22"/>
      <c r="F220" s="16">
        <f>IF($B220="","",$D220*$E220)</f>
      </c>
      <c r="G220" s="20"/>
      <c r="H220" s="20"/>
      <c r="I220" s="14">
        <f>IF(OR($B220="",$H220&lt;&gt;"Sí"),"",IF(DAY($A220)&lt;='Config'!$B$13,DATE(YEAR($A220),MONTH($A220),'Config'!$B$13),EOMONTH($A220,0)+'Config'!$B$13))</f>
      </c>
      <c r="J220" s="14">
        <f>IF($I220="","",DATE(YEAR(EOMONTH($I220,0)+1),MONTH(EOMONTH($I220,0)+1),'Config'!$B$14))</f>
      </c>
      <c r="K220" s="22"/>
      <c r="L220" s="16">
        <f>IF($B220="","",MAX($F220-$K220,0))</f>
      </c>
      <c r="M220" s="19">
        <f>IF($B220="","",IF($H220&lt;&gt;"Sí","Pagado (contado)",IF($L220&lt;=0,"Pagado",IF($K220&gt;0,"Abono parcial","Pendiente"))))</f>
      </c>
      <c r="N220" s="19">
        <f>IF(OR($B220="",$H220&lt;&gt;"Sí",$L220&lt;=0),"",IF(TODAY()&gt;$J220,"🔴 VENCIDO hace "&amp;(TODAY()-$J220)&amp;" día(s)",IF($J220-TODAY()&lt;='Config'!$B$15,"🟠 Faltan "&amp;($J220-TODAY())&amp;" día(s) para pagar","🟢 Al día (paga el "&amp;TEXT($J220,"dd/mm")&amp;")")))</f>
      </c>
      <c r="O220" s="23"/>
      <c r="P220" s="17">
        <f>IF(OR($B220="",$O220=""),"",$O220-$A220)</f>
      </c>
    </row>
    <row r="221">
      <c r="A221" s="23"/>
      <c r="B221" s="20"/>
      <c r="C221" s="19">
        <f>IF($B221="","",IFERROR(VLOOKUP($B221,'Catálogo'!$A:$B,2,FALSE),"⚠ Código no existe"))</f>
      </c>
      <c r="D221" s="21"/>
      <c r="E221" s="22"/>
      <c r="F221" s="16">
        <f>IF($B221="","",$D221*$E221)</f>
      </c>
      <c r="G221" s="20"/>
      <c r="H221" s="20"/>
      <c r="I221" s="14">
        <f>IF(OR($B221="",$H221&lt;&gt;"Sí"),"",IF(DAY($A221)&lt;='Config'!$B$13,DATE(YEAR($A221),MONTH($A221),'Config'!$B$13),EOMONTH($A221,0)+'Config'!$B$13))</f>
      </c>
      <c r="J221" s="14">
        <f>IF($I221="","",DATE(YEAR(EOMONTH($I221,0)+1),MONTH(EOMONTH($I221,0)+1),'Config'!$B$14))</f>
      </c>
      <c r="K221" s="22"/>
      <c r="L221" s="16">
        <f>IF($B221="","",MAX($F221-$K221,0))</f>
      </c>
      <c r="M221" s="19">
        <f>IF($B221="","",IF($H221&lt;&gt;"Sí","Pagado (contado)",IF($L221&lt;=0,"Pagado",IF($K221&gt;0,"Abono parcial","Pendiente"))))</f>
      </c>
      <c r="N221" s="19">
        <f>IF(OR($B221="",$H221&lt;&gt;"Sí",$L221&lt;=0),"",IF(TODAY()&gt;$J221,"🔴 VENCIDO hace "&amp;(TODAY()-$J221)&amp;" día(s)",IF($J221-TODAY()&lt;='Config'!$B$15,"🟠 Faltan "&amp;($J221-TODAY())&amp;" día(s) para pagar","🟢 Al día (paga el "&amp;TEXT($J221,"dd/mm")&amp;")")))</f>
      </c>
      <c r="O221" s="23"/>
      <c r="P221" s="17">
        <f>IF(OR($B221="",$O221=""),"",$O221-$A221)</f>
      </c>
    </row>
    <row r="222">
      <c r="A222" s="23"/>
      <c r="B222" s="20"/>
      <c r="C222" s="19">
        <f>IF($B222="","",IFERROR(VLOOKUP($B222,'Catálogo'!$A:$B,2,FALSE),"⚠ Código no existe"))</f>
      </c>
      <c r="D222" s="21"/>
      <c r="E222" s="22"/>
      <c r="F222" s="16">
        <f>IF($B222="","",$D222*$E222)</f>
      </c>
      <c r="G222" s="20"/>
      <c r="H222" s="20"/>
      <c r="I222" s="14">
        <f>IF(OR($B222="",$H222&lt;&gt;"Sí"),"",IF(DAY($A222)&lt;='Config'!$B$13,DATE(YEAR($A222),MONTH($A222),'Config'!$B$13),EOMONTH($A222,0)+'Config'!$B$13))</f>
      </c>
      <c r="J222" s="14">
        <f>IF($I222="","",DATE(YEAR(EOMONTH($I222,0)+1),MONTH(EOMONTH($I222,0)+1),'Config'!$B$14))</f>
      </c>
      <c r="K222" s="22"/>
      <c r="L222" s="16">
        <f>IF($B222="","",MAX($F222-$K222,0))</f>
      </c>
      <c r="M222" s="19">
        <f>IF($B222="","",IF($H222&lt;&gt;"Sí","Pagado (contado)",IF($L222&lt;=0,"Pagado",IF($K222&gt;0,"Abono parcial","Pendiente"))))</f>
      </c>
      <c r="N222" s="19">
        <f>IF(OR($B222="",$H222&lt;&gt;"Sí",$L222&lt;=0),"",IF(TODAY()&gt;$J222,"🔴 VENCIDO hace "&amp;(TODAY()-$J222)&amp;" día(s)",IF($J222-TODAY()&lt;='Config'!$B$15,"🟠 Faltan "&amp;($J222-TODAY())&amp;" día(s) para pagar","🟢 Al día (paga el "&amp;TEXT($J222,"dd/mm")&amp;")")))</f>
      </c>
      <c r="O222" s="23"/>
      <c r="P222" s="17">
        <f>IF(OR($B222="",$O222=""),"",$O222-$A222)</f>
      </c>
    </row>
    <row r="223">
      <c r="A223" s="23"/>
      <c r="B223" s="20"/>
      <c r="C223" s="19">
        <f>IF($B223="","",IFERROR(VLOOKUP($B223,'Catálogo'!$A:$B,2,FALSE),"⚠ Código no existe"))</f>
      </c>
      <c r="D223" s="21"/>
      <c r="E223" s="22"/>
      <c r="F223" s="16">
        <f>IF($B223="","",$D223*$E223)</f>
      </c>
      <c r="G223" s="20"/>
      <c r="H223" s="20"/>
      <c r="I223" s="14">
        <f>IF(OR($B223="",$H223&lt;&gt;"Sí"),"",IF(DAY($A223)&lt;='Config'!$B$13,DATE(YEAR($A223),MONTH($A223),'Config'!$B$13),EOMONTH($A223,0)+'Config'!$B$13))</f>
      </c>
      <c r="J223" s="14">
        <f>IF($I223="","",DATE(YEAR(EOMONTH($I223,0)+1),MONTH(EOMONTH($I223,0)+1),'Config'!$B$14))</f>
      </c>
      <c r="K223" s="22"/>
      <c r="L223" s="16">
        <f>IF($B223="","",MAX($F223-$K223,0))</f>
      </c>
      <c r="M223" s="19">
        <f>IF($B223="","",IF($H223&lt;&gt;"Sí","Pagado (contado)",IF($L223&lt;=0,"Pagado",IF($K223&gt;0,"Abono parcial","Pendiente"))))</f>
      </c>
      <c r="N223" s="19">
        <f>IF(OR($B223="",$H223&lt;&gt;"Sí",$L223&lt;=0),"",IF(TODAY()&gt;$J223,"🔴 VENCIDO hace "&amp;(TODAY()-$J223)&amp;" día(s)",IF($J223-TODAY()&lt;='Config'!$B$15,"🟠 Faltan "&amp;($J223-TODAY())&amp;" día(s) para pagar","🟢 Al día (paga el "&amp;TEXT($J223,"dd/mm")&amp;")")))</f>
      </c>
      <c r="O223" s="23"/>
      <c r="P223" s="17">
        <f>IF(OR($B223="",$O223=""),"",$O223-$A223)</f>
      </c>
    </row>
    <row r="224">
      <c r="A224" s="23"/>
      <c r="B224" s="20"/>
      <c r="C224" s="19">
        <f>IF($B224="","",IFERROR(VLOOKUP($B224,'Catálogo'!$A:$B,2,FALSE),"⚠ Código no existe"))</f>
      </c>
      <c r="D224" s="21"/>
      <c r="E224" s="22"/>
      <c r="F224" s="16">
        <f>IF($B224="","",$D224*$E224)</f>
      </c>
      <c r="G224" s="20"/>
      <c r="H224" s="20"/>
      <c r="I224" s="14">
        <f>IF(OR($B224="",$H224&lt;&gt;"Sí"),"",IF(DAY($A224)&lt;='Config'!$B$13,DATE(YEAR($A224),MONTH($A224),'Config'!$B$13),EOMONTH($A224,0)+'Config'!$B$13))</f>
      </c>
      <c r="J224" s="14">
        <f>IF($I224="","",DATE(YEAR(EOMONTH($I224,0)+1),MONTH(EOMONTH($I224,0)+1),'Config'!$B$14))</f>
      </c>
      <c r="K224" s="22"/>
      <c r="L224" s="16">
        <f>IF($B224="","",MAX($F224-$K224,0))</f>
      </c>
      <c r="M224" s="19">
        <f>IF($B224="","",IF($H224&lt;&gt;"Sí","Pagado (contado)",IF($L224&lt;=0,"Pagado",IF($K224&gt;0,"Abono parcial","Pendiente"))))</f>
      </c>
      <c r="N224" s="19">
        <f>IF(OR($B224="",$H224&lt;&gt;"Sí",$L224&lt;=0),"",IF(TODAY()&gt;$J224,"🔴 VENCIDO hace "&amp;(TODAY()-$J224)&amp;" día(s)",IF($J224-TODAY()&lt;='Config'!$B$15,"🟠 Faltan "&amp;($J224-TODAY())&amp;" día(s) para pagar","🟢 Al día (paga el "&amp;TEXT($J224,"dd/mm")&amp;")")))</f>
      </c>
      <c r="O224" s="23"/>
      <c r="P224" s="17">
        <f>IF(OR($B224="",$O224=""),"",$O224-$A224)</f>
      </c>
    </row>
    <row r="225">
      <c r="A225" s="23"/>
      <c r="B225" s="20"/>
      <c r="C225" s="19">
        <f>IF($B225="","",IFERROR(VLOOKUP($B225,'Catálogo'!$A:$B,2,FALSE),"⚠ Código no existe"))</f>
      </c>
      <c r="D225" s="21"/>
      <c r="E225" s="22"/>
      <c r="F225" s="16">
        <f>IF($B225="","",$D225*$E225)</f>
      </c>
      <c r="G225" s="20"/>
      <c r="H225" s="20"/>
      <c r="I225" s="14">
        <f>IF(OR($B225="",$H225&lt;&gt;"Sí"),"",IF(DAY($A225)&lt;='Config'!$B$13,DATE(YEAR($A225),MONTH($A225),'Config'!$B$13),EOMONTH($A225,0)+'Config'!$B$13))</f>
      </c>
      <c r="J225" s="14">
        <f>IF($I225="","",DATE(YEAR(EOMONTH($I225,0)+1),MONTH(EOMONTH($I225,0)+1),'Config'!$B$14))</f>
      </c>
      <c r="K225" s="22"/>
      <c r="L225" s="16">
        <f>IF($B225="","",MAX($F225-$K225,0))</f>
      </c>
      <c r="M225" s="19">
        <f>IF($B225="","",IF($H225&lt;&gt;"Sí","Pagado (contado)",IF($L225&lt;=0,"Pagado",IF($K225&gt;0,"Abono parcial","Pendiente"))))</f>
      </c>
      <c r="N225" s="19">
        <f>IF(OR($B225="",$H225&lt;&gt;"Sí",$L225&lt;=0),"",IF(TODAY()&gt;$J225,"🔴 VENCIDO hace "&amp;(TODAY()-$J225)&amp;" día(s)",IF($J225-TODAY()&lt;='Config'!$B$15,"🟠 Faltan "&amp;($J225-TODAY())&amp;" día(s) para pagar","🟢 Al día (paga el "&amp;TEXT($J225,"dd/mm")&amp;")")))</f>
      </c>
      <c r="O225" s="23"/>
      <c r="P225" s="17">
        <f>IF(OR($B225="",$O225=""),"",$O225-$A225)</f>
      </c>
    </row>
    <row r="226">
      <c r="A226" s="23"/>
      <c r="B226" s="20"/>
      <c r="C226" s="19">
        <f>IF($B226="","",IFERROR(VLOOKUP($B226,'Catálogo'!$A:$B,2,FALSE),"⚠ Código no existe"))</f>
      </c>
      <c r="D226" s="21"/>
      <c r="E226" s="22"/>
      <c r="F226" s="16">
        <f>IF($B226="","",$D226*$E226)</f>
      </c>
      <c r="G226" s="20"/>
      <c r="H226" s="20"/>
      <c r="I226" s="14">
        <f>IF(OR($B226="",$H226&lt;&gt;"Sí"),"",IF(DAY($A226)&lt;='Config'!$B$13,DATE(YEAR($A226),MONTH($A226),'Config'!$B$13),EOMONTH($A226,0)+'Config'!$B$13))</f>
      </c>
      <c r="J226" s="14">
        <f>IF($I226="","",DATE(YEAR(EOMONTH($I226,0)+1),MONTH(EOMONTH($I226,0)+1),'Config'!$B$14))</f>
      </c>
      <c r="K226" s="22"/>
      <c r="L226" s="16">
        <f>IF($B226="","",MAX($F226-$K226,0))</f>
      </c>
      <c r="M226" s="19">
        <f>IF($B226="","",IF($H226&lt;&gt;"Sí","Pagado (contado)",IF($L226&lt;=0,"Pagado",IF($K226&gt;0,"Abono parcial","Pendiente"))))</f>
      </c>
      <c r="N226" s="19">
        <f>IF(OR($B226="",$H226&lt;&gt;"Sí",$L226&lt;=0),"",IF(TODAY()&gt;$J226,"🔴 VENCIDO hace "&amp;(TODAY()-$J226)&amp;" día(s)",IF($J226-TODAY()&lt;='Config'!$B$15,"🟠 Faltan "&amp;($J226-TODAY())&amp;" día(s) para pagar","🟢 Al día (paga el "&amp;TEXT($J226,"dd/mm")&amp;")")))</f>
      </c>
      <c r="O226" s="23"/>
      <c r="P226" s="17">
        <f>IF(OR($B226="",$O226=""),"",$O226-$A226)</f>
      </c>
    </row>
    <row r="227">
      <c r="A227" s="23"/>
      <c r="B227" s="20"/>
      <c r="C227" s="19">
        <f>IF($B227="","",IFERROR(VLOOKUP($B227,'Catálogo'!$A:$B,2,FALSE),"⚠ Código no existe"))</f>
      </c>
      <c r="D227" s="21"/>
      <c r="E227" s="22"/>
      <c r="F227" s="16">
        <f>IF($B227="","",$D227*$E227)</f>
      </c>
      <c r="G227" s="20"/>
      <c r="H227" s="20"/>
      <c r="I227" s="14">
        <f>IF(OR($B227="",$H227&lt;&gt;"Sí"),"",IF(DAY($A227)&lt;='Config'!$B$13,DATE(YEAR($A227),MONTH($A227),'Config'!$B$13),EOMONTH($A227,0)+'Config'!$B$13))</f>
      </c>
      <c r="J227" s="14">
        <f>IF($I227="","",DATE(YEAR(EOMONTH($I227,0)+1),MONTH(EOMONTH($I227,0)+1),'Config'!$B$14))</f>
      </c>
      <c r="K227" s="22"/>
      <c r="L227" s="16">
        <f>IF($B227="","",MAX($F227-$K227,0))</f>
      </c>
      <c r="M227" s="19">
        <f>IF($B227="","",IF($H227&lt;&gt;"Sí","Pagado (contado)",IF($L227&lt;=0,"Pagado",IF($K227&gt;0,"Abono parcial","Pendiente"))))</f>
      </c>
      <c r="N227" s="19">
        <f>IF(OR($B227="",$H227&lt;&gt;"Sí",$L227&lt;=0),"",IF(TODAY()&gt;$J227,"🔴 VENCIDO hace "&amp;(TODAY()-$J227)&amp;" día(s)",IF($J227-TODAY()&lt;='Config'!$B$15,"🟠 Faltan "&amp;($J227-TODAY())&amp;" día(s) para pagar","🟢 Al día (paga el "&amp;TEXT($J227,"dd/mm")&amp;")")))</f>
      </c>
      <c r="O227" s="23"/>
      <c r="P227" s="17">
        <f>IF(OR($B227="",$O227=""),"",$O227-$A227)</f>
      </c>
    </row>
    <row r="228">
      <c r="A228" s="23"/>
      <c r="B228" s="20"/>
      <c r="C228" s="19">
        <f>IF($B228="","",IFERROR(VLOOKUP($B228,'Catálogo'!$A:$B,2,FALSE),"⚠ Código no existe"))</f>
      </c>
      <c r="D228" s="21"/>
      <c r="E228" s="22"/>
      <c r="F228" s="16">
        <f>IF($B228="","",$D228*$E228)</f>
      </c>
      <c r="G228" s="20"/>
      <c r="H228" s="20"/>
      <c r="I228" s="14">
        <f>IF(OR($B228="",$H228&lt;&gt;"Sí"),"",IF(DAY($A228)&lt;='Config'!$B$13,DATE(YEAR($A228),MONTH($A228),'Config'!$B$13),EOMONTH($A228,0)+'Config'!$B$13))</f>
      </c>
      <c r="J228" s="14">
        <f>IF($I228="","",DATE(YEAR(EOMONTH($I228,0)+1),MONTH(EOMONTH($I228,0)+1),'Config'!$B$14))</f>
      </c>
      <c r="K228" s="22"/>
      <c r="L228" s="16">
        <f>IF($B228="","",MAX($F228-$K228,0))</f>
      </c>
      <c r="M228" s="19">
        <f>IF($B228="","",IF($H228&lt;&gt;"Sí","Pagado (contado)",IF($L228&lt;=0,"Pagado",IF($K228&gt;0,"Abono parcial","Pendiente"))))</f>
      </c>
      <c r="N228" s="19">
        <f>IF(OR($B228="",$H228&lt;&gt;"Sí",$L228&lt;=0),"",IF(TODAY()&gt;$J228,"🔴 VENCIDO hace "&amp;(TODAY()-$J228)&amp;" día(s)",IF($J228-TODAY()&lt;='Config'!$B$15,"🟠 Faltan "&amp;($J228-TODAY())&amp;" día(s) para pagar","🟢 Al día (paga el "&amp;TEXT($J228,"dd/mm")&amp;")")))</f>
      </c>
      <c r="O228" s="23"/>
      <c r="P228" s="17">
        <f>IF(OR($B228="",$O228=""),"",$O228-$A228)</f>
      </c>
    </row>
    <row r="229">
      <c r="A229" s="23"/>
      <c r="B229" s="20"/>
      <c r="C229" s="19">
        <f>IF($B229="","",IFERROR(VLOOKUP($B229,'Catálogo'!$A:$B,2,FALSE),"⚠ Código no existe"))</f>
      </c>
      <c r="D229" s="21"/>
      <c r="E229" s="22"/>
      <c r="F229" s="16">
        <f>IF($B229="","",$D229*$E229)</f>
      </c>
      <c r="G229" s="20"/>
      <c r="H229" s="20"/>
      <c r="I229" s="14">
        <f>IF(OR($B229="",$H229&lt;&gt;"Sí"),"",IF(DAY($A229)&lt;='Config'!$B$13,DATE(YEAR($A229),MONTH($A229),'Config'!$B$13),EOMONTH($A229,0)+'Config'!$B$13))</f>
      </c>
      <c r="J229" s="14">
        <f>IF($I229="","",DATE(YEAR(EOMONTH($I229,0)+1),MONTH(EOMONTH($I229,0)+1),'Config'!$B$14))</f>
      </c>
      <c r="K229" s="22"/>
      <c r="L229" s="16">
        <f>IF($B229="","",MAX($F229-$K229,0))</f>
      </c>
      <c r="M229" s="19">
        <f>IF($B229="","",IF($H229&lt;&gt;"Sí","Pagado (contado)",IF($L229&lt;=0,"Pagado",IF($K229&gt;0,"Abono parcial","Pendiente"))))</f>
      </c>
      <c r="N229" s="19">
        <f>IF(OR($B229="",$H229&lt;&gt;"Sí",$L229&lt;=0),"",IF(TODAY()&gt;$J229,"🔴 VENCIDO hace "&amp;(TODAY()-$J229)&amp;" día(s)",IF($J229-TODAY()&lt;='Config'!$B$15,"🟠 Faltan "&amp;($J229-TODAY())&amp;" día(s) para pagar","🟢 Al día (paga el "&amp;TEXT($J229,"dd/mm")&amp;")")))</f>
      </c>
      <c r="O229" s="23"/>
      <c r="P229" s="17">
        <f>IF(OR($B229="",$O229=""),"",$O229-$A229)</f>
      </c>
    </row>
    <row r="230">
      <c r="A230" s="23"/>
      <c r="B230" s="20"/>
      <c r="C230" s="19">
        <f>IF($B230="","",IFERROR(VLOOKUP($B230,'Catálogo'!$A:$B,2,FALSE),"⚠ Código no existe"))</f>
      </c>
      <c r="D230" s="21"/>
      <c r="E230" s="22"/>
      <c r="F230" s="16">
        <f>IF($B230="","",$D230*$E230)</f>
      </c>
      <c r="G230" s="20"/>
      <c r="H230" s="20"/>
      <c r="I230" s="14">
        <f>IF(OR($B230="",$H230&lt;&gt;"Sí"),"",IF(DAY($A230)&lt;='Config'!$B$13,DATE(YEAR($A230),MONTH($A230),'Config'!$B$13),EOMONTH($A230,0)+'Config'!$B$13))</f>
      </c>
      <c r="J230" s="14">
        <f>IF($I230="","",DATE(YEAR(EOMONTH($I230,0)+1),MONTH(EOMONTH($I230,0)+1),'Config'!$B$14))</f>
      </c>
      <c r="K230" s="22"/>
      <c r="L230" s="16">
        <f>IF($B230="","",MAX($F230-$K230,0))</f>
      </c>
      <c r="M230" s="19">
        <f>IF($B230="","",IF($H230&lt;&gt;"Sí","Pagado (contado)",IF($L230&lt;=0,"Pagado",IF($K230&gt;0,"Abono parcial","Pendiente"))))</f>
      </c>
      <c r="N230" s="19">
        <f>IF(OR($B230="",$H230&lt;&gt;"Sí",$L230&lt;=0),"",IF(TODAY()&gt;$J230,"🔴 VENCIDO hace "&amp;(TODAY()-$J230)&amp;" día(s)",IF($J230-TODAY()&lt;='Config'!$B$15,"🟠 Faltan "&amp;($J230-TODAY())&amp;" día(s) para pagar","🟢 Al día (paga el "&amp;TEXT($J230,"dd/mm")&amp;")")))</f>
      </c>
      <c r="O230" s="23"/>
      <c r="P230" s="17">
        <f>IF(OR($B230="",$O230=""),"",$O230-$A230)</f>
      </c>
    </row>
    <row r="231">
      <c r="A231" s="23"/>
      <c r="B231" s="20"/>
      <c r="C231" s="19">
        <f>IF($B231="","",IFERROR(VLOOKUP($B231,'Catálogo'!$A:$B,2,FALSE),"⚠ Código no existe"))</f>
      </c>
      <c r="D231" s="21"/>
      <c r="E231" s="22"/>
      <c r="F231" s="16">
        <f>IF($B231="","",$D231*$E231)</f>
      </c>
      <c r="G231" s="20"/>
      <c r="H231" s="20"/>
      <c r="I231" s="14">
        <f>IF(OR($B231="",$H231&lt;&gt;"Sí"),"",IF(DAY($A231)&lt;='Config'!$B$13,DATE(YEAR($A231),MONTH($A231),'Config'!$B$13),EOMONTH($A231,0)+'Config'!$B$13))</f>
      </c>
      <c r="J231" s="14">
        <f>IF($I231="","",DATE(YEAR(EOMONTH($I231,0)+1),MONTH(EOMONTH($I231,0)+1),'Config'!$B$14))</f>
      </c>
      <c r="K231" s="22"/>
      <c r="L231" s="16">
        <f>IF($B231="","",MAX($F231-$K231,0))</f>
      </c>
      <c r="M231" s="19">
        <f>IF($B231="","",IF($H231&lt;&gt;"Sí","Pagado (contado)",IF($L231&lt;=0,"Pagado",IF($K231&gt;0,"Abono parcial","Pendiente"))))</f>
      </c>
      <c r="N231" s="19">
        <f>IF(OR($B231="",$H231&lt;&gt;"Sí",$L231&lt;=0),"",IF(TODAY()&gt;$J231,"🔴 VENCIDO hace "&amp;(TODAY()-$J231)&amp;" día(s)",IF($J231-TODAY()&lt;='Config'!$B$15,"🟠 Faltan "&amp;($J231-TODAY())&amp;" día(s) para pagar","🟢 Al día (paga el "&amp;TEXT($J231,"dd/mm")&amp;")")))</f>
      </c>
      <c r="O231" s="23"/>
      <c r="P231" s="17">
        <f>IF(OR($B231="",$O231=""),"",$O231-$A231)</f>
      </c>
    </row>
    <row r="232">
      <c r="A232" s="23"/>
      <c r="B232" s="20"/>
      <c r="C232" s="19">
        <f>IF($B232="","",IFERROR(VLOOKUP($B232,'Catálogo'!$A:$B,2,FALSE),"⚠ Código no existe"))</f>
      </c>
      <c r="D232" s="21"/>
      <c r="E232" s="22"/>
      <c r="F232" s="16">
        <f>IF($B232="","",$D232*$E232)</f>
      </c>
      <c r="G232" s="20"/>
      <c r="H232" s="20"/>
      <c r="I232" s="14">
        <f>IF(OR($B232="",$H232&lt;&gt;"Sí"),"",IF(DAY($A232)&lt;='Config'!$B$13,DATE(YEAR($A232),MONTH($A232),'Config'!$B$13),EOMONTH($A232,0)+'Config'!$B$13))</f>
      </c>
      <c r="J232" s="14">
        <f>IF($I232="","",DATE(YEAR(EOMONTH($I232,0)+1),MONTH(EOMONTH($I232,0)+1),'Config'!$B$14))</f>
      </c>
      <c r="K232" s="22"/>
      <c r="L232" s="16">
        <f>IF($B232="","",MAX($F232-$K232,0))</f>
      </c>
      <c r="M232" s="19">
        <f>IF($B232="","",IF($H232&lt;&gt;"Sí","Pagado (contado)",IF($L232&lt;=0,"Pagado",IF($K232&gt;0,"Abono parcial","Pendiente"))))</f>
      </c>
      <c r="N232" s="19">
        <f>IF(OR($B232="",$H232&lt;&gt;"Sí",$L232&lt;=0),"",IF(TODAY()&gt;$J232,"🔴 VENCIDO hace "&amp;(TODAY()-$J232)&amp;" día(s)",IF($J232-TODAY()&lt;='Config'!$B$15,"🟠 Faltan "&amp;($J232-TODAY())&amp;" día(s) para pagar","🟢 Al día (paga el "&amp;TEXT($J232,"dd/mm")&amp;")")))</f>
      </c>
      <c r="O232" s="23"/>
      <c r="P232" s="17">
        <f>IF(OR($B232="",$O232=""),"",$O232-$A232)</f>
      </c>
    </row>
    <row r="233">
      <c r="A233" s="23"/>
      <c r="B233" s="20"/>
      <c r="C233" s="19">
        <f>IF($B233="","",IFERROR(VLOOKUP($B233,'Catálogo'!$A:$B,2,FALSE),"⚠ Código no existe"))</f>
      </c>
      <c r="D233" s="21"/>
      <c r="E233" s="22"/>
      <c r="F233" s="16">
        <f>IF($B233="","",$D233*$E233)</f>
      </c>
      <c r="G233" s="20"/>
      <c r="H233" s="20"/>
      <c r="I233" s="14">
        <f>IF(OR($B233="",$H233&lt;&gt;"Sí"),"",IF(DAY($A233)&lt;='Config'!$B$13,DATE(YEAR($A233),MONTH($A233),'Config'!$B$13),EOMONTH($A233,0)+'Config'!$B$13))</f>
      </c>
      <c r="J233" s="14">
        <f>IF($I233="","",DATE(YEAR(EOMONTH($I233,0)+1),MONTH(EOMONTH($I233,0)+1),'Config'!$B$14))</f>
      </c>
      <c r="K233" s="22"/>
      <c r="L233" s="16">
        <f>IF($B233="","",MAX($F233-$K233,0))</f>
      </c>
      <c r="M233" s="19">
        <f>IF($B233="","",IF($H233&lt;&gt;"Sí","Pagado (contado)",IF($L233&lt;=0,"Pagado",IF($K233&gt;0,"Abono parcial","Pendiente"))))</f>
      </c>
      <c r="N233" s="19">
        <f>IF(OR($B233="",$H233&lt;&gt;"Sí",$L233&lt;=0),"",IF(TODAY()&gt;$J233,"🔴 VENCIDO hace "&amp;(TODAY()-$J233)&amp;" día(s)",IF($J233-TODAY()&lt;='Config'!$B$15,"🟠 Faltan "&amp;($J233-TODAY())&amp;" día(s) para pagar","🟢 Al día (paga el "&amp;TEXT($J233,"dd/mm")&amp;")")))</f>
      </c>
      <c r="O233" s="23"/>
      <c r="P233" s="17">
        <f>IF(OR($B233="",$O233=""),"",$O233-$A233)</f>
      </c>
    </row>
    <row r="234">
      <c r="A234" s="23"/>
      <c r="B234" s="20"/>
      <c r="C234" s="19">
        <f>IF($B234="","",IFERROR(VLOOKUP($B234,'Catálogo'!$A:$B,2,FALSE),"⚠ Código no existe"))</f>
      </c>
      <c r="D234" s="21"/>
      <c r="E234" s="22"/>
      <c r="F234" s="16">
        <f>IF($B234="","",$D234*$E234)</f>
      </c>
      <c r="G234" s="20"/>
      <c r="H234" s="20"/>
      <c r="I234" s="14">
        <f>IF(OR($B234="",$H234&lt;&gt;"Sí"),"",IF(DAY($A234)&lt;='Config'!$B$13,DATE(YEAR($A234),MONTH($A234),'Config'!$B$13),EOMONTH($A234,0)+'Config'!$B$13))</f>
      </c>
      <c r="J234" s="14">
        <f>IF($I234="","",DATE(YEAR(EOMONTH($I234,0)+1),MONTH(EOMONTH($I234,0)+1),'Config'!$B$14))</f>
      </c>
      <c r="K234" s="22"/>
      <c r="L234" s="16">
        <f>IF($B234="","",MAX($F234-$K234,0))</f>
      </c>
      <c r="M234" s="19">
        <f>IF($B234="","",IF($H234&lt;&gt;"Sí","Pagado (contado)",IF($L234&lt;=0,"Pagado",IF($K234&gt;0,"Abono parcial","Pendiente"))))</f>
      </c>
      <c r="N234" s="19">
        <f>IF(OR($B234="",$H234&lt;&gt;"Sí",$L234&lt;=0),"",IF(TODAY()&gt;$J234,"🔴 VENCIDO hace "&amp;(TODAY()-$J234)&amp;" día(s)",IF($J234-TODAY()&lt;='Config'!$B$15,"🟠 Faltan "&amp;($J234-TODAY())&amp;" día(s) para pagar","🟢 Al día (paga el "&amp;TEXT($J234,"dd/mm")&amp;")")))</f>
      </c>
      <c r="O234" s="23"/>
      <c r="P234" s="17">
        <f>IF(OR($B234="",$O234=""),"",$O234-$A234)</f>
      </c>
    </row>
    <row r="235">
      <c r="A235" s="23"/>
      <c r="B235" s="20"/>
      <c r="C235" s="19">
        <f>IF($B235="","",IFERROR(VLOOKUP($B235,'Catálogo'!$A:$B,2,FALSE),"⚠ Código no existe"))</f>
      </c>
      <c r="D235" s="21"/>
      <c r="E235" s="22"/>
      <c r="F235" s="16">
        <f>IF($B235="","",$D235*$E235)</f>
      </c>
      <c r="G235" s="20"/>
      <c r="H235" s="20"/>
      <c r="I235" s="14">
        <f>IF(OR($B235="",$H235&lt;&gt;"Sí"),"",IF(DAY($A235)&lt;='Config'!$B$13,DATE(YEAR($A235),MONTH($A235),'Config'!$B$13),EOMONTH($A235,0)+'Config'!$B$13))</f>
      </c>
      <c r="J235" s="14">
        <f>IF($I235="","",DATE(YEAR(EOMONTH($I235,0)+1),MONTH(EOMONTH($I235,0)+1),'Config'!$B$14))</f>
      </c>
      <c r="K235" s="22"/>
      <c r="L235" s="16">
        <f>IF($B235="","",MAX($F235-$K235,0))</f>
      </c>
      <c r="M235" s="19">
        <f>IF($B235="","",IF($H235&lt;&gt;"Sí","Pagado (contado)",IF($L235&lt;=0,"Pagado",IF($K235&gt;0,"Abono parcial","Pendiente"))))</f>
      </c>
      <c r="N235" s="19">
        <f>IF(OR($B235="",$H235&lt;&gt;"Sí",$L235&lt;=0),"",IF(TODAY()&gt;$J235,"🔴 VENCIDO hace "&amp;(TODAY()-$J235)&amp;" día(s)",IF($J235-TODAY()&lt;='Config'!$B$15,"🟠 Faltan "&amp;($J235-TODAY())&amp;" día(s) para pagar","🟢 Al día (paga el "&amp;TEXT($J235,"dd/mm")&amp;")")))</f>
      </c>
      <c r="O235" s="23"/>
      <c r="P235" s="17">
        <f>IF(OR($B235="",$O235=""),"",$O235-$A235)</f>
      </c>
    </row>
    <row r="236">
      <c r="A236" s="23"/>
      <c r="B236" s="20"/>
      <c r="C236" s="19">
        <f>IF($B236="","",IFERROR(VLOOKUP($B236,'Catálogo'!$A:$B,2,FALSE),"⚠ Código no existe"))</f>
      </c>
      <c r="D236" s="21"/>
      <c r="E236" s="22"/>
      <c r="F236" s="16">
        <f>IF($B236="","",$D236*$E236)</f>
      </c>
      <c r="G236" s="20"/>
      <c r="H236" s="20"/>
      <c r="I236" s="14">
        <f>IF(OR($B236="",$H236&lt;&gt;"Sí"),"",IF(DAY($A236)&lt;='Config'!$B$13,DATE(YEAR($A236),MONTH($A236),'Config'!$B$13),EOMONTH($A236,0)+'Config'!$B$13))</f>
      </c>
      <c r="J236" s="14">
        <f>IF($I236="","",DATE(YEAR(EOMONTH($I236,0)+1),MONTH(EOMONTH($I236,0)+1),'Config'!$B$14))</f>
      </c>
      <c r="K236" s="22"/>
      <c r="L236" s="16">
        <f>IF($B236="","",MAX($F236-$K236,0))</f>
      </c>
      <c r="M236" s="19">
        <f>IF($B236="","",IF($H236&lt;&gt;"Sí","Pagado (contado)",IF($L236&lt;=0,"Pagado",IF($K236&gt;0,"Abono parcial","Pendiente"))))</f>
      </c>
      <c r="N236" s="19">
        <f>IF(OR($B236="",$H236&lt;&gt;"Sí",$L236&lt;=0),"",IF(TODAY()&gt;$J236,"🔴 VENCIDO hace "&amp;(TODAY()-$J236)&amp;" día(s)",IF($J236-TODAY()&lt;='Config'!$B$15,"🟠 Faltan "&amp;($J236-TODAY())&amp;" día(s) para pagar","🟢 Al día (paga el "&amp;TEXT($J236,"dd/mm")&amp;")")))</f>
      </c>
      <c r="O236" s="23"/>
      <c r="P236" s="17">
        <f>IF(OR($B236="",$O236=""),"",$O236-$A236)</f>
      </c>
    </row>
    <row r="237">
      <c r="A237" s="23"/>
      <c r="B237" s="20"/>
      <c r="C237" s="19">
        <f>IF($B237="","",IFERROR(VLOOKUP($B237,'Catálogo'!$A:$B,2,FALSE),"⚠ Código no existe"))</f>
      </c>
      <c r="D237" s="21"/>
      <c r="E237" s="22"/>
      <c r="F237" s="16">
        <f>IF($B237="","",$D237*$E237)</f>
      </c>
      <c r="G237" s="20"/>
      <c r="H237" s="20"/>
      <c r="I237" s="14">
        <f>IF(OR($B237="",$H237&lt;&gt;"Sí"),"",IF(DAY($A237)&lt;='Config'!$B$13,DATE(YEAR($A237),MONTH($A237),'Config'!$B$13),EOMONTH($A237,0)+'Config'!$B$13))</f>
      </c>
      <c r="J237" s="14">
        <f>IF($I237="","",DATE(YEAR(EOMONTH($I237,0)+1),MONTH(EOMONTH($I237,0)+1),'Config'!$B$14))</f>
      </c>
      <c r="K237" s="22"/>
      <c r="L237" s="16">
        <f>IF($B237="","",MAX($F237-$K237,0))</f>
      </c>
      <c r="M237" s="19">
        <f>IF($B237="","",IF($H237&lt;&gt;"Sí","Pagado (contado)",IF($L237&lt;=0,"Pagado",IF($K237&gt;0,"Abono parcial","Pendiente"))))</f>
      </c>
      <c r="N237" s="19">
        <f>IF(OR($B237="",$H237&lt;&gt;"Sí",$L237&lt;=0),"",IF(TODAY()&gt;$J237,"🔴 VENCIDO hace "&amp;(TODAY()-$J237)&amp;" día(s)",IF($J237-TODAY()&lt;='Config'!$B$15,"🟠 Faltan "&amp;($J237-TODAY())&amp;" día(s) para pagar","🟢 Al día (paga el "&amp;TEXT($J237,"dd/mm")&amp;")")))</f>
      </c>
      <c r="O237" s="23"/>
      <c r="P237" s="17">
        <f>IF(OR($B237="",$O237=""),"",$O237-$A237)</f>
      </c>
    </row>
    <row r="238">
      <c r="A238" s="23"/>
      <c r="B238" s="20"/>
      <c r="C238" s="19">
        <f>IF($B238="","",IFERROR(VLOOKUP($B238,'Catálogo'!$A:$B,2,FALSE),"⚠ Código no existe"))</f>
      </c>
      <c r="D238" s="21"/>
      <c r="E238" s="22"/>
      <c r="F238" s="16">
        <f>IF($B238="","",$D238*$E238)</f>
      </c>
      <c r="G238" s="20"/>
      <c r="H238" s="20"/>
      <c r="I238" s="14">
        <f>IF(OR($B238="",$H238&lt;&gt;"Sí"),"",IF(DAY($A238)&lt;='Config'!$B$13,DATE(YEAR($A238),MONTH($A238),'Config'!$B$13),EOMONTH($A238,0)+'Config'!$B$13))</f>
      </c>
      <c r="J238" s="14">
        <f>IF($I238="","",DATE(YEAR(EOMONTH($I238,0)+1),MONTH(EOMONTH($I238,0)+1),'Config'!$B$14))</f>
      </c>
      <c r="K238" s="22"/>
      <c r="L238" s="16">
        <f>IF($B238="","",MAX($F238-$K238,0))</f>
      </c>
      <c r="M238" s="19">
        <f>IF($B238="","",IF($H238&lt;&gt;"Sí","Pagado (contado)",IF($L238&lt;=0,"Pagado",IF($K238&gt;0,"Abono parcial","Pendiente"))))</f>
      </c>
      <c r="N238" s="19">
        <f>IF(OR($B238="",$H238&lt;&gt;"Sí",$L238&lt;=0),"",IF(TODAY()&gt;$J238,"🔴 VENCIDO hace "&amp;(TODAY()-$J238)&amp;" día(s)",IF($J238-TODAY()&lt;='Config'!$B$15,"🟠 Faltan "&amp;($J238-TODAY())&amp;" día(s) para pagar","🟢 Al día (paga el "&amp;TEXT($J238,"dd/mm")&amp;")")))</f>
      </c>
      <c r="O238" s="23"/>
      <c r="P238" s="17">
        <f>IF(OR($B238="",$O238=""),"",$O238-$A238)</f>
      </c>
    </row>
    <row r="239">
      <c r="A239" s="23"/>
      <c r="B239" s="20"/>
      <c r="C239" s="19">
        <f>IF($B239="","",IFERROR(VLOOKUP($B239,'Catálogo'!$A:$B,2,FALSE),"⚠ Código no existe"))</f>
      </c>
      <c r="D239" s="21"/>
      <c r="E239" s="22"/>
      <c r="F239" s="16">
        <f>IF($B239="","",$D239*$E239)</f>
      </c>
      <c r="G239" s="20"/>
      <c r="H239" s="20"/>
      <c r="I239" s="14">
        <f>IF(OR($B239="",$H239&lt;&gt;"Sí"),"",IF(DAY($A239)&lt;='Config'!$B$13,DATE(YEAR($A239),MONTH($A239),'Config'!$B$13),EOMONTH($A239,0)+'Config'!$B$13))</f>
      </c>
      <c r="J239" s="14">
        <f>IF($I239="","",DATE(YEAR(EOMONTH($I239,0)+1),MONTH(EOMONTH($I239,0)+1),'Config'!$B$14))</f>
      </c>
      <c r="K239" s="22"/>
      <c r="L239" s="16">
        <f>IF($B239="","",MAX($F239-$K239,0))</f>
      </c>
      <c r="M239" s="19">
        <f>IF($B239="","",IF($H239&lt;&gt;"Sí","Pagado (contado)",IF($L239&lt;=0,"Pagado",IF($K239&gt;0,"Abono parcial","Pendiente"))))</f>
      </c>
      <c r="N239" s="19">
        <f>IF(OR($B239="",$H239&lt;&gt;"Sí",$L239&lt;=0),"",IF(TODAY()&gt;$J239,"🔴 VENCIDO hace "&amp;(TODAY()-$J239)&amp;" día(s)",IF($J239-TODAY()&lt;='Config'!$B$15,"🟠 Faltan "&amp;($J239-TODAY())&amp;" día(s) para pagar","🟢 Al día (paga el "&amp;TEXT($J239,"dd/mm")&amp;")")))</f>
      </c>
      <c r="O239" s="23"/>
      <c r="P239" s="17">
        <f>IF(OR($B239="",$O239=""),"",$O239-$A239)</f>
      </c>
    </row>
    <row r="240">
      <c r="A240" s="23"/>
      <c r="B240" s="20"/>
      <c r="C240" s="19">
        <f>IF($B240="","",IFERROR(VLOOKUP($B240,'Catálogo'!$A:$B,2,FALSE),"⚠ Código no existe"))</f>
      </c>
      <c r="D240" s="21"/>
      <c r="E240" s="22"/>
      <c r="F240" s="16">
        <f>IF($B240="","",$D240*$E240)</f>
      </c>
      <c r="G240" s="20"/>
      <c r="H240" s="20"/>
      <c r="I240" s="14">
        <f>IF(OR($B240="",$H240&lt;&gt;"Sí"),"",IF(DAY($A240)&lt;='Config'!$B$13,DATE(YEAR($A240),MONTH($A240),'Config'!$B$13),EOMONTH($A240,0)+'Config'!$B$13))</f>
      </c>
      <c r="J240" s="14">
        <f>IF($I240="","",DATE(YEAR(EOMONTH($I240,0)+1),MONTH(EOMONTH($I240,0)+1),'Config'!$B$14))</f>
      </c>
      <c r="K240" s="22"/>
      <c r="L240" s="16">
        <f>IF($B240="","",MAX($F240-$K240,0))</f>
      </c>
      <c r="M240" s="19">
        <f>IF($B240="","",IF($H240&lt;&gt;"Sí","Pagado (contado)",IF($L240&lt;=0,"Pagado",IF($K240&gt;0,"Abono parcial","Pendiente"))))</f>
      </c>
      <c r="N240" s="19">
        <f>IF(OR($B240="",$H240&lt;&gt;"Sí",$L240&lt;=0),"",IF(TODAY()&gt;$J240,"🔴 VENCIDO hace "&amp;(TODAY()-$J240)&amp;" día(s)",IF($J240-TODAY()&lt;='Config'!$B$15,"🟠 Faltan "&amp;($J240-TODAY())&amp;" día(s) para pagar","🟢 Al día (paga el "&amp;TEXT($J240,"dd/mm")&amp;")")))</f>
      </c>
      <c r="O240" s="23"/>
      <c r="P240" s="17">
        <f>IF(OR($B240="",$O240=""),"",$O240-$A240)</f>
      </c>
    </row>
    <row r="241">
      <c r="A241" s="23"/>
      <c r="B241" s="20"/>
      <c r="C241" s="19">
        <f>IF($B241="","",IFERROR(VLOOKUP($B241,'Catálogo'!$A:$B,2,FALSE),"⚠ Código no existe"))</f>
      </c>
      <c r="D241" s="21"/>
      <c r="E241" s="22"/>
      <c r="F241" s="16">
        <f>IF($B241="","",$D241*$E241)</f>
      </c>
      <c r="G241" s="20"/>
      <c r="H241" s="20"/>
      <c r="I241" s="14">
        <f>IF(OR($B241="",$H241&lt;&gt;"Sí"),"",IF(DAY($A241)&lt;='Config'!$B$13,DATE(YEAR($A241),MONTH($A241),'Config'!$B$13),EOMONTH($A241,0)+'Config'!$B$13))</f>
      </c>
      <c r="J241" s="14">
        <f>IF($I241="","",DATE(YEAR(EOMONTH($I241,0)+1),MONTH(EOMONTH($I241,0)+1),'Config'!$B$14))</f>
      </c>
      <c r="K241" s="22"/>
      <c r="L241" s="16">
        <f>IF($B241="","",MAX($F241-$K241,0))</f>
      </c>
      <c r="M241" s="19">
        <f>IF($B241="","",IF($H241&lt;&gt;"Sí","Pagado (contado)",IF($L241&lt;=0,"Pagado",IF($K241&gt;0,"Abono parcial","Pendiente"))))</f>
      </c>
      <c r="N241" s="19">
        <f>IF(OR($B241="",$H241&lt;&gt;"Sí",$L241&lt;=0),"",IF(TODAY()&gt;$J241,"🔴 VENCIDO hace "&amp;(TODAY()-$J241)&amp;" día(s)",IF($J241-TODAY()&lt;='Config'!$B$15,"🟠 Faltan "&amp;($J241-TODAY())&amp;" día(s) para pagar","🟢 Al día (paga el "&amp;TEXT($J241,"dd/mm")&amp;")")))</f>
      </c>
      <c r="O241" s="23"/>
      <c r="P241" s="17">
        <f>IF(OR($B241="",$O241=""),"",$O241-$A241)</f>
      </c>
    </row>
    <row r="242">
      <c r="A242" s="23"/>
      <c r="B242" s="20"/>
      <c r="C242" s="19">
        <f>IF($B242="","",IFERROR(VLOOKUP($B242,'Catálogo'!$A:$B,2,FALSE),"⚠ Código no existe"))</f>
      </c>
      <c r="D242" s="21"/>
      <c r="E242" s="22"/>
      <c r="F242" s="16">
        <f>IF($B242="","",$D242*$E242)</f>
      </c>
      <c r="G242" s="20"/>
      <c r="H242" s="20"/>
      <c r="I242" s="14">
        <f>IF(OR($B242="",$H242&lt;&gt;"Sí"),"",IF(DAY($A242)&lt;='Config'!$B$13,DATE(YEAR($A242),MONTH($A242),'Config'!$B$13),EOMONTH($A242,0)+'Config'!$B$13))</f>
      </c>
      <c r="J242" s="14">
        <f>IF($I242="","",DATE(YEAR(EOMONTH($I242,0)+1),MONTH(EOMONTH($I242,0)+1),'Config'!$B$14))</f>
      </c>
      <c r="K242" s="22"/>
      <c r="L242" s="16">
        <f>IF($B242="","",MAX($F242-$K242,0))</f>
      </c>
      <c r="M242" s="19">
        <f>IF($B242="","",IF($H242&lt;&gt;"Sí","Pagado (contado)",IF($L242&lt;=0,"Pagado",IF($K242&gt;0,"Abono parcial","Pendiente"))))</f>
      </c>
      <c r="N242" s="19">
        <f>IF(OR($B242="",$H242&lt;&gt;"Sí",$L242&lt;=0),"",IF(TODAY()&gt;$J242,"🔴 VENCIDO hace "&amp;(TODAY()-$J242)&amp;" día(s)",IF($J242-TODAY()&lt;='Config'!$B$15,"🟠 Faltan "&amp;($J242-TODAY())&amp;" día(s) para pagar","🟢 Al día (paga el "&amp;TEXT($J242,"dd/mm")&amp;")")))</f>
      </c>
      <c r="O242" s="23"/>
      <c r="P242" s="17">
        <f>IF(OR($B242="",$O242=""),"",$O242-$A242)</f>
      </c>
    </row>
    <row r="243">
      <c r="A243" s="23"/>
      <c r="B243" s="20"/>
      <c r="C243" s="19">
        <f>IF($B243="","",IFERROR(VLOOKUP($B243,'Catálogo'!$A:$B,2,FALSE),"⚠ Código no existe"))</f>
      </c>
      <c r="D243" s="21"/>
      <c r="E243" s="22"/>
      <c r="F243" s="16">
        <f>IF($B243="","",$D243*$E243)</f>
      </c>
      <c r="G243" s="20"/>
      <c r="H243" s="20"/>
      <c r="I243" s="14">
        <f>IF(OR($B243="",$H243&lt;&gt;"Sí"),"",IF(DAY($A243)&lt;='Config'!$B$13,DATE(YEAR($A243),MONTH($A243),'Config'!$B$13),EOMONTH($A243,0)+'Config'!$B$13))</f>
      </c>
      <c r="J243" s="14">
        <f>IF($I243="","",DATE(YEAR(EOMONTH($I243,0)+1),MONTH(EOMONTH($I243,0)+1),'Config'!$B$14))</f>
      </c>
      <c r="K243" s="22"/>
      <c r="L243" s="16">
        <f>IF($B243="","",MAX($F243-$K243,0))</f>
      </c>
      <c r="M243" s="19">
        <f>IF($B243="","",IF($H243&lt;&gt;"Sí","Pagado (contado)",IF($L243&lt;=0,"Pagado",IF($K243&gt;0,"Abono parcial","Pendiente"))))</f>
      </c>
      <c r="N243" s="19">
        <f>IF(OR($B243="",$H243&lt;&gt;"Sí",$L243&lt;=0),"",IF(TODAY()&gt;$J243,"🔴 VENCIDO hace "&amp;(TODAY()-$J243)&amp;" día(s)",IF($J243-TODAY()&lt;='Config'!$B$15,"🟠 Faltan "&amp;($J243-TODAY())&amp;" día(s) para pagar","🟢 Al día (paga el "&amp;TEXT($J243,"dd/mm")&amp;")")))</f>
      </c>
      <c r="O243" s="23"/>
      <c r="P243" s="17">
        <f>IF(OR($B243="",$O243=""),"",$O243-$A243)</f>
      </c>
    </row>
    <row r="244">
      <c r="A244" s="23"/>
      <c r="B244" s="20"/>
      <c r="C244" s="19">
        <f>IF($B244="","",IFERROR(VLOOKUP($B244,'Catálogo'!$A:$B,2,FALSE),"⚠ Código no existe"))</f>
      </c>
      <c r="D244" s="21"/>
      <c r="E244" s="22"/>
      <c r="F244" s="16">
        <f>IF($B244="","",$D244*$E244)</f>
      </c>
      <c r="G244" s="20"/>
      <c r="H244" s="20"/>
      <c r="I244" s="14">
        <f>IF(OR($B244="",$H244&lt;&gt;"Sí"),"",IF(DAY($A244)&lt;='Config'!$B$13,DATE(YEAR($A244),MONTH($A244),'Config'!$B$13),EOMONTH($A244,0)+'Config'!$B$13))</f>
      </c>
      <c r="J244" s="14">
        <f>IF($I244="","",DATE(YEAR(EOMONTH($I244,0)+1),MONTH(EOMONTH($I244,0)+1),'Config'!$B$14))</f>
      </c>
      <c r="K244" s="22"/>
      <c r="L244" s="16">
        <f>IF($B244="","",MAX($F244-$K244,0))</f>
      </c>
      <c r="M244" s="19">
        <f>IF($B244="","",IF($H244&lt;&gt;"Sí","Pagado (contado)",IF($L244&lt;=0,"Pagado",IF($K244&gt;0,"Abono parcial","Pendiente"))))</f>
      </c>
      <c r="N244" s="19">
        <f>IF(OR($B244="",$H244&lt;&gt;"Sí",$L244&lt;=0),"",IF(TODAY()&gt;$J244,"🔴 VENCIDO hace "&amp;(TODAY()-$J244)&amp;" día(s)",IF($J244-TODAY()&lt;='Config'!$B$15,"🟠 Faltan "&amp;($J244-TODAY())&amp;" día(s) para pagar","🟢 Al día (paga el "&amp;TEXT($J244,"dd/mm")&amp;")")))</f>
      </c>
      <c r="O244" s="23"/>
      <c r="P244" s="17">
        <f>IF(OR($B244="",$O244=""),"",$O244-$A244)</f>
      </c>
    </row>
    <row r="245">
      <c r="A245" s="23"/>
      <c r="B245" s="20"/>
      <c r="C245" s="19">
        <f>IF($B245="","",IFERROR(VLOOKUP($B245,'Catálogo'!$A:$B,2,FALSE),"⚠ Código no existe"))</f>
      </c>
      <c r="D245" s="21"/>
      <c r="E245" s="22"/>
      <c r="F245" s="16">
        <f>IF($B245="","",$D245*$E245)</f>
      </c>
      <c r="G245" s="20"/>
      <c r="H245" s="20"/>
      <c r="I245" s="14">
        <f>IF(OR($B245="",$H245&lt;&gt;"Sí"),"",IF(DAY($A245)&lt;='Config'!$B$13,DATE(YEAR($A245),MONTH($A245),'Config'!$B$13),EOMONTH($A245,0)+'Config'!$B$13))</f>
      </c>
      <c r="J245" s="14">
        <f>IF($I245="","",DATE(YEAR(EOMONTH($I245,0)+1),MONTH(EOMONTH($I245,0)+1),'Config'!$B$14))</f>
      </c>
      <c r="K245" s="22"/>
      <c r="L245" s="16">
        <f>IF($B245="","",MAX($F245-$K245,0))</f>
      </c>
      <c r="M245" s="19">
        <f>IF($B245="","",IF($H245&lt;&gt;"Sí","Pagado (contado)",IF($L245&lt;=0,"Pagado",IF($K245&gt;0,"Abono parcial","Pendiente"))))</f>
      </c>
      <c r="N245" s="19">
        <f>IF(OR($B245="",$H245&lt;&gt;"Sí",$L245&lt;=0),"",IF(TODAY()&gt;$J245,"🔴 VENCIDO hace "&amp;(TODAY()-$J245)&amp;" día(s)",IF($J245-TODAY()&lt;='Config'!$B$15,"🟠 Faltan "&amp;($J245-TODAY())&amp;" día(s) para pagar","🟢 Al día (paga el "&amp;TEXT($J245,"dd/mm")&amp;")")))</f>
      </c>
      <c r="O245" s="23"/>
      <c r="P245" s="17">
        <f>IF(OR($B245="",$O245=""),"",$O245-$A245)</f>
      </c>
    </row>
    <row r="246">
      <c r="A246" s="23"/>
      <c r="B246" s="20"/>
      <c r="C246" s="19">
        <f>IF($B246="","",IFERROR(VLOOKUP($B246,'Catálogo'!$A:$B,2,FALSE),"⚠ Código no existe"))</f>
      </c>
      <c r="D246" s="21"/>
      <c r="E246" s="22"/>
      <c r="F246" s="16">
        <f>IF($B246="","",$D246*$E246)</f>
      </c>
      <c r="G246" s="20"/>
      <c r="H246" s="20"/>
      <c r="I246" s="14">
        <f>IF(OR($B246="",$H246&lt;&gt;"Sí"),"",IF(DAY($A246)&lt;='Config'!$B$13,DATE(YEAR($A246),MONTH($A246),'Config'!$B$13),EOMONTH($A246,0)+'Config'!$B$13))</f>
      </c>
      <c r="J246" s="14">
        <f>IF($I246="","",DATE(YEAR(EOMONTH($I246,0)+1),MONTH(EOMONTH($I246,0)+1),'Config'!$B$14))</f>
      </c>
      <c r="K246" s="22"/>
      <c r="L246" s="16">
        <f>IF($B246="","",MAX($F246-$K246,0))</f>
      </c>
      <c r="M246" s="19">
        <f>IF($B246="","",IF($H246&lt;&gt;"Sí","Pagado (contado)",IF($L246&lt;=0,"Pagado",IF($K246&gt;0,"Abono parcial","Pendiente"))))</f>
      </c>
      <c r="N246" s="19">
        <f>IF(OR($B246="",$H246&lt;&gt;"Sí",$L246&lt;=0),"",IF(TODAY()&gt;$J246,"🔴 VENCIDO hace "&amp;(TODAY()-$J246)&amp;" día(s)",IF($J246-TODAY()&lt;='Config'!$B$15,"🟠 Faltan "&amp;($J246-TODAY())&amp;" día(s) para pagar","🟢 Al día (paga el "&amp;TEXT($J246,"dd/mm")&amp;")")))</f>
      </c>
      <c r="O246" s="23"/>
      <c r="P246" s="17">
        <f>IF(OR($B246="",$O246=""),"",$O246-$A246)</f>
      </c>
    </row>
    <row r="247">
      <c r="A247" s="23"/>
      <c r="B247" s="20"/>
      <c r="C247" s="19">
        <f>IF($B247="","",IFERROR(VLOOKUP($B247,'Catálogo'!$A:$B,2,FALSE),"⚠ Código no existe"))</f>
      </c>
      <c r="D247" s="21"/>
      <c r="E247" s="22"/>
      <c r="F247" s="16">
        <f>IF($B247="","",$D247*$E247)</f>
      </c>
      <c r="G247" s="20"/>
      <c r="H247" s="20"/>
      <c r="I247" s="14">
        <f>IF(OR($B247="",$H247&lt;&gt;"Sí"),"",IF(DAY($A247)&lt;='Config'!$B$13,DATE(YEAR($A247),MONTH($A247),'Config'!$B$13),EOMONTH($A247,0)+'Config'!$B$13))</f>
      </c>
      <c r="J247" s="14">
        <f>IF($I247="","",DATE(YEAR(EOMONTH($I247,0)+1),MONTH(EOMONTH($I247,0)+1),'Config'!$B$14))</f>
      </c>
      <c r="K247" s="22"/>
      <c r="L247" s="16">
        <f>IF($B247="","",MAX($F247-$K247,0))</f>
      </c>
      <c r="M247" s="19">
        <f>IF($B247="","",IF($H247&lt;&gt;"Sí","Pagado (contado)",IF($L247&lt;=0,"Pagado",IF($K247&gt;0,"Abono parcial","Pendiente"))))</f>
      </c>
      <c r="N247" s="19">
        <f>IF(OR($B247="",$H247&lt;&gt;"Sí",$L247&lt;=0),"",IF(TODAY()&gt;$J247,"🔴 VENCIDO hace "&amp;(TODAY()-$J247)&amp;" día(s)",IF($J247-TODAY()&lt;='Config'!$B$15,"🟠 Faltan "&amp;($J247-TODAY())&amp;" día(s) para pagar","🟢 Al día (paga el "&amp;TEXT($J247,"dd/mm")&amp;")")))</f>
      </c>
      <c r="O247" s="23"/>
      <c r="P247" s="17">
        <f>IF(OR($B247="",$O247=""),"",$O247-$A247)</f>
      </c>
    </row>
    <row r="248">
      <c r="A248" s="23"/>
      <c r="B248" s="20"/>
      <c r="C248" s="19">
        <f>IF($B248="","",IFERROR(VLOOKUP($B248,'Catálogo'!$A:$B,2,FALSE),"⚠ Código no existe"))</f>
      </c>
      <c r="D248" s="21"/>
      <c r="E248" s="22"/>
      <c r="F248" s="16">
        <f>IF($B248="","",$D248*$E248)</f>
      </c>
      <c r="G248" s="20"/>
      <c r="H248" s="20"/>
      <c r="I248" s="14">
        <f>IF(OR($B248="",$H248&lt;&gt;"Sí"),"",IF(DAY($A248)&lt;='Config'!$B$13,DATE(YEAR($A248),MONTH($A248),'Config'!$B$13),EOMONTH($A248,0)+'Config'!$B$13))</f>
      </c>
      <c r="J248" s="14">
        <f>IF($I248="","",DATE(YEAR(EOMONTH($I248,0)+1),MONTH(EOMONTH($I248,0)+1),'Config'!$B$14))</f>
      </c>
      <c r="K248" s="22"/>
      <c r="L248" s="16">
        <f>IF($B248="","",MAX($F248-$K248,0))</f>
      </c>
      <c r="M248" s="19">
        <f>IF($B248="","",IF($H248&lt;&gt;"Sí","Pagado (contado)",IF($L248&lt;=0,"Pagado",IF($K248&gt;0,"Abono parcial","Pendiente"))))</f>
      </c>
      <c r="N248" s="19">
        <f>IF(OR($B248="",$H248&lt;&gt;"Sí",$L248&lt;=0),"",IF(TODAY()&gt;$J248,"🔴 VENCIDO hace "&amp;(TODAY()-$J248)&amp;" día(s)",IF($J248-TODAY()&lt;='Config'!$B$15,"🟠 Faltan "&amp;($J248-TODAY())&amp;" día(s) para pagar","🟢 Al día (paga el "&amp;TEXT($J248,"dd/mm")&amp;")")))</f>
      </c>
      <c r="O248" s="23"/>
      <c r="P248" s="17">
        <f>IF(OR($B248="",$O248=""),"",$O248-$A248)</f>
      </c>
    </row>
    <row r="249">
      <c r="A249" s="23"/>
      <c r="B249" s="20"/>
      <c r="C249" s="19">
        <f>IF($B249="","",IFERROR(VLOOKUP($B249,'Catálogo'!$A:$B,2,FALSE),"⚠ Código no existe"))</f>
      </c>
      <c r="D249" s="21"/>
      <c r="E249" s="22"/>
      <c r="F249" s="16">
        <f>IF($B249="","",$D249*$E249)</f>
      </c>
      <c r="G249" s="20"/>
      <c r="H249" s="20"/>
      <c r="I249" s="14">
        <f>IF(OR($B249="",$H249&lt;&gt;"Sí"),"",IF(DAY($A249)&lt;='Config'!$B$13,DATE(YEAR($A249),MONTH($A249),'Config'!$B$13),EOMONTH($A249,0)+'Config'!$B$13))</f>
      </c>
      <c r="J249" s="14">
        <f>IF($I249="","",DATE(YEAR(EOMONTH($I249,0)+1),MONTH(EOMONTH($I249,0)+1),'Config'!$B$14))</f>
      </c>
      <c r="K249" s="22"/>
      <c r="L249" s="16">
        <f>IF($B249="","",MAX($F249-$K249,0))</f>
      </c>
      <c r="M249" s="19">
        <f>IF($B249="","",IF($H249&lt;&gt;"Sí","Pagado (contado)",IF($L249&lt;=0,"Pagado",IF($K249&gt;0,"Abono parcial","Pendiente"))))</f>
      </c>
      <c r="N249" s="19">
        <f>IF(OR($B249="",$H249&lt;&gt;"Sí",$L249&lt;=0),"",IF(TODAY()&gt;$J249,"🔴 VENCIDO hace "&amp;(TODAY()-$J249)&amp;" día(s)",IF($J249-TODAY()&lt;='Config'!$B$15,"🟠 Faltan "&amp;($J249-TODAY())&amp;" día(s) para pagar","🟢 Al día (paga el "&amp;TEXT($J249,"dd/mm")&amp;")")))</f>
      </c>
      <c r="O249" s="23"/>
      <c r="P249" s="17">
        <f>IF(OR($B249="",$O249=""),"",$O249-$A249)</f>
      </c>
    </row>
    <row r="250">
      <c r="A250" s="23"/>
      <c r="B250" s="20"/>
      <c r="C250" s="19">
        <f>IF($B250="","",IFERROR(VLOOKUP($B250,'Catálogo'!$A:$B,2,FALSE),"⚠ Código no existe"))</f>
      </c>
      <c r="D250" s="21"/>
      <c r="E250" s="22"/>
      <c r="F250" s="16">
        <f>IF($B250="","",$D250*$E250)</f>
      </c>
      <c r="G250" s="20"/>
      <c r="H250" s="20"/>
      <c r="I250" s="14">
        <f>IF(OR($B250="",$H250&lt;&gt;"Sí"),"",IF(DAY($A250)&lt;='Config'!$B$13,DATE(YEAR($A250),MONTH($A250),'Config'!$B$13),EOMONTH($A250,0)+'Config'!$B$13))</f>
      </c>
      <c r="J250" s="14">
        <f>IF($I250="","",DATE(YEAR(EOMONTH($I250,0)+1),MONTH(EOMONTH($I250,0)+1),'Config'!$B$14))</f>
      </c>
      <c r="K250" s="22"/>
      <c r="L250" s="16">
        <f>IF($B250="","",MAX($F250-$K250,0))</f>
      </c>
      <c r="M250" s="19">
        <f>IF($B250="","",IF($H250&lt;&gt;"Sí","Pagado (contado)",IF($L250&lt;=0,"Pagado",IF($K250&gt;0,"Abono parcial","Pendiente"))))</f>
      </c>
      <c r="N250" s="19">
        <f>IF(OR($B250="",$H250&lt;&gt;"Sí",$L250&lt;=0),"",IF(TODAY()&gt;$J250,"🔴 VENCIDO hace "&amp;(TODAY()-$J250)&amp;" día(s)",IF($J250-TODAY()&lt;='Config'!$B$15,"🟠 Faltan "&amp;($J250-TODAY())&amp;" día(s) para pagar","🟢 Al día (paga el "&amp;TEXT($J250,"dd/mm")&amp;")")))</f>
      </c>
      <c r="O250" s="23"/>
      <c r="P250" s="17">
        <f>IF(OR($B250="",$O250=""),"",$O250-$A250)</f>
      </c>
    </row>
    <row r="251">
      <c r="A251" s="23"/>
      <c r="B251" s="20"/>
      <c r="C251" s="19">
        <f>IF($B251="","",IFERROR(VLOOKUP($B251,'Catálogo'!$A:$B,2,FALSE),"⚠ Código no existe"))</f>
      </c>
      <c r="D251" s="21"/>
      <c r="E251" s="22"/>
      <c r="F251" s="16">
        <f>IF($B251="","",$D251*$E251)</f>
      </c>
      <c r="G251" s="20"/>
      <c r="H251" s="20"/>
      <c r="I251" s="14">
        <f>IF(OR($B251="",$H251&lt;&gt;"Sí"),"",IF(DAY($A251)&lt;='Config'!$B$13,DATE(YEAR($A251),MONTH($A251),'Config'!$B$13),EOMONTH($A251,0)+'Config'!$B$13))</f>
      </c>
      <c r="J251" s="14">
        <f>IF($I251="","",DATE(YEAR(EOMONTH($I251,0)+1),MONTH(EOMONTH($I251,0)+1),'Config'!$B$14))</f>
      </c>
      <c r="K251" s="22"/>
      <c r="L251" s="16">
        <f>IF($B251="","",MAX($F251-$K251,0))</f>
      </c>
      <c r="M251" s="19">
        <f>IF($B251="","",IF($H251&lt;&gt;"Sí","Pagado (contado)",IF($L251&lt;=0,"Pagado",IF($K251&gt;0,"Abono parcial","Pendiente"))))</f>
      </c>
      <c r="N251" s="19">
        <f>IF(OR($B251="",$H251&lt;&gt;"Sí",$L251&lt;=0),"",IF(TODAY()&gt;$J251,"🔴 VENCIDO hace "&amp;(TODAY()-$J251)&amp;" día(s)",IF($J251-TODAY()&lt;='Config'!$B$15,"🟠 Faltan "&amp;($J251-TODAY())&amp;" día(s) para pagar","🟢 Al día (paga el "&amp;TEXT($J251,"dd/mm")&amp;")")))</f>
      </c>
      <c r="O251" s="23"/>
      <c r="P251" s="17">
        <f>IF(OR($B251="",$O251=""),"",$O251-$A251)</f>
      </c>
    </row>
    <row r="252">
      <c r="A252" s="23"/>
      <c r="B252" s="20"/>
      <c r="C252" s="19">
        <f>IF($B252="","",IFERROR(VLOOKUP($B252,'Catálogo'!$A:$B,2,FALSE),"⚠ Código no existe"))</f>
      </c>
      <c r="D252" s="21"/>
      <c r="E252" s="22"/>
      <c r="F252" s="16">
        <f>IF($B252="","",$D252*$E252)</f>
      </c>
      <c r="G252" s="20"/>
      <c r="H252" s="20"/>
      <c r="I252" s="14">
        <f>IF(OR($B252="",$H252&lt;&gt;"Sí"),"",IF(DAY($A252)&lt;='Config'!$B$13,DATE(YEAR($A252),MONTH($A252),'Config'!$B$13),EOMONTH($A252,0)+'Config'!$B$13))</f>
      </c>
      <c r="J252" s="14">
        <f>IF($I252="","",DATE(YEAR(EOMONTH($I252,0)+1),MONTH(EOMONTH($I252,0)+1),'Config'!$B$14))</f>
      </c>
      <c r="K252" s="22"/>
      <c r="L252" s="16">
        <f>IF($B252="","",MAX($F252-$K252,0))</f>
      </c>
      <c r="M252" s="19">
        <f>IF($B252="","",IF($H252&lt;&gt;"Sí","Pagado (contado)",IF($L252&lt;=0,"Pagado",IF($K252&gt;0,"Abono parcial","Pendiente"))))</f>
      </c>
      <c r="N252" s="19">
        <f>IF(OR($B252="",$H252&lt;&gt;"Sí",$L252&lt;=0),"",IF(TODAY()&gt;$J252,"🔴 VENCIDO hace "&amp;(TODAY()-$J252)&amp;" día(s)",IF($J252-TODAY()&lt;='Config'!$B$15,"🟠 Faltan "&amp;($J252-TODAY())&amp;" día(s) para pagar","🟢 Al día (paga el "&amp;TEXT($J252,"dd/mm")&amp;")")))</f>
      </c>
      <c r="O252" s="23"/>
      <c r="P252" s="17">
        <f>IF(OR($B252="",$O252=""),"",$O252-$A252)</f>
      </c>
    </row>
    <row r="253">
      <c r="A253" s="23"/>
      <c r="B253" s="20"/>
      <c r="C253" s="19">
        <f>IF($B253="","",IFERROR(VLOOKUP($B253,'Catálogo'!$A:$B,2,FALSE),"⚠ Código no existe"))</f>
      </c>
      <c r="D253" s="21"/>
      <c r="E253" s="22"/>
      <c r="F253" s="16">
        <f>IF($B253="","",$D253*$E253)</f>
      </c>
      <c r="G253" s="20"/>
      <c r="H253" s="20"/>
      <c r="I253" s="14">
        <f>IF(OR($B253="",$H253&lt;&gt;"Sí"),"",IF(DAY($A253)&lt;='Config'!$B$13,DATE(YEAR($A253),MONTH($A253),'Config'!$B$13),EOMONTH($A253,0)+'Config'!$B$13))</f>
      </c>
      <c r="J253" s="14">
        <f>IF($I253="","",DATE(YEAR(EOMONTH($I253,0)+1),MONTH(EOMONTH($I253,0)+1),'Config'!$B$14))</f>
      </c>
      <c r="K253" s="22"/>
      <c r="L253" s="16">
        <f>IF($B253="","",MAX($F253-$K253,0))</f>
      </c>
      <c r="M253" s="19">
        <f>IF($B253="","",IF($H253&lt;&gt;"Sí","Pagado (contado)",IF($L253&lt;=0,"Pagado",IF($K253&gt;0,"Abono parcial","Pendiente"))))</f>
      </c>
      <c r="N253" s="19">
        <f>IF(OR($B253="",$H253&lt;&gt;"Sí",$L253&lt;=0),"",IF(TODAY()&gt;$J253,"🔴 VENCIDO hace "&amp;(TODAY()-$J253)&amp;" día(s)",IF($J253-TODAY()&lt;='Config'!$B$15,"🟠 Faltan "&amp;($J253-TODAY())&amp;" día(s) para pagar","🟢 Al día (paga el "&amp;TEXT($J253,"dd/mm")&amp;")")))</f>
      </c>
      <c r="O253" s="23"/>
      <c r="P253" s="17">
        <f>IF(OR($B253="",$O253=""),"",$O253-$A253)</f>
      </c>
    </row>
    <row r="254">
      <c r="A254" s="23"/>
      <c r="B254" s="20"/>
      <c r="C254" s="19">
        <f>IF($B254="","",IFERROR(VLOOKUP($B254,'Catálogo'!$A:$B,2,FALSE),"⚠ Código no existe"))</f>
      </c>
      <c r="D254" s="21"/>
      <c r="E254" s="22"/>
      <c r="F254" s="16">
        <f>IF($B254="","",$D254*$E254)</f>
      </c>
      <c r="G254" s="20"/>
      <c r="H254" s="20"/>
      <c r="I254" s="14">
        <f>IF(OR($B254="",$H254&lt;&gt;"Sí"),"",IF(DAY($A254)&lt;='Config'!$B$13,DATE(YEAR($A254),MONTH($A254),'Config'!$B$13),EOMONTH($A254,0)+'Config'!$B$13))</f>
      </c>
      <c r="J254" s="14">
        <f>IF($I254="","",DATE(YEAR(EOMONTH($I254,0)+1),MONTH(EOMONTH($I254,0)+1),'Config'!$B$14))</f>
      </c>
      <c r="K254" s="22"/>
      <c r="L254" s="16">
        <f>IF($B254="","",MAX($F254-$K254,0))</f>
      </c>
      <c r="M254" s="19">
        <f>IF($B254="","",IF($H254&lt;&gt;"Sí","Pagado (contado)",IF($L254&lt;=0,"Pagado",IF($K254&gt;0,"Abono parcial","Pendiente"))))</f>
      </c>
      <c r="N254" s="19">
        <f>IF(OR($B254="",$H254&lt;&gt;"Sí",$L254&lt;=0),"",IF(TODAY()&gt;$J254,"🔴 VENCIDO hace "&amp;(TODAY()-$J254)&amp;" día(s)",IF($J254-TODAY()&lt;='Config'!$B$15,"🟠 Faltan "&amp;($J254-TODAY())&amp;" día(s) para pagar","🟢 Al día (paga el "&amp;TEXT($J254,"dd/mm")&amp;")")))</f>
      </c>
      <c r="O254" s="23"/>
      <c r="P254" s="17">
        <f>IF(OR($B254="",$O254=""),"",$O254-$A254)</f>
      </c>
    </row>
    <row r="255">
      <c r="A255" s="23"/>
      <c r="B255" s="20"/>
      <c r="C255" s="19">
        <f>IF($B255="","",IFERROR(VLOOKUP($B255,'Catálogo'!$A:$B,2,FALSE),"⚠ Código no existe"))</f>
      </c>
      <c r="D255" s="21"/>
      <c r="E255" s="22"/>
      <c r="F255" s="16">
        <f>IF($B255="","",$D255*$E255)</f>
      </c>
      <c r="G255" s="20"/>
      <c r="H255" s="20"/>
      <c r="I255" s="14">
        <f>IF(OR($B255="",$H255&lt;&gt;"Sí"),"",IF(DAY($A255)&lt;='Config'!$B$13,DATE(YEAR($A255),MONTH($A255),'Config'!$B$13),EOMONTH($A255,0)+'Config'!$B$13))</f>
      </c>
      <c r="J255" s="14">
        <f>IF($I255="","",DATE(YEAR(EOMONTH($I255,0)+1),MONTH(EOMONTH($I255,0)+1),'Config'!$B$14))</f>
      </c>
      <c r="K255" s="22"/>
      <c r="L255" s="16">
        <f>IF($B255="","",MAX($F255-$K255,0))</f>
      </c>
      <c r="M255" s="19">
        <f>IF($B255="","",IF($H255&lt;&gt;"Sí","Pagado (contado)",IF($L255&lt;=0,"Pagado",IF($K255&gt;0,"Abono parcial","Pendiente"))))</f>
      </c>
      <c r="N255" s="19">
        <f>IF(OR($B255="",$H255&lt;&gt;"Sí",$L255&lt;=0),"",IF(TODAY()&gt;$J255,"🔴 VENCIDO hace "&amp;(TODAY()-$J255)&amp;" día(s)",IF($J255-TODAY()&lt;='Config'!$B$15,"🟠 Faltan "&amp;($J255-TODAY())&amp;" día(s) para pagar","🟢 Al día (paga el "&amp;TEXT($J255,"dd/mm")&amp;")")))</f>
      </c>
      <c r="O255" s="23"/>
      <c r="P255" s="17">
        <f>IF(OR($B255="",$O255=""),"",$O255-$A255)</f>
      </c>
    </row>
    <row r="256">
      <c r="A256" s="23"/>
      <c r="B256" s="20"/>
      <c r="C256" s="19">
        <f>IF($B256="","",IFERROR(VLOOKUP($B256,'Catálogo'!$A:$B,2,FALSE),"⚠ Código no existe"))</f>
      </c>
      <c r="D256" s="21"/>
      <c r="E256" s="22"/>
      <c r="F256" s="16">
        <f>IF($B256="","",$D256*$E256)</f>
      </c>
      <c r="G256" s="20"/>
      <c r="H256" s="20"/>
      <c r="I256" s="14">
        <f>IF(OR($B256="",$H256&lt;&gt;"Sí"),"",IF(DAY($A256)&lt;='Config'!$B$13,DATE(YEAR($A256),MONTH($A256),'Config'!$B$13),EOMONTH($A256,0)+'Config'!$B$13))</f>
      </c>
      <c r="J256" s="14">
        <f>IF($I256="","",DATE(YEAR(EOMONTH($I256,0)+1),MONTH(EOMONTH($I256,0)+1),'Config'!$B$14))</f>
      </c>
      <c r="K256" s="22"/>
      <c r="L256" s="16">
        <f>IF($B256="","",MAX($F256-$K256,0))</f>
      </c>
      <c r="M256" s="19">
        <f>IF($B256="","",IF($H256&lt;&gt;"Sí","Pagado (contado)",IF($L256&lt;=0,"Pagado",IF($K256&gt;0,"Abono parcial","Pendiente"))))</f>
      </c>
      <c r="N256" s="19">
        <f>IF(OR($B256="",$H256&lt;&gt;"Sí",$L256&lt;=0),"",IF(TODAY()&gt;$J256,"🔴 VENCIDO hace "&amp;(TODAY()-$J256)&amp;" día(s)",IF($J256-TODAY()&lt;='Config'!$B$15,"🟠 Faltan "&amp;($J256-TODAY())&amp;" día(s) para pagar","🟢 Al día (paga el "&amp;TEXT($J256,"dd/mm")&amp;")")))</f>
      </c>
      <c r="O256" s="23"/>
      <c r="P256" s="17">
        <f>IF(OR($B256="",$O256=""),"",$O256-$A256)</f>
      </c>
    </row>
    <row r="257">
      <c r="A257" s="23"/>
      <c r="B257" s="20"/>
      <c r="C257" s="19">
        <f>IF($B257="","",IFERROR(VLOOKUP($B257,'Catálogo'!$A:$B,2,FALSE),"⚠ Código no existe"))</f>
      </c>
      <c r="D257" s="21"/>
      <c r="E257" s="22"/>
      <c r="F257" s="16">
        <f>IF($B257="","",$D257*$E257)</f>
      </c>
      <c r="G257" s="20"/>
      <c r="H257" s="20"/>
      <c r="I257" s="14">
        <f>IF(OR($B257="",$H257&lt;&gt;"Sí"),"",IF(DAY($A257)&lt;='Config'!$B$13,DATE(YEAR($A257),MONTH($A257),'Config'!$B$13),EOMONTH($A257,0)+'Config'!$B$13))</f>
      </c>
      <c r="J257" s="14">
        <f>IF($I257="","",DATE(YEAR(EOMONTH($I257,0)+1),MONTH(EOMONTH($I257,0)+1),'Config'!$B$14))</f>
      </c>
      <c r="K257" s="22"/>
      <c r="L257" s="16">
        <f>IF($B257="","",MAX($F257-$K257,0))</f>
      </c>
      <c r="M257" s="19">
        <f>IF($B257="","",IF($H257&lt;&gt;"Sí","Pagado (contado)",IF($L257&lt;=0,"Pagado",IF($K257&gt;0,"Abono parcial","Pendiente"))))</f>
      </c>
      <c r="N257" s="19">
        <f>IF(OR($B257="",$H257&lt;&gt;"Sí",$L257&lt;=0),"",IF(TODAY()&gt;$J257,"🔴 VENCIDO hace "&amp;(TODAY()-$J257)&amp;" día(s)",IF($J257-TODAY()&lt;='Config'!$B$15,"🟠 Faltan "&amp;($J257-TODAY())&amp;" día(s) para pagar","🟢 Al día (paga el "&amp;TEXT($J257,"dd/mm")&amp;")")))</f>
      </c>
      <c r="O257" s="23"/>
      <c r="P257" s="17">
        <f>IF(OR($B257="",$O257=""),"",$O257-$A257)</f>
      </c>
    </row>
    <row r="258">
      <c r="A258" s="23"/>
      <c r="B258" s="20"/>
      <c r="C258" s="19">
        <f>IF($B258="","",IFERROR(VLOOKUP($B258,'Catálogo'!$A:$B,2,FALSE),"⚠ Código no existe"))</f>
      </c>
      <c r="D258" s="21"/>
      <c r="E258" s="22"/>
      <c r="F258" s="16">
        <f>IF($B258="","",$D258*$E258)</f>
      </c>
      <c r="G258" s="20"/>
      <c r="H258" s="20"/>
      <c r="I258" s="14">
        <f>IF(OR($B258="",$H258&lt;&gt;"Sí"),"",IF(DAY($A258)&lt;='Config'!$B$13,DATE(YEAR($A258),MONTH($A258),'Config'!$B$13),EOMONTH($A258,0)+'Config'!$B$13))</f>
      </c>
      <c r="J258" s="14">
        <f>IF($I258="","",DATE(YEAR(EOMONTH($I258,0)+1),MONTH(EOMONTH($I258,0)+1),'Config'!$B$14))</f>
      </c>
      <c r="K258" s="22"/>
      <c r="L258" s="16">
        <f>IF($B258="","",MAX($F258-$K258,0))</f>
      </c>
      <c r="M258" s="19">
        <f>IF($B258="","",IF($H258&lt;&gt;"Sí","Pagado (contado)",IF($L258&lt;=0,"Pagado",IF($K258&gt;0,"Abono parcial","Pendiente"))))</f>
      </c>
      <c r="N258" s="19">
        <f>IF(OR($B258="",$H258&lt;&gt;"Sí",$L258&lt;=0),"",IF(TODAY()&gt;$J258,"🔴 VENCIDO hace "&amp;(TODAY()-$J258)&amp;" día(s)",IF($J258-TODAY()&lt;='Config'!$B$15,"🟠 Faltan "&amp;($J258-TODAY())&amp;" día(s) para pagar","🟢 Al día (paga el "&amp;TEXT($J258,"dd/mm")&amp;")")))</f>
      </c>
      <c r="O258" s="23"/>
      <c r="P258" s="17">
        <f>IF(OR($B258="",$O258=""),"",$O258-$A258)</f>
      </c>
    </row>
    <row r="259">
      <c r="A259" s="23"/>
      <c r="B259" s="20"/>
      <c r="C259" s="19">
        <f>IF($B259="","",IFERROR(VLOOKUP($B259,'Catálogo'!$A:$B,2,FALSE),"⚠ Código no existe"))</f>
      </c>
      <c r="D259" s="21"/>
      <c r="E259" s="22"/>
      <c r="F259" s="16">
        <f>IF($B259="","",$D259*$E259)</f>
      </c>
      <c r="G259" s="20"/>
      <c r="H259" s="20"/>
      <c r="I259" s="14">
        <f>IF(OR($B259="",$H259&lt;&gt;"Sí"),"",IF(DAY($A259)&lt;='Config'!$B$13,DATE(YEAR($A259),MONTH($A259),'Config'!$B$13),EOMONTH($A259,0)+'Config'!$B$13))</f>
      </c>
      <c r="J259" s="14">
        <f>IF($I259="","",DATE(YEAR(EOMONTH($I259,0)+1),MONTH(EOMONTH($I259,0)+1),'Config'!$B$14))</f>
      </c>
      <c r="K259" s="22"/>
      <c r="L259" s="16">
        <f>IF($B259="","",MAX($F259-$K259,0))</f>
      </c>
      <c r="M259" s="19">
        <f>IF($B259="","",IF($H259&lt;&gt;"Sí","Pagado (contado)",IF($L259&lt;=0,"Pagado",IF($K259&gt;0,"Abono parcial","Pendiente"))))</f>
      </c>
      <c r="N259" s="19">
        <f>IF(OR($B259="",$H259&lt;&gt;"Sí",$L259&lt;=0),"",IF(TODAY()&gt;$J259,"🔴 VENCIDO hace "&amp;(TODAY()-$J259)&amp;" día(s)",IF($J259-TODAY()&lt;='Config'!$B$15,"🟠 Faltan "&amp;($J259-TODAY())&amp;" día(s) para pagar","🟢 Al día (paga el "&amp;TEXT($J259,"dd/mm")&amp;")")))</f>
      </c>
      <c r="O259" s="23"/>
      <c r="P259" s="17">
        <f>IF(OR($B259="",$O259=""),"",$O259-$A259)</f>
      </c>
    </row>
    <row r="260">
      <c r="A260" s="23"/>
      <c r="B260" s="20"/>
      <c r="C260" s="19">
        <f>IF($B260="","",IFERROR(VLOOKUP($B260,'Catálogo'!$A:$B,2,FALSE),"⚠ Código no existe"))</f>
      </c>
      <c r="D260" s="21"/>
      <c r="E260" s="22"/>
      <c r="F260" s="16">
        <f>IF($B260="","",$D260*$E260)</f>
      </c>
      <c r="G260" s="20"/>
      <c r="H260" s="20"/>
      <c r="I260" s="14">
        <f>IF(OR($B260="",$H260&lt;&gt;"Sí"),"",IF(DAY($A260)&lt;='Config'!$B$13,DATE(YEAR($A260),MONTH($A260),'Config'!$B$13),EOMONTH($A260,0)+'Config'!$B$13))</f>
      </c>
      <c r="J260" s="14">
        <f>IF($I260="","",DATE(YEAR(EOMONTH($I260,0)+1),MONTH(EOMONTH($I260,0)+1),'Config'!$B$14))</f>
      </c>
      <c r="K260" s="22"/>
      <c r="L260" s="16">
        <f>IF($B260="","",MAX($F260-$K260,0))</f>
      </c>
      <c r="M260" s="19">
        <f>IF($B260="","",IF($H260&lt;&gt;"Sí","Pagado (contado)",IF($L260&lt;=0,"Pagado",IF($K260&gt;0,"Abono parcial","Pendiente"))))</f>
      </c>
      <c r="N260" s="19">
        <f>IF(OR($B260="",$H260&lt;&gt;"Sí",$L260&lt;=0),"",IF(TODAY()&gt;$J260,"🔴 VENCIDO hace "&amp;(TODAY()-$J260)&amp;" día(s)",IF($J260-TODAY()&lt;='Config'!$B$15,"🟠 Faltan "&amp;($J260-TODAY())&amp;" día(s) para pagar","🟢 Al día (paga el "&amp;TEXT($J260,"dd/mm")&amp;")")))</f>
      </c>
      <c r="O260" s="23"/>
      <c r="P260" s="17">
        <f>IF(OR($B260="",$O260=""),"",$O260-$A260)</f>
      </c>
    </row>
    <row r="261">
      <c r="A261" s="23"/>
      <c r="B261" s="20"/>
      <c r="C261" s="19">
        <f>IF($B261="","",IFERROR(VLOOKUP($B261,'Catálogo'!$A:$B,2,FALSE),"⚠ Código no existe"))</f>
      </c>
      <c r="D261" s="21"/>
      <c r="E261" s="22"/>
      <c r="F261" s="16">
        <f>IF($B261="","",$D261*$E261)</f>
      </c>
      <c r="G261" s="20"/>
      <c r="H261" s="20"/>
      <c r="I261" s="14">
        <f>IF(OR($B261="",$H261&lt;&gt;"Sí"),"",IF(DAY($A261)&lt;='Config'!$B$13,DATE(YEAR($A261),MONTH($A261),'Config'!$B$13),EOMONTH($A261,0)+'Config'!$B$13))</f>
      </c>
      <c r="J261" s="14">
        <f>IF($I261="","",DATE(YEAR(EOMONTH($I261,0)+1),MONTH(EOMONTH($I261,0)+1),'Config'!$B$14))</f>
      </c>
      <c r="K261" s="22"/>
      <c r="L261" s="16">
        <f>IF($B261="","",MAX($F261-$K261,0))</f>
      </c>
      <c r="M261" s="19">
        <f>IF($B261="","",IF($H261&lt;&gt;"Sí","Pagado (contado)",IF($L261&lt;=0,"Pagado",IF($K261&gt;0,"Abono parcial","Pendiente"))))</f>
      </c>
      <c r="N261" s="19">
        <f>IF(OR($B261="",$H261&lt;&gt;"Sí",$L261&lt;=0),"",IF(TODAY()&gt;$J261,"🔴 VENCIDO hace "&amp;(TODAY()-$J261)&amp;" día(s)",IF($J261-TODAY()&lt;='Config'!$B$15,"🟠 Faltan "&amp;($J261-TODAY())&amp;" día(s) para pagar","🟢 Al día (paga el "&amp;TEXT($J261,"dd/mm")&amp;")")))</f>
      </c>
      <c r="O261" s="23"/>
      <c r="P261" s="17">
        <f>IF(OR($B261="",$O261=""),"",$O261-$A261)</f>
      </c>
    </row>
    <row r="262">
      <c r="A262" s="23"/>
      <c r="B262" s="20"/>
      <c r="C262" s="19">
        <f>IF($B262="","",IFERROR(VLOOKUP($B262,'Catálogo'!$A:$B,2,FALSE),"⚠ Código no existe"))</f>
      </c>
      <c r="D262" s="21"/>
      <c r="E262" s="22"/>
      <c r="F262" s="16">
        <f>IF($B262="","",$D262*$E262)</f>
      </c>
      <c r="G262" s="20"/>
      <c r="H262" s="20"/>
      <c r="I262" s="14">
        <f>IF(OR($B262="",$H262&lt;&gt;"Sí"),"",IF(DAY($A262)&lt;='Config'!$B$13,DATE(YEAR($A262),MONTH($A262),'Config'!$B$13),EOMONTH($A262,0)+'Config'!$B$13))</f>
      </c>
      <c r="J262" s="14">
        <f>IF($I262="","",DATE(YEAR(EOMONTH($I262,0)+1),MONTH(EOMONTH($I262,0)+1),'Config'!$B$14))</f>
      </c>
      <c r="K262" s="22"/>
      <c r="L262" s="16">
        <f>IF($B262="","",MAX($F262-$K262,0))</f>
      </c>
      <c r="M262" s="19">
        <f>IF($B262="","",IF($H262&lt;&gt;"Sí","Pagado (contado)",IF($L262&lt;=0,"Pagado",IF($K262&gt;0,"Abono parcial","Pendiente"))))</f>
      </c>
      <c r="N262" s="19">
        <f>IF(OR($B262="",$H262&lt;&gt;"Sí",$L262&lt;=0),"",IF(TODAY()&gt;$J262,"🔴 VENCIDO hace "&amp;(TODAY()-$J262)&amp;" día(s)",IF($J262-TODAY()&lt;='Config'!$B$15,"🟠 Faltan "&amp;($J262-TODAY())&amp;" día(s) para pagar","🟢 Al día (paga el "&amp;TEXT($J262,"dd/mm")&amp;")")))</f>
      </c>
      <c r="O262" s="23"/>
      <c r="P262" s="17">
        <f>IF(OR($B262="",$O262=""),"",$O262-$A262)</f>
      </c>
    </row>
    <row r="263">
      <c r="A263" s="23"/>
      <c r="B263" s="20"/>
      <c r="C263" s="19">
        <f>IF($B263="","",IFERROR(VLOOKUP($B263,'Catálogo'!$A:$B,2,FALSE),"⚠ Código no existe"))</f>
      </c>
      <c r="D263" s="21"/>
      <c r="E263" s="22"/>
      <c r="F263" s="16">
        <f>IF($B263="","",$D263*$E263)</f>
      </c>
      <c r="G263" s="20"/>
      <c r="H263" s="20"/>
      <c r="I263" s="14">
        <f>IF(OR($B263="",$H263&lt;&gt;"Sí"),"",IF(DAY($A263)&lt;='Config'!$B$13,DATE(YEAR($A263),MONTH($A263),'Config'!$B$13),EOMONTH($A263,0)+'Config'!$B$13))</f>
      </c>
      <c r="J263" s="14">
        <f>IF($I263="","",DATE(YEAR(EOMONTH($I263,0)+1),MONTH(EOMONTH($I263,0)+1),'Config'!$B$14))</f>
      </c>
      <c r="K263" s="22"/>
      <c r="L263" s="16">
        <f>IF($B263="","",MAX($F263-$K263,0))</f>
      </c>
      <c r="M263" s="19">
        <f>IF($B263="","",IF($H263&lt;&gt;"Sí","Pagado (contado)",IF($L263&lt;=0,"Pagado",IF($K263&gt;0,"Abono parcial","Pendiente"))))</f>
      </c>
      <c r="N263" s="19">
        <f>IF(OR($B263="",$H263&lt;&gt;"Sí",$L263&lt;=0),"",IF(TODAY()&gt;$J263,"🔴 VENCIDO hace "&amp;(TODAY()-$J263)&amp;" día(s)",IF($J263-TODAY()&lt;='Config'!$B$15,"🟠 Faltan "&amp;($J263-TODAY())&amp;" día(s) para pagar","🟢 Al día (paga el "&amp;TEXT($J263,"dd/mm")&amp;")")))</f>
      </c>
      <c r="O263" s="23"/>
      <c r="P263" s="17">
        <f>IF(OR($B263="",$O263=""),"",$O263-$A263)</f>
      </c>
    </row>
    <row r="264">
      <c r="A264" s="23"/>
      <c r="B264" s="20"/>
      <c r="C264" s="19">
        <f>IF($B264="","",IFERROR(VLOOKUP($B264,'Catálogo'!$A:$B,2,FALSE),"⚠ Código no existe"))</f>
      </c>
      <c r="D264" s="21"/>
      <c r="E264" s="22"/>
      <c r="F264" s="16">
        <f>IF($B264="","",$D264*$E264)</f>
      </c>
      <c r="G264" s="20"/>
      <c r="H264" s="20"/>
      <c r="I264" s="14">
        <f>IF(OR($B264="",$H264&lt;&gt;"Sí"),"",IF(DAY($A264)&lt;='Config'!$B$13,DATE(YEAR($A264),MONTH($A264),'Config'!$B$13),EOMONTH($A264,0)+'Config'!$B$13))</f>
      </c>
      <c r="J264" s="14">
        <f>IF($I264="","",DATE(YEAR(EOMONTH($I264,0)+1),MONTH(EOMONTH($I264,0)+1),'Config'!$B$14))</f>
      </c>
      <c r="K264" s="22"/>
      <c r="L264" s="16">
        <f>IF($B264="","",MAX($F264-$K264,0))</f>
      </c>
      <c r="M264" s="19">
        <f>IF($B264="","",IF($H264&lt;&gt;"Sí","Pagado (contado)",IF($L264&lt;=0,"Pagado",IF($K264&gt;0,"Abono parcial","Pendiente"))))</f>
      </c>
      <c r="N264" s="19">
        <f>IF(OR($B264="",$H264&lt;&gt;"Sí",$L264&lt;=0),"",IF(TODAY()&gt;$J264,"🔴 VENCIDO hace "&amp;(TODAY()-$J264)&amp;" día(s)",IF($J264-TODAY()&lt;='Config'!$B$15,"🟠 Faltan "&amp;($J264-TODAY())&amp;" día(s) para pagar","🟢 Al día (paga el "&amp;TEXT($J264,"dd/mm")&amp;")")))</f>
      </c>
      <c r="O264" s="23"/>
      <c r="P264" s="17">
        <f>IF(OR($B264="",$O264=""),"",$O264-$A264)</f>
      </c>
    </row>
    <row r="265">
      <c r="A265" s="23"/>
      <c r="B265" s="20"/>
      <c r="C265" s="19">
        <f>IF($B265="","",IFERROR(VLOOKUP($B265,'Catálogo'!$A:$B,2,FALSE),"⚠ Código no existe"))</f>
      </c>
      <c r="D265" s="21"/>
      <c r="E265" s="22"/>
      <c r="F265" s="16">
        <f>IF($B265="","",$D265*$E265)</f>
      </c>
      <c r="G265" s="20"/>
      <c r="H265" s="20"/>
      <c r="I265" s="14">
        <f>IF(OR($B265="",$H265&lt;&gt;"Sí"),"",IF(DAY($A265)&lt;='Config'!$B$13,DATE(YEAR($A265),MONTH($A265),'Config'!$B$13),EOMONTH($A265,0)+'Config'!$B$13))</f>
      </c>
      <c r="J265" s="14">
        <f>IF($I265="","",DATE(YEAR(EOMONTH($I265,0)+1),MONTH(EOMONTH($I265,0)+1),'Config'!$B$14))</f>
      </c>
      <c r="K265" s="22"/>
      <c r="L265" s="16">
        <f>IF($B265="","",MAX($F265-$K265,0))</f>
      </c>
      <c r="M265" s="19">
        <f>IF($B265="","",IF($H265&lt;&gt;"Sí","Pagado (contado)",IF($L265&lt;=0,"Pagado",IF($K265&gt;0,"Abono parcial","Pendiente"))))</f>
      </c>
      <c r="N265" s="19">
        <f>IF(OR($B265="",$H265&lt;&gt;"Sí",$L265&lt;=0),"",IF(TODAY()&gt;$J265,"🔴 VENCIDO hace "&amp;(TODAY()-$J265)&amp;" día(s)",IF($J265-TODAY()&lt;='Config'!$B$15,"🟠 Faltan "&amp;($J265-TODAY())&amp;" día(s) para pagar","🟢 Al día (paga el "&amp;TEXT($J265,"dd/mm")&amp;")")))</f>
      </c>
      <c r="O265" s="23"/>
      <c r="P265" s="17">
        <f>IF(OR($B265="",$O265=""),"",$O265-$A265)</f>
      </c>
    </row>
    <row r="266">
      <c r="A266" s="23"/>
      <c r="B266" s="20"/>
      <c r="C266" s="19">
        <f>IF($B266="","",IFERROR(VLOOKUP($B266,'Catálogo'!$A:$B,2,FALSE),"⚠ Código no existe"))</f>
      </c>
      <c r="D266" s="21"/>
      <c r="E266" s="22"/>
      <c r="F266" s="16">
        <f>IF($B266="","",$D266*$E266)</f>
      </c>
      <c r="G266" s="20"/>
      <c r="H266" s="20"/>
      <c r="I266" s="14">
        <f>IF(OR($B266="",$H266&lt;&gt;"Sí"),"",IF(DAY($A266)&lt;='Config'!$B$13,DATE(YEAR($A266),MONTH($A266),'Config'!$B$13),EOMONTH($A266,0)+'Config'!$B$13))</f>
      </c>
      <c r="J266" s="14">
        <f>IF($I266="","",DATE(YEAR(EOMONTH($I266,0)+1),MONTH(EOMONTH($I266,0)+1),'Config'!$B$14))</f>
      </c>
      <c r="K266" s="22"/>
      <c r="L266" s="16">
        <f>IF($B266="","",MAX($F266-$K266,0))</f>
      </c>
      <c r="M266" s="19">
        <f>IF($B266="","",IF($H266&lt;&gt;"Sí","Pagado (contado)",IF($L266&lt;=0,"Pagado",IF($K266&gt;0,"Abono parcial","Pendiente"))))</f>
      </c>
      <c r="N266" s="19">
        <f>IF(OR($B266="",$H266&lt;&gt;"Sí",$L266&lt;=0),"",IF(TODAY()&gt;$J266,"🔴 VENCIDO hace "&amp;(TODAY()-$J266)&amp;" día(s)",IF($J266-TODAY()&lt;='Config'!$B$15,"🟠 Faltan "&amp;($J266-TODAY())&amp;" día(s) para pagar","🟢 Al día (paga el "&amp;TEXT($J266,"dd/mm")&amp;")")))</f>
      </c>
      <c r="O266" s="23"/>
      <c r="P266" s="17">
        <f>IF(OR($B266="",$O266=""),"",$O266-$A266)</f>
      </c>
    </row>
    <row r="267">
      <c r="A267" s="23"/>
      <c r="B267" s="20"/>
      <c r="C267" s="19">
        <f>IF($B267="","",IFERROR(VLOOKUP($B267,'Catálogo'!$A:$B,2,FALSE),"⚠ Código no existe"))</f>
      </c>
      <c r="D267" s="21"/>
      <c r="E267" s="22"/>
      <c r="F267" s="16">
        <f>IF($B267="","",$D267*$E267)</f>
      </c>
      <c r="G267" s="20"/>
      <c r="H267" s="20"/>
      <c r="I267" s="14">
        <f>IF(OR($B267="",$H267&lt;&gt;"Sí"),"",IF(DAY($A267)&lt;='Config'!$B$13,DATE(YEAR($A267),MONTH($A267),'Config'!$B$13),EOMONTH($A267,0)+'Config'!$B$13))</f>
      </c>
      <c r="J267" s="14">
        <f>IF($I267="","",DATE(YEAR(EOMONTH($I267,0)+1),MONTH(EOMONTH($I267,0)+1),'Config'!$B$14))</f>
      </c>
      <c r="K267" s="22"/>
      <c r="L267" s="16">
        <f>IF($B267="","",MAX($F267-$K267,0))</f>
      </c>
      <c r="M267" s="19">
        <f>IF($B267="","",IF($H267&lt;&gt;"Sí","Pagado (contado)",IF($L267&lt;=0,"Pagado",IF($K267&gt;0,"Abono parcial","Pendiente"))))</f>
      </c>
      <c r="N267" s="19">
        <f>IF(OR($B267="",$H267&lt;&gt;"Sí",$L267&lt;=0),"",IF(TODAY()&gt;$J267,"🔴 VENCIDO hace "&amp;(TODAY()-$J267)&amp;" día(s)",IF($J267-TODAY()&lt;='Config'!$B$15,"🟠 Faltan "&amp;($J267-TODAY())&amp;" día(s) para pagar","🟢 Al día (paga el "&amp;TEXT($J267,"dd/mm")&amp;")")))</f>
      </c>
      <c r="O267" s="23"/>
      <c r="P267" s="17">
        <f>IF(OR($B267="",$O267=""),"",$O267-$A267)</f>
      </c>
    </row>
    <row r="268">
      <c r="A268" s="23"/>
      <c r="B268" s="20"/>
      <c r="C268" s="19">
        <f>IF($B268="","",IFERROR(VLOOKUP($B268,'Catálogo'!$A:$B,2,FALSE),"⚠ Código no existe"))</f>
      </c>
      <c r="D268" s="21"/>
      <c r="E268" s="22"/>
      <c r="F268" s="16">
        <f>IF($B268="","",$D268*$E268)</f>
      </c>
      <c r="G268" s="20"/>
      <c r="H268" s="20"/>
      <c r="I268" s="14">
        <f>IF(OR($B268="",$H268&lt;&gt;"Sí"),"",IF(DAY($A268)&lt;='Config'!$B$13,DATE(YEAR($A268),MONTH($A268),'Config'!$B$13),EOMONTH($A268,0)+'Config'!$B$13))</f>
      </c>
      <c r="J268" s="14">
        <f>IF($I268="","",DATE(YEAR(EOMONTH($I268,0)+1),MONTH(EOMONTH($I268,0)+1),'Config'!$B$14))</f>
      </c>
      <c r="K268" s="22"/>
      <c r="L268" s="16">
        <f>IF($B268="","",MAX($F268-$K268,0))</f>
      </c>
      <c r="M268" s="19">
        <f>IF($B268="","",IF($H268&lt;&gt;"Sí","Pagado (contado)",IF($L268&lt;=0,"Pagado",IF($K268&gt;0,"Abono parcial","Pendiente"))))</f>
      </c>
      <c r="N268" s="19">
        <f>IF(OR($B268="",$H268&lt;&gt;"Sí",$L268&lt;=0),"",IF(TODAY()&gt;$J268,"🔴 VENCIDO hace "&amp;(TODAY()-$J268)&amp;" día(s)",IF($J268-TODAY()&lt;='Config'!$B$15,"🟠 Faltan "&amp;($J268-TODAY())&amp;" día(s) para pagar","🟢 Al día (paga el "&amp;TEXT($J268,"dd/mm")&amp;")")))</f>
      </c>
      <c r="O268" s="23"/>
      <c r="P268" s="17">
        <f>IF(OR($B268="",$O268=""),"",$O268-$A268)</f>
      </c>
    </row>
    <row r="269">
      <c r="A269" s="23"/>
      <c r="B269" s="20"/>
      <c r="C269" s="19">
        <f>IF($B269="","",IFERROR(VLOOKUP($B269,'Catálogo'!$A:$B,2,FALSE),"⚠ Código no existe"))</f>
      </c>
      <c r="D269" s="21"/>
      <c r="E269" s="22"/>
      <c r="F269" s="16">
        <f>IF($B269="","",$D269*$E269)</f>
      </c>
      <c r="G269" s="20"/>
      <c r="H269" s="20"/>
      <c r="I269" s="14">
        <f>IF(OR($B269="",$H269&lt;&gt;"Sí"),"",IF(DAY($A269)&lt;='Config'!$B$13,DATE(YEAR($A269),MONTH($A269),'Config'!$B$13),EOMONTH($A269,0)+'Config'!$B$13))</f>
      </c>
      <c r="J269" s="14">
        <f>IF($I269="","",DATE(YEAR(EOMONTH($I269,0)+1),MONTH(EOMONTH($I269,0)+1),'Config'!$B$14))</f>
      </c>
      <c r="K269" s="22"/>
      <c r="L269" s="16">
        <f>IF($B269="","",MAX($F269-$K269,0))</f>
      </c>
      <c r="M269" s="19">
        <f>IF($B269="","",IF($H269&lt;&gt;"Sí","Pagado (contado)",IF($L269&lt;=0,"Pagado",IF($K269&gt;0,"Abono parcial","Pendiente"))))</f>
      </c>
      <c r="N269" s="19">
        <f>IF(OR($B269="",$H269&lt;&gt;"Sí",$L269&lt;=0),"",IF(TODAY()&gt;$J269,"🔴 VENCIDO hace "&amp;(TODAY()-$J269)&amp;" día(s)",IF($J269-TODAY()&lt;='Config'!$B$15,"🟠 Faltan "&amp;($J269-TODAY())&amp;" día(s) para pagar","🟢 Al día (paga el "&amp;TEXT($J269,"dd/mm")&amp;")")))</f>
      </c>
      <c r="O269" s="23"/>
      <c r="P269" s="17">
        <f>IF(OR($B269="",$O269=""),"",$O269-$A269)</f>
      </c>
    </row>
    <row r="270">
      <c r="A270" s="23"/>
      <c r="B270" s="20"/>
      <c r="C270" s="19">
        <f>IF($B270="","",IFERROR(VLOOKUP($B270,'Catálogo'!$A:$B,2,FALSE),"⚠ Código no existe"))</f>
      </c>
      <c r="D270" s="21"/>
      <c r="E270" s="22"/>
      <c r="F270" s="16">
        <f>IF($B270="","",$D270*$E270)</f>
      </c>
      <c r="G270" s="20"/>
      <c r="H270" s="20"/>
      <c r="I270" s="14">
        <f>IF(OR($B270="",$H270&lt;&gt;"Sí"),"",IF(DAY($A270)&lt;='Config'!$B$13,DATE(YEAR($A270),MONTH($A270),'Config'!$B$13),EOMONTH($A270,0)+'Config'!$B$13))</f>
      </c>
      <c r="J270" s="14">
        <f>IF($I270="","",DATE(YEAR(EOMONTH($I270,0)+1),MONTH(EOMONTH($I270,0)+1),'Config'!$B$14))</f>
      </c>
      <c r="K270" s="22"/>
      <c r="L270" s="16">
        <f>IF($B270="","",MAX($F270-$K270,0))</f>
      </c>
      <c r="M270" s="19">
        <f>IF($B270="","",IF($H270&lt;&gt;"Sí","Pagado (contado)",IF($L270&lt;=0,"Pagado",IF($K270&gt;0,"Abono parcial","Pendiente"))))</f>
      </c>
      <c r="N270" s="19">
        <f>IF(OR($B270="",$H270&lt;&gt;"Sí",$L270&lt;=0),"",IF(TODAY()&gt;$J270,"🔴 VENCIDO hace "&amp;(TODAY()-$J270)&amp;" día(s)",IF($J270-TODAY()&lt;='Config'!$B$15,"🟠 Faltan "&amp;($J270-TODAY())&amp;" día(s) para pagar","🟢 Al día (paga el "&amp;TEXT($J270,"dd/mm")&amp;")")))</f>
      </c>
      <c r="O270" s="23"/>
      <c r="P270" s="17">
        <f>IF(OR($B270="",$O270=""),"",$O270-$A270)</f>
      </c>
    </row>
    <row r="271">
      <c r="A271" s="23"/>
      <c r="B271" s="20"/>
      <c r="C271" s="19">
        <f>IF($B271="","",IFERROR(VLOOKUP($B271,'Catálogo'!$A:$B,2,FALSE),"⚠ Código no existe"))</f>
      </c>
      <c r="D271" s="21"/>
      <c r="E271" s="22"/>
      <c r="F271" s="16">
        <f>IF($B271="","",$D271*$E271)</f>
      </c>
      <c r="G271" s="20"/>
      <c r="H271" s="20"/>
      <c r="I271" s="14">
        <f>IF(OR($B271="",$H271&lt;&gt;"Sí"),"",IF(DAY($A271)&lt;='Config'!$B$13,DATE(YEAR($A271),MONTH($A271),'Config'!$B$13),EOMONTH($A271,0)+'Config'!$B$13))</f>
      </c>
      <c r="J271" s="14">
        <f>IF($I271="","",DATE(YEAR(EOMONTH($I271,0)+1),MONTH(EOMONTH($I271,0)+1),'Config'!$B$14))</f>
      </c>
      <c r="K271" s="22"/>
      <c r="L271" s="16">
        <f>IF($B271="","",MAX($F271-$K271,0))</f>
      </c>
      <c r="M271" s="19">
        <f>IF($B271="","",IF($H271&lt;&gt;"Sí","Pagado (contado)",IF($L271&lt;=0,"Pagado",IF($K271&gt;0,"Abono parcial","Pendiente"))))</f>
      </c>
      <c r="N271" s="19">
        <f>IF(OR($B271="",$H271&lt;&gt;"Sí",$L271&lt;=0),"",IF(TODAY()&gt;$J271,"🔴 VENCIDO hace "&amp;(TODAY()-$J271)&amp;" día(s)",IF($J271-TODAY()&lt;='Config'!$B$15,"🟠 Faltan "&amp;($J271-TODAY())&amp;" día(s) para pagar","🟢 Al día (paga el "&amp;TEXT($J271,"dd/mm")&amp;")")))</f>
      </c>
      <c r="O271" s="23"/>
      <c r="P271" s="17">
        <f>IF(OR($B271="",$O271=""),"",$O271-$A271)</f>
      </c>
    </row>
    <row r="272">
      <c r="A272" s="23"/>
      <c r="B272" s="20"/>
      <c r="C272" s="19">
        <f>IF($B272="","",IFERROR(VLOOKUP($B272,'Catálogo'!$A:$B,2,FALSE),"⚠ Código no existe"))</f>
      </c>
      <c r="D272" s="21"/>
      <c r="E272" s="22"/>
      <c r="F272" s="16">
        <f>IF($B272="","",$D272*$E272)</f>
      </c>
      <c r="G272" s="20"/>
      <c r="H272" s="20"/>
      <c r="I272" s="14">
        <f>IF(OR($B272="",$H272&lt;&gt;"Sí"),"",IF(DAY($A272)&lt;='Config'!$B$13,DATE(YEAR($A272),MONTH($A272),'Config'!$B$13),EOMONTH($A272,0)+'Config'!$B$13))</f>
      </c>
      <c r="J272" s="14">
        <f>IF($I272="","",DATE(YEAR(EOMONTH($I272,0)+1),MONTH(EOMONTH($I272,0)+1),'Config'!$B$14))</f>
      </c>
      <c r="K272" s="22"/>
      <c r="L272" s="16">
        <f>IF($B272="","",MAX($F272-$K272,0))</f>
      </c>
      <c r="M272" s="19">
        <f>IF($B272="","",IF($H272&lt;&gt;"Sí","Pagado (contado)",IF($L272&lt;=0,"Pagado",IF($K272&gt;0,"Abono parcial","Pendiente"))))</f>
      </c>
      <c r="N272" s="19">
        <f>IF(OR($B272="",$H272&lt;&gt;"Sí",$L272&lt;=0),"",IF(TODAY()&gt;$J272,"🔴 VENCIDO hace "&amp;(TODAY()-$J272)&amp;" día(s)",IF($J272-TODAY()&lt;='Config'!$B$15,"🟠 Faltan "&amp;($J272-TODAY())&amp;" día(s) para pagar","🟢 Al día (paga el "&amp;TEXT($J272,"dd/mm")&amp;")")))</f>
      </c>
      <c r="O272" s="23"/>
      <c r="P272" s="17">
        <f>IF(OR($B272="",$O272=""),"",$O272-$A272)</f>
      </c>
    </row>
    <row r="273">
      <c r="A273" s="23"/>
      <c r="B273" s="20"/>
      <c r="C273" s="19">
        <f>IF($B273="","",IFERROR(VLOOKUP($B273,'Catálogo'!$A:$B,2,FALSE),"⚠ Código no existe"))</f>
      </c>
      <c r="D273" s="21"/>
      <c r="E273" s="22"/>
      <c r="F273" s="16">
        <f>IF($B273="","",$D273*$E273)</f>
      </c>
      <c r="G273" s="20"/>
      <c r="H273" s="20"/>
      <c r="I273" s="14">
        <f>IF(OR($B273="",$H273&lt;&gt;"Sí"),"",IF(DAY($A273)&lt;='Config'!$B$13,DATE(YEAR($A273),MONTH($A273),'Config'!$B$13),EOMONTH($A273,0)+'Config'!$B$13))</f>
      </c>
      <c r="J273" s="14">
        <f>IF($I273="","",DATE(YEAR(EOMONTH($I273,0)+1),MONTH(EOMONTH($I273,0)+1),'Config'!$B$14))</f>
      </c>
      <c r="K273" s="22"/>
      <c r="L273" s="16">
        <f>IF($B273="","",MAX($F273-$K273,0))</f>
      </c>
      <c r="M273" s="19">
        <f>IF($B273="","",IF($H273&lt;&gt;"Sí","Pagado (contado)",IF($L273&lt;=0,"Pagado",IF($K273&gt;0,"Abono parcial","Pendiente"))))</f>
      </c>
      <c r="N273" s="19">
        <f>IF(OR($B273="",$H273&lt;&gt;"Sí",$L273&lt;=0),"",IF(TODAY()&gt;$J273,"🔴 VENCIDO hace "&amp;(TODAY()-$J273)&amp;" día(s)",IF($J273-TODAY()&lt;='Config'!$B$15,"🟠 Faltan "&amp;($J273-TODAY())&amp;" día(s) para pagar","🟢 Al día (paga el "&amp;TEXT($J273,"dd/mm")&amp;")")))</f>
      </c>
      <c r="O273" s="23"/>
      <c r="P273" s="17">
        <f>IF(OR($B273="",$O273=""),"",$O273-$A273)</f>
      </c>
    </row>
    <row r="274">
      <c r="A274" s="23"/>
      <c r="B274" s="20"/>
      <c r="C274" s="19">
        <f>IF($B274="","",IFERROR(VLOOKUP($B274,'Catálogo'!$A:$B,2,FALSE),"⚠ Código no existe"))</f>
      </c>
      <c r="D274" s="21"/>
      <c r="E274" s="22"/>
      <c r="F274" s="16">
        <f>IF($B274="","",$D274*$E274)</f>
      </c>
      <c r="G274" s="20"/>
      <c r="H274" s="20"/>
      <c r="I274" s="14">
        <f>IF(OR($B274="",$H274&lt;&gt;"Sí"),"",IF(DAY($A274)&lt;='Config'!$B$13,DATE(YEAR($A274),MONTH($A274),'Config'!$B$13),EOMONTH($A274,0)+'Config'!$B$13))</f>
      </c>
      <c r="J274" s="14">
        <f>IF($I274="","",DATE(YEAR(EOMONTH($I274,0)+1),MONTH(EOMONTH($I274,0)+1),'Config'!$B$14))</f>
      </c>
      <c r="K274" s="22"/>
      <c r="L274" s="16">
        <f>IF($B274="","",MAX($F274-$K274,0))</f>
      </c>
      <c r="M274" s="19">
        <f>IF($B274="","",IF($H274&lt;&gt;"Sí","Pagado (contado)",IF($L274&lt;=0,"Pagado",IF($K274&gt;0,"Abono parcial","Pendiente"))))</f>
      </c>
      <c r="N274" s="19">
        <f>IF(OR($B274="",$H274&lt;&gt;"Sí",$L274&lt;=0),"",IF(TODAY()&gt;$J274,"🔴 VENCIDO hace "&amp;(TODAY()-$J274)&amp;" día(s)",IF($J274-TODAY()&lt;='Config'!$B$15,"🟠 Faltan "&amp;($J274-TODAY())&amp;" día(s) para pagar","🟢 Al día (paga el "&amp;TEXT($J274,"dd/mm")&amp;")")))</f>
      </c>
      <c r="O274" s="23"/>
      <c r="P274" s="17">
        <f>IF(OR($B274="",$O274=""),"",$O274-$A274)</f>
      </c>
    </row>
    <row r="275">
      <c r="A275" s="23"/>
      <c r="B275" s="20"/>
      <c r="C275" s="19">
        <f>IF($B275="","",IFERROR(VLOOKUP($B275,'Catálogo'!$A:$B,2,FALSE),"⚠ Código no existe"))</f>
      </c>
      <c r="D275" s="21"/>
      <c r="E275" s="22"/>
      <c r="F275" s="16">
        <f>IF($B275="","",$D275*$E275)</f>
      </c>
      <c r="G275" s="20"/>
      <c r="H275" s="20"/>
      <c r="I275" s="14">
        <f>IF(OR($B275="",$H275&lt;&gt;"Sí"),"",IF(DAY($A275)&lt;='Config'!$B$13,DATE(YEAR($A275),MONTH($A275),'Config'!$B$13),EOMONTH($A275,0)+'Config'!$B$13))</f>
      </c>
      <c r="J275" s="14">
        <f>IF($I275="","",DATE(YEAR(EOMONTH($I275,0)+1),MONTH(EOMONTH($I275,0)+1),'Config'!$B$14))</f>
      </c>
      <c r="K275" s="22"/>
      <c r="L275" s="16">
        <f>IF($B275="","",MAX($F275-$K275,0))</f>
      </c>
      <c r="M275" s="19">
        <f>IF($B275="","",IF($H275&lt;&gt;"Sí","Pagado (contado)",IF($L275&lt;=0,"Pagado",IF($K275&gt;0,"Abono parcial","Pendiente"))))</f>
      </c>
      <c r="N275" s="19">
        <f>IF(OR($B275="",$H275&lt;&gt;"Sí",$L275&lt;=0),"",IF(TODAY()&gt;$J275,"🔴 VENCIDO hace "&amp;(TODAY()-$J275)&amp;" día(s)",IF($J275-TODAY()&lt;='Config'!$B$15,"🟠 Faltan "&amp;($J275-TODAY())&amp;" día(s) para pagar","🟢 Al día (paga el "&amp;TEXT($J275,"dd/mm")&amp;")")))</f>
      </c>
      <c r="O275" s="23"/>
      <c r="P275" s="17">
        <f>IF(OR($B275="",$O275=""),"",$O275-$A275)</f>
      </c>
    </row>
    <row r="276">
      <c r="A276" s="23"/>
      <c r="B276" s="20"/>
      <c r="C276" s="19">
        <f>IF($B276="","",IFERROR(VLOOKUP($B276,'Catálogo'!$A:$B,2,FALSE),"⚠ Código no existe"))</f>
      </c>
      <c r="D276" s="21"/>
      <c r="E276" s="22"/>
      <c r="F276" s="16">
        <f>IF($B276="","",$D276*$E276)</f>
      </c>
      <c r="G276" s="20"/>
      <c r="H276" s="20"/>
      <c r="I276" s="14">
        <f>IF(OR($B276="",$H276&lt;&gt;"Sí"),"",IF(DAY($A276)&lt;='Config'!$B$13,DATE(YEAR($A276),MONTH($A276),'Config'!$B$13),EOMONTH($A276,0)+'Config'!$B$13))</f>
      </c>
      <c r="J276" s="14">
        <f>IF($I276="","",DATE(YEAR(EOMONTH($I276,0)+1),MONTH(EOMONTH($I276,0)+1),'Config'!$B$14))</f>
      </c>
      <c r="K276" s="22"/>
      <c r="L276" s="16">
        <f>IF($B276="","",MAX($F276-$K276,0))</f>
      </c>
      <c r="M276" s="19">
        <f>IF($B276="","",IF($H276&lt;&gt;"Sí","Pagado (contado)",IF($L276&lt;=0,"Pagado",IF($K276&gt;0,"Abono parcial","Pendiente"))))</f>
      </c>
      <c r="N276" s="19">
        <f>IF(OR($B276="",$H276&lt;&gt;"Sí",$L276&lt;=0),"",IF(TODAY()&gt;$J276,"🔴 VENCIDO hace "&amp;(TODAY()-$J276)&amp;" día(s)",IF($J276-TODAY()&lt;='Config'!$B$15,"🟠 Faltan "&amp;($J276-TODAY())&amp;" día(s) para pagar","🟢 Al día (paga el "&amp;TEXT($J276,"dd/mm")&amp;")")))</f>
      </c>
      <c r="O276" s="23"/>
      <c r="P276" s="17">
        <f>IF(OR($B276="",$O276=""),"",$O276-$A276)</f>
      </c>
    </row>
    <row r="277">
      <c r="A277" s="23"/>
      <c r="B277" s="20"/>
      <c r="C277" s="19">
        <f>IF($B277="","",IFERROR(VLOOKUP($B277,'Catálogo'!$A:$B,2,FALSE),"⚠ Código no existe"))</f>
      </c>
      <c r="D277" s="21"/>
      <c r="E277" s="22"/>
      <c r="F277" s="16">
        <f>IF($B277="","",$D277*$E277)</f>
      </c>
      <c r="G277" s="20"/>
      <c r="H277" s="20"/>
      <c r="I277" s="14">
        <f>IF(OR($B277="",$H277&lt;&gt;"Sí"),"",IF(DAY($A277)&lt;='Config'!$B$13,DATE(YEAR($A277),MONTH($A277),'Config'!$B$13),EOMONTH($A277,0)+'Config'!$B$13))</f>
      </c>
      <c r="J277" s="14">
        <f>IF($I277="","",DATE(YEAR(EOMONTH($I277,0)+1),MONTH(EOMONTH($I277,0)+1),'Config'!$B$14))</f>
      </c>
      <c r="K277" s="22"/>
      <c r="L277" s="16">
        <f>IF($B277="","",MAX($F277-$K277,0))</f>
      </c>
      <c r="M277" s="19">
        <f>IF($B277="","",IF($H277&lt;&gt;"Sí","Pagado (contado)",IF($L277&lt;=0,"Pagado",IF($K277&gt;0,"Abono parcial","Pendiente"))))</f>
      </c>
      <c r="N277" s="19">
        <f>IF(OR($B277="",$H277&lt;&gt;"Sí",$L277&lt;=0),"",IF(TODAY()&gt;$J277,"🔴 VENCIDO hace "&amp;(TODAY()-$J277)&amp;" día(s)",IF($J277-TODAY()&lt;='Config'!$B$15,"🟠 Faltan "&amp;($J277-TODAY())&amp;" día(s) para pagar","🟢 Al día (paga el "&amp;TEXT($J277,"dd/mm")&amp;")")))</f>
      </c>
      <c r="O277" s="23"/>
      <c r="P277" s="17">
        <f>IF(OR($B277="",$O277=""),"",$O277-$A277)</f>
      </c>
    </row>
    <row r="278">
      <c r="A278" s="23"/>
      <c r="B278" s="20"/>
      <c r="C278" s="19">
        <f>IF($B278="","",IFERROR(VLOOKUP($B278,'Catálogo'!$A:$B,2,FALSE),"⚠ Código no existe"))</f>
      </c>
      <c r="D278" s="21"/>
      <c r="E278" s="22"/>
      <c r="F278" s="16">
        <f>IF($B278="","",$D278*$E278)</f>
      </c>
      <c r="G278" s="20"/>
      <c r="H278" s="20"/>
      <c r="I278" s="14">
        <f>IF(OR($B278="",$H278&lt;&gt;"Sí"),"",IF(DAY($A278)&lt;='Config'!$B$13,DATE(YEAR($A278),MONTH($A278),'Config'!$B$13),EOMONTH($A278,0)+'Config'!$B$13))</f>
      </c>
      <c r="J278" s="14">
        <f>IF($I278="","",DATE(YEAR(EOMONTH($I278,0)+1),MONTH(EOMONTH($I278,0)+1),'Config'!$B$14))</f>
      </c>
      <c r="K278" s="22"/>
      <c r="L278" s="16">
        <f>IF($B278="","",MAX($F278-$K278,0))</f>
      </c>
      <c r="M278" s="19">
        <f>IF($B278="","",IF($H278&lt;&gt;"Sí","Pagado (contado)",IF($L278&lt;=0,"Pagado",IF($K278&gt;0,"Abono parcial","Pendiente"))))</f>
      </c>
      <c r="N278" s="19">
        <f>IF(OR($B278="",$H278&lt;&gt;"Sí",$L278&lt;=0),"",IF(TODAY()&gt;$J278,"🔴 VENCIDO hace "&amp;(TODAY()-$J278)&amp;" día(s)",IF($J278-TODAY()&lt;='Config'!$B$15,"🟠 Faltan "&amp;($J278-TODAY())&amp;" día(s) para pagar","🟢 Al día (paga el "&amp;TEXT($J278,"dd/mm")&amp;")")))</f>
      </c>
      <c r="O278" s="23"/>
      <c r="P278" s="17">
        <f>IF(OR($B278="",$O278=""),"",$O278-$A278)</f>
      </c>
    </row>
    <row r="279">
      <c r="A279" s="23"/>
      <c r="B279" s="20"/>
      <c r="C279" s="19">
        <f>IF($B279="","",IFERROR(VLOOKUP($B279,'Catálogo'!$A:$B,2,FALSE),"⚠ Código no existe"))</f>
      </c>
      <c r="D279" s="21"/>
      <c r="E279" s="22"/>
      <c r="F279" s="16">
        <f>IF($B279="","",$D279*$E279)</f>
      </c>
      <c r="G279" s="20"/>
      <c r="H279" s="20"/>
      <c r="I279" s="14">
        <f>IF(OR($B279="",$H279&lt;&gt;"Sí"),"",IF(DAY($A279)&lt;='Config'!$B$13,DATE(YEAR($A279),MONTH($A279),'Config'!$B$13),EOMONTH($A279,0)+'Config'!$B$13))</f>
      </c>
      <c r="J279" s="14">
        <f>IF($I279="","",DATE(YEAR(EOMONTH($I279,0)+1),MONTH(EOMONTH($I279,0)+1),'Config'!$B$14))</f>
      </c>
      <c r="K279" s="22"/>
      <c r="L279" s="16">
        <f>IF($B279="","",MAX($F279-$K279,0))</f>
      </c>
      <c r="M279" s="19">
        <f>IF($B279="","",IF($H279&lt;&gt;"Sí","Pagado (contado)",IF($L279&lt;=0,"Pagado",IF($K279&gt;0,"Abono parcial","Pendiente"))))</f>
      </c>
      <c r="N279" s="19">
        <f>IF(OR($B279="",$H279&lt;&gt;"Sí",$L279&lt;=0),"",IF(TODAY()&gt;$J279,"🔴 VENCIDO hace "&amp;(TODAY()-$J279)&amp;" día(s)",IF($J279-TODAY()&lt;='Config'!$B$15,"🟠 Faltan "&amp;($J279-TODAY())&amp;" día(s) para pagar","🟢 Al día (paga el "&amp;TEXT($J279,"dd/mm")&amp;")")))</f>
      </c>
      <c r="O279" s="23"/>
      <c r="P279" s="17">
        <f>IF(OR($B279="",$O279=""),"",$O279-$A279)</f>
      </c>
    </row>
    <row r="280">
      <c r="A280" s="23"/>
      <c r="B280" s="20"/>
      <c r="C280" s="19">
        <f>IF($B280="","",IFERROR(VLOOKUP($B280,'Catálogo'!$A:$B,2,FALSE),"⚠ Código no existe"))</f>
      </c>
      <c r="D280" s="21"/>
      <c r="E280" s="22"/>
      <c r="F280" s="16">
        <f>IF($B280="","",$D280*$E280)</f>
      </c>
      <c r="G280" s="20"/>
      <c r="H280" s="20"/>
      <c r="I280" s="14">
        <f>IF(OR($B280="",$H280&lt;&gt;"Sí"),"",IF(DAY($A280)&lt;='Config'!$B$13,DATE(YEAR($A280),MONTH($A280),'Config'!$B$13),EOMONTH($A280,0)+'Config'!$B$13))</f>
      </c>
      <c r="J280" s="14">
        <f>IF($I280="","",DATE(YEAR(EOMONTH($I280,0)+1),MONTH(EOMONTH($I280,0)+1),'Config'!$B$14))</f>
      </c>
      <c r="K280" s="22"/>
      <c r="L280" s="16">
        <f>IF($B280="","",MAX($F280-$K280,0))</f>
      </c>
      <c r="M280" s="19">
        <f>IF($B280="","",IF($H280&lt;&gt;"Sí","Pagado (contado)",IF($L280&lt;=0,"Pagado",IF($K280&gt;0,"Abono parcial","Pendiente"))))</f>
      </c>
      <c r="N280" s="19">
        <f>IF(OR($B280="",$H280&lt;&gt;"Sí",$L280&lt;=0),"",IF(TODAY()&gt;$J280,"🔴 VENCIDO hace "&amp;(TODAY()-$J280)&amp;" día(s)",IF($J280-TODAY()&lt;='Config'!$B$15,"🟠 Faltan "&amp;($J280-TODAY())&amp;" día(s) para pagar","🟢 Al día (paga el "&amp;TEXT($J280,"dd/mm")&amp;")")))</f>
      </c>
      <c r="O280" s="23"/>
      <c r="P280" s="17">
        <f>IF(OR($B280="",$O280=""),"",$O280-$A280)</f>
      </c>
    </row>
    <row r="281">
      <c r="A281" s="23"/>
      <c r="B281" s="20"/>
      <c r="C281" s="19">
        <f>IF($B281="","",IFERROR(VLOOKUP($B281,'Catálogo'!$A:$B,2,FALSE),"⚠ Código no existe"))</f>
      </c>
      <c r="D281" s="21"/>
      <c r="E281" s="22"/>
      <c r="F281" s="16">
        <f>IF($B281="","",$D281*$E281)</f>
      </c>
      <c r="G281" s="20"/>
      <c r="H281" s="20"/>
      <c r="I281" s="14">
        <f>IF(OR($B281="",$H281&lt;&gt;"Sí"),"",IF(DAY($A281)&lt;='Config'!$B$13,DATE(YEAR($A281),MONTH($A281),'Config'!$B$13),EOMONTH($A281,0)+'Config'!$B$13))</f>
      </c>
      <c r="J281" s="14">
        <f>IF($I281="","",DATE(YEAR(EOMONTH($I281,0)+1),MONTH(EOMONTH($I281,0)+1),'Config'!$B$14))</f>
      </c>
      <c r="K281" s="22"/>
      <c r="L281" s="16">
        <f>IF($B281="","",MAX($F281-$K281,0))</f>
      </c>
      <c r="M281" s="19">
        <f>IF($B281="","",IF($H281&lt;&gt;"Sí","Pagado (contado)",IF($L281&lt;=0,"Pagado",IF($K281&gt;0,"Abono parcial","Pendiente"))))</f>
      </c>
      <c r="N281" s="19">
        <f>IF(OR($B281="",$H281&lt;&gt;"Sí",$L281&lt;=0),"",IF(TODAY()&gt;$J281,"🔴 VENCIDO hace "&amp;(TODAY()-$J281)&amp;" día(s)",IF($J281-TODAY()&lt;='Config'!$B$15,"🟠 Faltan "&amp;($J281-TODAY())&amp;" día(s) para pagar","🟢 Al día (paga el "&amp;TEXT($J281,"dd/mm")&amp;")")))</f>
      </c>
      <c r="O281" s="23"/>
      <c r="P281" s="17">
        <f>IF(OR($B281="",$O281=""),"",$O281-$A281)</f>
      </c>
    </row>
    <row r="282">
      <c r="A282" s="23"/>
      <c r="B282" s="20"/>
      <c r="C282" s="19">
        <f>IF($B282="","",IFERROR(VLOOKUP($B282,'Catálogo'!$A:$B,2,FALSE),"⚠ Código no existe"))</f>
      </c>
      <c r="D282" s="21"/>
      <c r="E282" s="22"/>
      <c r="F282" s="16">
        <f>IF($B282="","",$D282*$E282)</f>
      </c>
      <c r="G282" s="20"/>
      <c r="H282" s="20"/>
      <c r="I282" s="14">
        <f>IF(OR($B282="",$H282&lt;&gt;"Sí"),"",IF(DAY($A282)&lt;='Config'!$B$13,DATE(YEAR($A282),MONTH($A282),'Config'!$B$13),EOMONTH($A282,0)+'Config'!$B$13))</f>
      </c>
      <c r="J282" s="14">
        <f>IF($I282="","",DATE(YEAR(EOMONTH($I282,0)+1),MONTH(EOMONTH($I282,0)+1),'Config'!$B$14))</f>
      </c>
      <c r="K282" s="22"/>
      <c r="L282" s="16">
        <f>IF($B282="","",MAX($F282-$K282,0))</f>
      </c>
      <c r="M282" s="19">
        <f>IF($B282="","",IF($H282&lt;&gt;"Sí","Pagado (contado)",IF($L282&lt;=0,"Pagado",IF($K282&gt;0,"Abono parcial","Pendiente"))))</f>
      </c>
      <c r="N282" s="19">
        <f>IF(OR($B282="",$H282&lt;&gt;"Sí",$L282&lt;=0),"",IF(TODAY()&gt;$J282,"🔴 VENCIDO hace "&amp;(TODAY()-$J282)&amp;" día(s)",IF($J282-TODAY()&lt;='Config'!$B$15,"🟠 Faltan "&amp;($J282-TODAY())&amp;" día(s) para pagar","🟢 Al día (paga el "&amp;TEXT($J282,"dd/mm")&amp;")")))</f>
      </c>
      <c r="O282" s="23"/>
      <c r="P282" s="17">
        <f>IF(OR($B282="",$O282=""),"",$O282-$A282)</f>
      </c>
    </row>
    <row r="283">
      <c r="A283" s="23"/>
      <c r="B283" s="20"/>
      <c r="C283" s="19">
        <f>IF($B283="","",IFERROR(VLOOKUP($B283,'Catálogo'!$A:$B,2,FALSE),"⚠ Código no existe"))</f>
      </c>
      <c r="D283" s="21"/>
      <c r="E283" s="22"/>
      <c r="F283" s="16">
        <f>IF($B283="","",$D283*$E283)</f>
      </c>
      <c r="G283" s="20"/>
      <c r="H283" s="20"/>
      <c r="I283" s="14">
        <f>IF(OR($B283="",$H283&lt;&gt;"Sí"),"",IF(DAY($A283)&lt;='Config'!$B$13,DATE(YEAR($A283),MONTH($A283),'Config'!$B$13),EOMONTH($A283,0)+'Config'!$B$13))</f>
      </c>
      <c r="J283" s="14">
        <f>IF($I283="","",DATE(YEAR(EOMONTH($I283,0)+1),MONTH(EOMONTH($I283,0)+1),'Config'!$B$14))</f>
      </c>
      <c r="K283" s="22"/>
      <c r="L283" s="16">
        <f>IF($B283="","",MAX($F283-$K283,0))</f>
      </c>
      <c r="M283" s="19">
        <f>IF($B283="","",IF($H283&lt;&gt;"Sí","Pagado (contado)",IF($L283&lt;=0,"Pagado",IF($K283&gt;0,"Abono parcial","Pendiente"))))</f>
      </c>
      <c r="N283" s="19">
        <f>IF(OR($B283="",$H283&lt;&gt;"Sí",$L283&lt;=0),"",IF(TODAY()&gt;$J283,"🔴 VENCIDO hace "&amp;(TODAY()-$J283)&amp;" día(s)",IF($J283-TODAY()&lt;='Config'!$B$15,"🟠 Faltan "&amp;($J283-TODAY())&amp;" día(s) para pagar","🟢 Al día (paga el "&amp;TEXT($J283,"dd/mm")&amp;")")))</f>
      </c>
      <c r="O283" s="23"/>
      <c r="P283" s="17">
        <f>IF(OR($B283="",$O283=""),"",$O283-$A283)</f>
      </c>
    </row>
    <row r="284">
      <c r="A284" s="23"/>
      <c r="B284" s="20"/>
      <c r="C284" s="19">
        <f>IF($B284="","",IFERROR(VLOOKUP($B284,'Catálogo'!$A:$B,2,FALSE),"⚠ Código no existe"))</f>
      </c>
      <c r="D284" s="21"/>
      <c r="E284" s="22"/>
      <c r="F284" s="16">
        <f>IF($B284="","",$D284*$E284)</f>
      </c>
      <c r="G284" s="20"/>
      <c r="H284" s="20"/>
      <c r="I284" s="14">
        <f>IF(OR($B284="",$H284&lt;&gt;"Sí"),"",IF(DAY($A284)&lt;='Config'!$B$13,DATE(YEAR($A284),MONTH($A284),'Config'!$B$13),EOMONTH($A284,0)+'Config'!$B$13))</f>
      </c>
      <c r="J284" s="14">
        <f>IF($I284="","",DATE(YEAR(EOMONTH($I284,0)+1),MONTH(EOMONTH($I284,0)+1),'Config'!$B$14))</f>
      </c>
      <c r="K284" s="22"/>
      <c r="L284" s="16">
        <f>IF($B284="","",MAX($F284-$K284,0))</f>
      </c>
      <c r="M284" s="19">
        <f>IF($B284="","",IF($H284&lt;&gt;"Sí","Pagado (contado)",IF($L284&lt;=0,"Pagado",IF($K284&gt;0,"Abono parcial","Pendiente"))))</f>
      </c>
      <c r="N284" s="19">
        <f>IF(OR($B284="",$H284&lt;&gt;"Sí",$L284&lt;=0),"",IF(TODAY()&gt;$J284,"🔴 VENCIDO hace "&amp;(TODAY()-$J284)&amp;" día(s)",IF($J284-TODAY()&lt;='Config'!$B$15,"🟠 Faltan "&amp;($J284-TODAY())&amp;" día(s) para pagar","🟢 Al día (paga el "&amp;TEXT($J284,"dd/mm")&amp;")")))</f>
      </c>
      <c r="O284" s="23"/>
      <c r="P284" s="17">
        <f>IF(OR($B284="",$O284=""),"",$O284-$A284)</f>
      </c>
    </row>
    <row r="285">
      <c r="A285" s="23"/>
      <c r="B285" s="20"/>
      <c r="C285" s="19">
        <f>IF($B285="","",IFERROR(VLOOKUP($B285,'Catálogo'!$A:$B,2,FALSE),"⚠ Código no existe"))</f>
      </c>
      <c r="D285" s="21"/>
      <c r="E285" s="22"/>
      <c r="F285" s="16">
        <f>IF($B285="","",$D285*$E285)</f>
      </c>
      <c r="G285" s="20"/>
      <c r="H285" s="20"/>
      <c r="I285" s="14">
        <f>IF(OR($B285="",$H285&lt;&gt;"Sí"),"",IF(DAY($A285)&lt;='Config'!$B$13,DATE(YEAR($A285),MONTH($A285),'Config'!$B$13),EOMONTH($A285,0)+'Config'!$B$13))</f>
      </c>
      <c r="J285" s="14">
        <f>IF($I285="","",DATE(YEAR(EOMONTH($I285,0)+1),MONTH(EOMONTH($I285,0)+1),'Config'!$B$14))</f>
      </c>
      <c r="K285" s="22"/>
      <c r="L285" s="16">
        <f>IF($B285="","",MAX($F285-$K285,0))</f>
      </c>
      <c r="M285" s="19">
        <f>IF($B285="","",IF($H285&lt;&gt;"Sí","Pagado (contado)",IF($L285&lt;=0,"Pagado",IF($K285&gt;0,"Abono parcial","Pendiente"))))</f>
      </c>
      <c r="N285" s="19">
        <f>IF(OR($B285="",$H285&lt;&gt;"Sí",$L285&lt;=0),"",IF(TODAY()&gt;$J285,"🔴 VENCIDO hace "&amp;(TODAY()-$J285)&amp;" día(s)",IF($J285-TODAY()&lt;='Config'!$B$15,"🟠 Faltan "&amp;($J285-TODAY())&amp;" día(s) para pagar","🟢 Al día (paga el "&amp;TEXT($J285,"dd/mm")&amp;")")))</f>
      </c>
      <c r="O285" s="23"/>
      <c r="P285" s="17">
        <f>IF(OR($B285="",$O285=""),"",$O285-$A285)</f>
      </c>
    </row>
    <row r="286">
      <c r="A286" s="23"/>
      <c r="B286" s="20"/>
      <c r="C286" s="19">
        <f>IF($B286="","",IFERROR(VLOOKUP($B286,'Catálogo'!$A:$B,2,FALSE),"⚠ Código no existe"))</f>
      </c>
      <c r="D286" s="21"/>
      <c r="E286" s="22"/>
      <c r="F286" s="16">
        <f>IF($B286="","",$D286*$E286)</f>
      </c>
      <c r="G286" s="20"/>
      <c r="H286" s="20"/>
      <c r="I286" s="14">
        <f>IF(OR($B286="",$H286&lt;&gt;"Sí"),"",IF(DAY($A286)&lt;='Config'!$B$13,DATE(YEAR($A286),MONTH($A286),'Config'!$B$13),EOMONTH($A286,0)+'Config'!$B$13))</f>
      </c>
      <c r="J286" s="14">
        <f>IF($I286="","",DATE(YEAR(EOMONTH($I286,0)+1),MONTH(EOMONTH($I286,0)+1),'Config'!$B$14))</f>
      </c>
      <c r="K286" s="22"/>
      <c r="L286" s="16">
        <f>IF($B286="","",MAX($F286-$K286,0))</f>
      </c>
      <c r="M286" s="19">
        <f>IF($B286="","",IF($H286&lt;&gt;"Sí","Pagado (contado)",IF($L286&lt;=0,"Pagado",IF($K286&gt;0,"Abono parcial","Pendiente"))))</f>
      </c>
      <c r="N286" s="19">
        <f>IF(OR($B286="",$H286&lt;&gt;"Sí",$L286&lt;=0),"",IF(TODAY()&gt;$J286,"🔴 VENCIDO hace "&amp;(TODAY()-$J286)&amp;" día(s)",IF($J286-TODAY()&lt;='Config'!$B$15,"🟠 Faltan "&amp;($J286-TODAY())&amp;" día(s) para pagar","🟢 Al día (paga el "&amp;TEXT($J286,"dd/mm")&amp;")")))</f>
      </c>
      <c r="O286" s="23"/>
      <c r="P286" s="17">
        <f>IF(OR($B286="",$O286=""),"",$O286-$A286)</f>
      </c>
    </row>
    <row r="287">
      <c r="A287" s="23"/>
      <c r="B287" s="20"/>
      <c r="C287" s="19">
        <f>IF($B287="","",IFERROR(VLOOKUP($B287,'Catálogo'!$A:$B,2,FALSE),"⚠ Código no existe"))</f>
      </c>
      <c r="D287" s="21"/>
      <c r="E287" s="22"/>
      <c r="F287" s="16">
        <f>IF($B287="","",$D287*$E287)</f>
      </c>
      <c r="G287" s="20"/>
      <c r="H287" s="20"/>
      <c r="I287" s="14">
        <f>IF(OR($B287="",$H287&lt;&gt;"Sí"),"",IF(DAY($A287)&lt;='Config'!$B$13,DATE(YEAR($A287),MONTH($A287),'Config'!$B$13),EOMONTH($A287,0)+'Config'!$B$13))</f>
      </c>
      <c r="J287" s="14">
        <f>IF($I287="","",DATE(YEAR(EOMONTH($I287,0)+1),MONTH(EOMONTH($I287,0)+1),'Config'!$B$14))</f>
      </c>
      <c r="K287" s="22"/>
      <c r="L287" s="16">
        <f>IF($B287="","",MAX($F287-$K287,0))</f>
      </c>
      <c r="M287" s="19">
        <f>IF($B287="","",IF($H287&lt;&gt;"Sí","Pagado (contado)",IF($L287&lt;=0,"Pagado",IF($K287&gt;0,"Abono parcial","Pendiente"))))</f>
      </c>
      <c r="N287" s="19">
        <f>IF(OR($B287="",$H287&lt;&gt;"Sí",$L287&lt;=0),"",IF(TODAY()&gt;$J287,"🔴 VENCIDO hace "&amp;(TODAY()-$J287)&amp;" día(s)",IF($J287-TODAY()&lt;='Config'!$B$15,"🟠 Faltan "&amp;($J287-TODAY())&amp;" día(s) para pagar","🟢 Al día (paga el "&amp;TEXT($J287,"dd/mm")&amp;")")))</f>
      </c>
      <c r="O287" s="23"/>
      <c r="P287" s="17">
        <f>IF(OR($B287="",$O287=""),"",$O287-$A287)</f>
      </c>
    </row>
    <row r="288">
      <c r="A288" s="23"/>
      <c r="B288" s="20"/>
      <c r="C288" s="19">
        <f>IF($B288="","",IFERROR(VLOOKUP($B288,'Catálogo'!$A:$B,2,FALSE),"⚠ Código no existe"))</f>
      </c>
      <c r="D288" s="21"/>
      <c r="E288" s="22"/>
      <c r="F288" s="16">
        <f>IF($B288="","",$D288*$E288)</f>
      </c>
      <c r="G288" s="20"/>
      <c r="H288" s="20"/>
      <c r="I288" s="14">
        <f>IF(OR($B288="",$H288&lt;&gt;"Sí"),"",IF(DAY($A288)&lt;='Config'!$B$13,DATE(YEAR($A288),MONTH($A288),'Config'!$B$13),EOMONTH($A288,0)+'Config'!$B$13))</f>
      </c>
      <c r="J288" s="14">
        <f>IF($I288="","",DATE(YEAR(EOMONTH($I288,0)+1),MONTH(EOMONTH($I288,0)+1),'Config'!$B$14))</f>
      </c>
      <c r="K288" s="22"/>
      <c r="L288" s="16">
        <f>IF($B288="","",MAX($F288-$K288,0))</f>
      </c>
      <c r="M288" s="19">
        <f>IF($B288="","",IF($H288&lt;&gt;"Sí","Pagado (contado)",IF($L288&lt;=0,"Pagado",IF($K288&gt;0,"Abono parcial","Pendiente"))))</f>
      </c>
      <c r="N288" s="19">
        <f>IF(OR($B288="",$H288&lt;&gt;"Sí",$L288&lt;=0),"",IF(TODAY()&gt;$J288,"🔴 VENCIDO hace "&amp;(TODAY()-$J288)&amp;" día(s)",IF($J288-TODAY()&lt;='Config'!$B$15,"🟠 Faltan "&amp;($J288-TODAY())&amp;" día(s) para pagar","🟢 Al día (paga el "&amp;TEXT($J288,"dd/mm")&amp;")")))</f>
      </c>
      <c r="O288" s="23"/>
      <c r="P288" s="17">
        <f>IF(OR($B288="",$O288=""),"",$O288-$A288)</f>
      </c>
    </row>
    <row r="289">
      <c r="A289" s="23"/>
      <c r="B289" s="20"/>
      <c r="C289" s="19">
        <f>IF($B289="","",IFERROR(VLOOKUP($B289,'Catálogo'!$A:$B,2,FALSE),"⚠ Código no existe"))</f>
      </c>
      <c r="D289" s="21"/>
      <c r="E289" s="22"/>
      <c r="F289" s="16">
        <f>IF($B289="","",$D289*$E289)</f>
      </c>
      <c r="G289" s="20"/>
      <c r="H289" s="20"/>
      <c r="I289" s="14">
        <f>IF(OR($B289="",$H289&lt;&gt;"Sí"),"",IF(DAY($A289)&lt;='Config'!$B$13,DATE(YEAR($A289),MONTH($A289),'Config'!$B$13),EOMONTH($A289,0)+'Config'!$B$13))</f>
      </c>
      <c r="J289" s="14">
        <f>IF($I289="","",DATE(YEAR(EOMONTH($I289,0)+1),MONTH(EOMONTH($I289,0)+1),'Config'!$B$14))</f>
      </c>
      <c r="K289" s="22"/>
      <c r="L289" s="16">
        <f>IF($B289="","",MAX($F289-$K289,0))</f>
      </c>
      <c r="M289" s="19">
        <f>IF($B289="","",IF($H289&lt;&gt;"Sí","Pagado (contado)",IF($L289&lt;=0,"Pagado",IF($K289&gt;0,"Abono parcial","Pendiente"))))</f>
      </c>
      <c r="N289" s="19">
        <f>IF(OR($B289="",$H289&lt;&gt;"Sí",$L289&lt;=0),"",IF(TODAY()&gt;$J289,"🔴 VENCIDO hace "&amp;(TODAY()-$J289)&amp;" día(s)",IF($J289-TODAY()&lt;='Config'!$B$15,"🟠 Faltan "&amp;($J289-TODAY())&amp;" día(s) para pagar","🟢 Al día (paga el "&amp;TEXT($J289,"dd/mm")&amp;")")))</f>
      </c>
      <c r="O289" s="23"/>
      <c r="P289" s="17">
        <f>IF(OR($B289="",$O289=""),"",$O289-$A289)</f>
      </c>
    </row>
    <row r="290">
      <c r="A290" s="23"/>
      <c r="B290" s="20"/>
      <c r="C290" s="19">
        <f>IF($B290="","",IFERROR(VLOOKUP($B290,'Catálogo'!$A:$B,2,FALSE),"⚠ Código no existe"))</f>
      </c>
      <c r="D290" s="21"/>
      <c r="E290" s="22"/>
      <c r="F290" s="16">
        <f>IF($B290="","",$D290*$E290)</f>
      </c>
      <c r="G290" s="20"/>
      <c r="H290" s="20"/>
      <c r="I290" s="14">
        <f>IF(OR($B290="",$H290&lt;&gt;"Sí"),"",IF(DAY($A290)&lt;='Config'!$B$13,DATE(YEAR($A290),MONTH($A290),'Config'!$B$13),EOMONTH($A290,0)+'Config'!$B$13))</f>
      </c>
      <c r="J290" s="14">
        <f>IF($I290="","",DATE(YEAR(EOMONTH($I290,0)+1),MONTH(EOMONTH($I290,0)+1),'Config'!$B$14))</f>
      </c>
      <c r="K290" s="22"/>
      <c r="L290" s="16">
        <f>IF($B290="","",MAX($F290-$K290,0))</f>
      </c>
      <c r="M290" s="19">
        <f>IF($B290="","",IF($H290&lt;&gt;"Sí","Pagado (contado)",IF($L290&lt;=0,"Pagado",IF($K290&gt;0,"Abono parcial","Pendiente"))))</f>
      </c>
      <c r="N290" s="19">
        <f>IF(OR($B290="",$H290&lt;&gt;"Sí",$L290&lt;=0),"",IF(TODAY()&gt;$J290,"🔴 VENCIDO hace "&amp;(TODAY()-$J290)&amp;" día(s)",IF($J290-TODAY()&lt;='Config'!$B$15,"🟠 Faltan "&amp;($J290-TODAY())&amp;" día(s) para pagar","🟢 Al día (paga el "&amp;TEXT($J290,"dd/mm")&amp;")")))</f>
      </c>
      <c r="O290" s="23"/>
      <c r="P290" s="17">
        <f>IF(OR($B290="",$O290=""),"",$O290-$A290)</f>
      </c>
    </row>
    <row r="291">
      <c r="A291" s="23"/>
      <c r="B291" s="20"/>
      <c r="C291" s="19">
        <f>IF($B291="","",IFERROR(VLOOKUP($B291,'Catálogo'!$A:$B,2,FALSE),"⚠ Código no existe"))</f>
      </c>
      <c r="D291" s="21"/>
      <c r="E291" s="22"/>
      <c r="F291" s="16">
        <f>IF($B291="","",$D291*$E291)</f>
      </c>
      <c r="G291" s="20"/>
      <c r="H291" s="20"/>
      <c r="I291" s="14">
        <f>IF(OR($B291="",$H291&lt;&gt;"Sí"),"",IF(DAY($A291)&lt;='Config'!$B$13,DATE(YEAR($A291),MONTH($A291),'Config'!$B$13),EOMONTH($A291,0)+'Config'!$B$13))</f>
      </c>
      <c r="J291" s="14">
        <f>IF($I291="","",DATE(YEAR(EOMONTH($I291,0)+1),MONTH(EOMONTH($I291,0)+1),'Config'!$B$14))</f>
      </c>
      <c r="K291" s="22"/>
      <c r="L291" s="16">
        <f>IF($B291="","",MAX($F291-$K291,0))</f>
      </c>
      <c r="M291" s="19">
        <f>IF($B291="","",IF($H291&lt;&gt;"Sí","Pagado (contado)",IF($L291&lt;=0,"Pagado",IF($K291&gt;0,"Abono parcial","Pendiente"))))</f>
      </c>
      <c r="N291" s="19">
        <f>IF(OR($B291="",$H291&lt;&gt;"Sí",$L291&lt;=0),"",IF(TODAY()&gt;$J291,"🔴 VENCIDO hace "&amp;(TODAY()-$J291)&amp;" día(s)",IF($J291-TODAY()&lt;='Config'!$B$15,"🟠 Faltan "&amp;($J291-TODAY())&amp;" día(s) para pagar","🟢 Al día (paga el "&amp;TEXT($J291,"dd/mm")&amp;")")))</f>
      </c>
      <c r="O291" s="23"/>
      <c r="P291" s="17">
        <f>IF(OR($B291="",$O291=""),"",$O291-$A291)</f>
      </c>
    </row>
    <row r="292">
      <c r="A292" s="23"/>
      <c r="B292" s="20"/>
      <c r="C292" s="19">
        <f>IF($B292="","",IFERROR(VLOOKUP($B292,'Catálogo'!$A:$B,2,FALSE),"⚠ Código no existe"))</f>
      </c>
      <c r="D292" s="21"/>
      <c r="E292" s="22"/>
      <c r="F292" s="16">
        <f>IF($B292="","",$D292*$E292)</f>
      </c>
      <c r="G292" s="20"/>
      <c r="H292" s="20"/>
      <c r="I292" s="14">
        <f>IF(OR($B292="",$H292&lt;&gt;"Sí"),"",IF(DAY($A292)&lt;='Config'!$B$13,DATE(YEAR($A292),MONTH($A292),'Config'!$B$13),EOMONTH($A292,0)+'Config'!$B$13))</f>
      </c>
      <c r="J292" s="14">
        <f>IF($I292="","",DATE(YEAR(EOMONTH($I292,0)+1),MONTH(EOMONTH($I292,0)+1),'Config'!$B$14))</f>
      </c>
      <c r="K292" s="22"/>
      <c r="L292" s="16">
        <f>IF($B292="","",MAX($F292-$K292,0))</f>
      </c>
      <c r="M292" s="19">
        <f>IF($B292="","",IF($H292&lt;&gt;"Sí","Pagado (contado)",IF($L292&lt;=0,"Pagado",IF($K292&gt;0,"Abono parcial","Pendiente"))))</f>
      </c>
      <c r="N292" s="19">
        <f>IF(OR($B292="",$H292&lt;&gt;"Sí",$L292&lt;=0),"",IF(TODAY()&gt;$J292,"🔴 VENCIDO hace "&amp;(TODAY()-$J292)&amp;" día(s)",IF($J292-TODAY()&lt;='Config'!$B$15,"🟠 Faltan "&amp;($J292-TODAY())&amp;" día(s) para pagar","🟢 Al día (paga el "&amp;TEXT($J292,"dd/mm")&amp;")")))</f>
      </c>
      <c r="O292" s="23"/>
      <c r="P292" s="17">
        <f>IF(OR($B292="",$O292=""),"",$O292-$A292)</f>
      </c>
    </row>
    <row r="293">
      <c r="A293" s="23"/>
      <c r="B293" s="20"/>
      <c r="C293" s="19">
        <f>IF($B293="","",IFERROR(VLOOKUP($B293,'Catálogo'!$A:$B,2,FALSE),"⚠ Código no existe"))</f>
      </c>
      <c r="D293" s="21"/>
      <c r="E293" s="22"/>
      <c r="F293" s="16">
        <f>IF($B293="","",$D293*$E293)</f>
      </c>
      <c r="G293" s="20"/>
      <c r="H293" s="20"/>
      <c r="I293" s="14">
        <f>IF(OR($B293="",$H293&lt;&gt;"Sí"),"",IF(DAY($A293)&lt;='Config'!$B$13,DATE(YEAR($A293),MONTH($A293),'Config'!$B$13),EOMONTH($A293,0)+'Config'!$B$13))</f>
      </c>
      <c r="J293" s="14">
        <f>IF($I293="","",DATE(YEAR(EOMONTH($I293,0)+1),MONTH(EOMONTH($I293,0)+1),'Config'!$B$14))</f>
      </c>
      <c r="K293" s="22"/>
      <c r="L293" s="16">
        <f>IF($B293="","",MAX($F293-$K293,0))</f>
      </c>
      <c r="M293" s="19">
        <f>IF($B293="","",IF($H293&lt;&gt;"Sí","Pagado (contado)",IF($L293&lt;=0,"Pagado",IF($K293&gt;0,"Abono parcial","Pendiente"))))</f>
      </c>
      <c r="N293" s="19">
        <f>IF(OR($B293="",$H293&lt;&gt;"Sí",$L293&lt;=0),"",IF(TODAY()&gt;$J293,"🔴 VENCIDO hace "&amp;(TODAY()-$J293)&amp;" día(s)",IF($J293-TODAY()&lt;='Config'!$B$15,"🟠 Faltan "&amp;($J293-TODAY())&amp;" día(s) para pagar","🟢 Al día (paga el "&amp;TEXT($J293,"dd/mm")&amp;")")))</f>
      </c>
      <c r="O293" s="23"/>
      <c r="P293" s="17">
        <f>IF(OR($B293="",$O293=""),"",$O293-$A293)</f>
      </c>
    </row>
    <row r="294">
      <c r="A294" s="23"/>
      <c r="B294" s="20"/>
      <c r="C294" s="19">
        <f>IF($B294="","",IFERROR(VLOOKUP($B294,'Catálogo'!$A:$B,2,FALSE),"⚠ Código no existe"))</f>
      </c>
      <c r="D294" s="21"/>
      <c r="E294" s="22"/>
      <c r="F294" s="16">
        <f>IF($B294="","",$D294*$E294)</f>
      </c>
      <c r="G294" s="20"/>
      <c r="H294" s="20"/>
      <c r="I294" s="14">
        <f>IF(OR($B294="",$H294&lt;&gt;"Sí"),"",IF(DAY($A294)&lt;='Config'!$B$13,DATE(YEAR($A294),MONTH($A294),'Config'!$B$13),EOMONTH($A294,0)+'Config'!$B$13))</f>
      </c>
      <c r="J294" s="14">
        <f>IF($I294="","",DATE(YEAR(EOMONTH($I294,0)+1),MONTH(EOMONTH($I294,0)+1),'Config'!$B$14))</f>
      </c>
      <c r="K294" s="22"/>
      <c r="L294" s="16">
        <f>IF($B294="","",MAX($F294-$K294,0))</f>
      </c>
      <c r="M294" s="19">
        <f>IF($B294="","",IF($H294&lt;&gt;"Sí","Pagado (contado)",IF($L294&lt;=0,"Pagado",IF($K294&gt;0,"Abono parcial","Pendiente"))))</f>
      </c>
      <c r="N294" s="19">
        <f>IF(OR($B294="",$H294&lt;&gt;"Sí",$L294&lt;=0),"",IF(TODAY()&gt;$J294,"🔴 VENCIDO hace "&amp;(TODAY()-$J294)&amp;" día(s)",IF($J294-TODAY()&lt;='Config'!$B$15,"🟠 Faltan "&amp;($J294-TODAY())&amp;" día(s) para pagar","🟢 Al día (paga el "&amp;TEXT($J294,"dd/mm")&amp;")")))</f>
      </c>
      <c r="O294" s="23"/>
      <c r="P294" s="17">
        <f>IF(OR($B294="",$O294=""),"",$O294-$A294)</f>
      </c>
    </row>
    <row r="295">
      <c r="A295" s="23"/>
      <c r="B295" s="20"/>
      <c r="C295" s="19">
        <f>IF($B295="","",IFERROR(VLOOKUP($B295,'Catálogo'!$A:$B,2,FALSE),"⚠ Código no existe"))</f>
      </c>
      <c r="D295" s="21"/>
      <c r="E295" s="22"/>
      <c r="F295" s="16">
        <f>IF($B295="","",$D295*$E295)</f>
      </c>
      <c r="G295" s="20"/>
      <c r="H295" s="20"/>
      <c r="I295" s="14">
        <f>IF(OR($B295="",$H295&lt;&gt;"Sí"),"",IF(DAY($A295)&lt;='Config'!$B$13,DATE(YEAR($A295),MONTH($A295),'Config'!$B$13),EOMONTH($A295,0)+'Config'!$B$13))</f>
      </c>
      <c r="J295" s="14">
        <f>IF($I295="","",DATE(YEAR(EOMONTH($I295,0)+1),MONTH(EOMONTH($I295,0)+1),'Config'!$B$14))</f>
      </c>
      <c r="K295" s="22"/>
      <c r="L295" s="16">
        <f>IF($B295="","",MAX($F295-$K295,0))</f>
      </c>
      <c r="M295" s="19">
        <f>IF($B295="","",IF($H295&lt;&gt;"Sí","Pagado (contado)",IF($L295&lt;=0,"Pagado",IF($K295&gt;0,"Abono parcial","Pendiente"))))</f>
      </c>
      <c r="N295" s="19">
        <f>IF(OR($B295="",$H295&lt;&gt;"Sí",$L295&lt;=0),"",IF(TODAY()&gt;$J295,"🔴 VENCIDO hace "&amp;(TODAY()-$J295)&amp;" día(s)",IF($J295-TODAY()&lt;='Config'!$B$15,"🟠 Faltan "&amp;($J295-TODAY())&amp;" día(s) para pagar","🟢 Al día (paga el "&amp;TEXT($J295,"dd/mm")&amp;")")))</f>
      </c>
      <c r="O295" s="23"/>
      <c r="P295" s="17">
        <f>IF(OR($B295="",$O295=""),"",$O295-$A295)</f>
      </c>
    </row>
    <row r="296">
      <c r="A296" s="23"/>
      <c r="B296" s="20"/>
      <c r="C296" s="19">
        <f>IF($B296="","",IFERROR(VLOOKUP($B296,'Catálogo'!$A:$B,2,FALSE),"⚠ Código no existe"))</f>
      </c>
      <c r="D296" s="21"/>
      <c r="E296" s="22"/>
      <c r="F296" s="16">
        <f>IF($B296="","",$D296*$E296)</f>
      </c>
      <c r="G296" s="20"/>
      <c r="H296" s="20"/>
      <c r="I296" s="14">
        <f>IF(OR($B296="",$H296&lt;&gt;"Sí"),"",IF(DAY($A296)&lt;='Config'!$B$13,DATE(YEAR($A296),MONTH($A296),'Config'!$B$13),EOMONTH($A296,0)+'Config'!$B$13))</f>
      </c>
      <c r="J296" s="14">
        <f>IF($I296="","",DATE(YEAR(EOMONTH($I296,0)+1),MONTH(EOMONTH($I296,0)+1),'Config'!$B$14))</f>
      </c>
      <c r="K296" s="22"/>
      <c r="L296" s="16">
        <f>IF($B296="","",MAX($F296-$K296,0))</f>
      </c>
      <c r="M296" s="19">
        <f>IF($B296="","",IF($H296&lt;&gt;"Sí","Pagado (contado)",IF($L296&lt;=0,"Pagado",IF($K296&gt;0,"Abono parcial","Pendiente"))))</f>
      </c>
      <c r="N296" s="19">
        <f>IF(OR($B296="",$H296&lt;&gt;"Sí",$L296&lt;=0),"",IF(TODAY()&gt;$J296,"🔴 VENCIDO hace "&amp;(TODAY()-$J296)&amp;" día(s)",IF($J296-TODAY()&lt;='Config'!$B$15,"🟠 Faltan "&amp;($J296-TODAY())&amp;" día(s) para pagar","🟢 Al día (paga el "&amp;TEXT($J296,"dd/mm")&amp;")")))</f>
      </c>
      <c r="O296" s="23"/>
      <c r="P296" s="17">
        <f>IF(OR($B296="",$O296=""),"",$O296-$A296)</f>
      </c>
    </row>
    <row r="297">
      <c r="A297" s="23"/>
      <c r="B297" s="20"/>
      <c r="C297" s="19">
        <f>IF($B297="","",IFERROR(VLOOKUP($B297,'Catálogo'!$A:$B,2,FALSE),"⚠ Código no existe"))</f>
      </c>
      <c r="D297" s="21"/>
      <c r="E297" s="22"/>
      <c r="F297" s="16">
        <f>IF($B297="","",$D297*$E297)</f>
      </c>
      <c r="G297" s="20"/>
      <c r="H297" s="20"/>
      <c r="I297" s="14">
        <f>IF(OR($B297="",$H297&lt;&gt;"Sí"),"",IF(DAY($A297)&lt;='Config'!$B$13,DATE(YEAR($A297),MONTH($A297),'Config'!$B$13),EOMONTH($A297,0)+'Config'!$B$13))</f>
      </c>
      <c r="J297" s="14">
        <f>IF($I297="","",DATE(YEAR(EOMONTH($I297,0)+1),MONTH(EOMONTH($I297,0)+1),'Config'!$B$14))</f>
      </c>
      <c r="K297" s="22"/>
      <c r="L297" s="16">
        <f>IF($B297="","",MAX($F297-$K297,0))</f>
      </c>
      <c r="M297" s="19">
        <f>IF($B297="","",IF($H297&lt;&gt;"Sí","Pagado (contado)",IF($L297&lt;=0,"Pagado",IF($K297&gt;0,"Abono parcial","Pendiente"))))</f>
      </c>
      <c r="N297" s="19">
        <f>IF(OR($B297="",$H297&lt;&gt;"Sí",$L297&lt;=0),"",IF(TODAY()&gt;$J297,"🔴 VENCIDO hace "&amp;(TODAY()-$J297)&amp;" día(s)",IF($J297-TODAY()&lt;='Config'!$B$15,"🟠 Faltan "&amp;($J297-TODAY())&amp;" día(s) para pagar","🟢 Al día (paga el "&amp;TEXT($J297,"dd/mm")&amp;")")))</f>
      </c>
      <c r="O297" s="23"/>
      <c r="P297" s="17">
        <f>IF(OR($B297="",$O297=""),"",$O297-$A297)</f>
      </c>
    </row>
    <row r="298">
      <c r="A298" s="23"/>
      <c r="B298" s="20"/>
      <c r="C298" s="19">
        <f>IF($B298="","",IFERROR(VLOOKUP($B298,'Catálogo'!$A:$B,2,FALSE),"⚠ Código no existe"))</f>
      </c>
      <c r="D298" s="21"/>
      <c r="E298" s="22"/>
      <c r="F298" s="16">
        <f>IF($B298="","",$D298*$E298)</f>
      </c>
      <c r="G298" s="20"/>
      <c r="H298" s="20"/>
      <c r="I298" s="14">
        <f>IF(OR($B298="",$H298&lt;&gt;"Sí"),"",IF(DAY($A298)&lt;='Config'!$B$13,DATE(YEAR($A298),MONTH($A298),'Config'!$B$13),EOMONTH($A298,0)+'Config'!$B$13))</f>
      </c>
      <c r="J298" s="14">
        <f>IF($I298="","",DATE(YEAR(EOMONTH($I298,0)+1),MONTH(EOMONTH($I298,0)+1),'Config'!$B$14))</f>
      </c>
      <c r="K298" s="22"/>
      <c r="L298" s="16">
        <f>IF($B298="","",MAX($F298-$K298,0))</f>
      </c>
      <c r="M298" s="19">
        <f>IF($B298="","",IF($H298&lt;&gt;"Sí","Pagado (contado)",IF($L298&lt;=0,"Pagado",IF($K298&gt;0,"Abono parcial","Pendiente"))))</f>
      </c>
      <c r="N298" s="19">
        <f>IF(OR($B298="",$H298&lt;&gt;"Sí",$L298&lt;=0),"",IF(TODAY()&gt;$J298,"🔴 VENCIDO hace "&amp;(TODAY()-$J298)&amp;" día(s)",IF($J298-TODAY()&lt;='Config'!$B$15,"🟠 Faltan "&amp;($J298-TODAY())&amp;" día(s) para pagar","🟢 Al día (paga el "&amp;TEXT($J298,"dd/mm")&amp;")")))</f>
      </c>
      <c r="O298" s="23"/>
      <c r="P298" s="17">
        <f>IF(OR($B298="",$O298=""),"",$O298-$A298)</f>
      </c>
    </row>
    <row r="299">
      <c r="A299" s="23"/>
      <c r="B299" s="20"/>
      <c r="C299" s="19">
        <f>IF($B299="","",IFERROR(VLOOKUP($B299,'Catálogo'!$A:$B,2,FALSE),"⚠ Código no existe"))</f>
      </c>
      <c r="D299" s="21"/>
      <c r="E299" s="22"/>
      <c r="F299" s="16">
        <f>IF($B299="","",$D299*$E299)</f>
      </c>
      <c r="G299" s="20"/>
      <c r="H299" s="20"/>
      <c r="I299" s="14">
        <f>IF(OR($B299="",$H299&lt;&gt;"Sí"),"",IF(DAY($A299)&lt;='Config'!$B$13,DATE(YEAR($A299),MONTH($A299),'Config'!$B$13),EOMONTH($A299,0)+'Config'!$B$13))</f>
      </c>
      <c r="J299" s="14">
        <f>IF($I299="","",DATE(YEAR(EOMONTH($I299,0)+1),MONTH(EOMONTH($I299,0)+1),'Config'!$B$14))</f>
      </c>
      <c r="K299" s="22"/>
      <c r="L299" s="16">
        <f>IF($B299="","",MAX($F299-$K299,0))</f>
      </c>
      <c r="M299" s="19">
        <f>IF($B299="","",IF($H299&lt;&gt;"Sí","Pagado (contado)",IF($L299&lt;=0,"Pagado",IF($K299&gt;0,"Abono parcial","Pendiente"))))</f>
      </c>
      <c r="N299" s="19">
        <f>IF(OR($B299="",$H299&lt;&gt;"Sí",$L299&lt;=0),"",IF(TODAY()&gt;$J299,"🔴 VENCIDO hace "&amp;(TODAY()-$J299)&amp;" día(s)",IF($J299-TODAY()&lt;='Config'!$B$15,"🟠 Faltan "&amp;($J299-TODAY())&amp;" día(s) para pagar","🟢 Al día (paga el "&amp;TEXT($J299,"dd/mm")&amp;")")))</f>
      </c>
      <c r="O299" s="23"/>
      <c r="P299" s="17">
        <f>IF(OR($B299="",$O299=""),"",$O299-$A299)</f>
      </c>
    </row>
    <row r="300">
      <c r="A300" s="23"/>
      <c r="B300" s="20"/>
      <c r="C300" s="19">
        <f>IF($B300="","",IFERROR(VLOOKUP($B300,'Catálogo'!$A:$B,2,FALSE),"⚠ Código no existe"))</f>
      </c>
      <c r="D300" s="21"/>
      <c r="E300" s="22"/>
      <c r="F300" s="16">
        <f>IF($B300="","",$D300*$E300)</f>
      </c>
      <c r="G300" s="20"/>
      <c r="H300" s="20"/>
      <c r="I300" s="14">
        <f>IF(OR($B300="",$H300&lt;&gt;"Sí"),"",IF(DAY($A300)&lt;='Config'!$B$13,DATE(YEAR($A300),MONTH($A300),'Config'!$B$13),EOMONTH($A300,0)+'Config'!$B$13))</f>
      </c>
      <c r="J300" s="14">
        <f>IF($I300="","",DATE(YEAR(EOMONTH($I300,0)+1),MONTH(EOMONTH($I300,0)+1),'Config'!$B$14))</f>
      </c>
      <c r="K300" s="22"/>
      <c r="L300" s="16">
        <f>IF($B300="","",MAX($F300-$K300,0))</f>
      </c>
      <c r="M300" s="19">
        <f>IF($B300="","",IF($H300&lt;&gt;"Sí","Pagado (contado)",IF($L300&lt;=0,"Pagado",IF($K300&gt;0,"Abono parcial","Pendiente"))))</f>
      </c>
      <c r="N300" s="19">
        <f>IF(OR($B300="",$H300&lt;&gt;"Sí",$L300&lt;=0),"",IF(TODAY()&gt;$J300,"🔴 VENCIDO hace "&amp;(TODAY()-$J300)&amp;" día(s)",IF($J300-TODAY()&lt;='Config'!$B$15,"🟠 Faltan "&amp;($J300-TODAY())&amp;" día(s) para pagar","🟢 Al día (paga el "&amp;TEXT($J300,"dd/mm")&amp;")")))</f>
      </c>
      <c r="O300" s="23"/>
      <c r="P300" s="17">
        <f>IF(OR($B300="",$O300=""),"",$O300-$A300)</f>
      </c>
    </row>
    <row r="301">
      <c r="A301" s="23"/>
      <c r="B301" s="20"/>
      <c r="C301" s="19">
        <f>IF($B301="","",IFERROR(VLOOKUP($B301,'Catálogo'!$A:$B,2,FALSE),"⚠ Código no existe"))</f>
      </c>
      <c r="D301" s="21"/>
      <c r="E301" s="22"/>
      <c r="F301" s="16">
        <f>IF($B301="","",$D301*$E301)</f>
      </c>
      <c r="G301" s="20"/>
      <c r="H301" s="20"/>
      <c r="I301" s="14">
        <f>IF(OR($B301="",$H301&lt;&gt;"Sí"),"",IF(DAY($A301)&lt;='Config'!$B$13,DATE(YEAR($A301),MONTH($A301),'Config'!$B$13),EOMONTH($A301,0)+'Config'!$B$13))</f>
      </c>
      <c r="J301" s="14">
        <f>IF($I301="","",DATE(YEAR(EOMONTH($I301,0)+1),MONTH(EOMONTH($I301,0)+1),'Config'!$B$14))</f>
      </c>
      <c r="K301" s="22"/>
      <c r="L301" s="16">
        <f>IF($B301="","",MAX($F301-$K301,0))</f>
      </c>
      <c r="M301" s="19">
        <f>IF($B301="","",IF($H301&lt;&gt;"Sí","Pagado (contado)",IF($L301&lt;=0,"Pagado",IF($K301&gt;0,"Abono parcial","Pendiente"))))</f>
      </c>
      <c r="N301" s="19">
        <f>IF(OR($B301="",$H301&lt;&gt;"Sí",$L301&lt;=0),"",IF(TODAY()&gt;$J301,"🔴 VENCIDO hace "&amp;(TODAY()-$J301)&amp;" día(s)",IF($J301-TODAY()&lt;='Config'!$B$15,"🟠 Faltan "&amp;($J301-TODAY())&amp;" día(s) para pagar","🟢 Al día (paga el "&amp;TEXT($J301,"dd/mm")&amp;")")))</f>
      </c>
      <c r="O301" s="23"/>
      <c r="P301" s="17">
        <f>IF(OR($B301="",$O301=""),"",$O301-$A301)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G2:G301">
      <formula1>'Config'!$R$2:$R$30</formula1>
    </dataValidation>
    <dataValidation type="list" allowBlank="1" showInputMessage="1" showErrorMessage="0" sqref="H2:H301">
      <formula1>"Sí,No"</formula1>
    </dataValidation>
  </dataValidations>
  <pageMargins left="0.5" right="0.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12.00" customWidth="1"/>
    <col min="3" max="3" width="22.00" customWidth="1"/>
    <col min="4" max="4" width="12.00" customWidth="1"/>
    <col min="5" max="5" width="28.00" customWidth="1"/>
    <col min="6" max="6" width="10.00" customWidth="1"/>
    <col min="7" max="7" width="16.00" customWidth="1"/>
    <col min="8" max="8" width="15.00" customWidth="1"/>
    <col min="9" max="9" width="15.00" customWidth="1"/>
    <col min="10" max="10" width="14.00" customWidth="1"/>
    <col min="11" max="11" width="13.00" customWidth="1"/>
    <col min="12" max="12" width="14.00" customWidth="1"/>
    <col min="13" max="13" width="14.00" customWidth="1"/>
    <col min="14" max="14" width="10.00" customWidth="1"/>
    <col min="15" max="15" width="18.00" customWidth="1"/>
  </cols>
  <sheetData>
    <row r="1">
      <c r="A1" s="1" t="inlineStr">
        <is>
          <t xml:space="preserve">Fecha</t>
        </is>
      </c>
      <c r="B1" s="1" t="inlineStr">
        <is>
          <t xml:space="preserve">N° Factura</t>
        </is>
      </c>
      <c r="C1" s="1" t="inlineStr">
        <is>
          <t xml:space="preserve">Cliente</t>
        </is>
      </c>
      <c r="D1" s="1" t="inlineStr">
        <is>
          <t xml:space="preserve">Código</t>
        </is>
      </c>
      <c r="E1" s="1" t="inlineStr">
        <is>
          <t xml:space="preserve">Producto</t>
        </is>
      </c>
      <c r="F1" s="1" t="inlineStr">
        <is>
          <t xml:space="preserve">Cantidad</t>
        </is>
      </c>
      <c r="G1" s="1" t="inlineStr">
        <is>
          <t xml:space="preserve">Ubicación</t>
        </is>
      </c>
      <c r="H1" s="1" t="inlineStr">
        <is>
          <t xml:space="preserve">Valor Recibido</t>
        </is>
      </c>
      <c r="I1" s="1" t="inlineStr">
        <is>
          <t xml:space="preserve">Costo Prom. Unit.</t>
        </is>
      </c>
      <c r="J1" s="1" t="inlineStr">
        <is>
          <t xml:space="preserve">Costo Total</t>
        </is>
      </c>
      <c r="K1" s="1" t="inlineStr">
        <is>
          <t xml:space="preserve">Costos Fijos</t>
        </is>
      </c>
      <c r="L1" s="1" t="inlineStr">
        <is>
          <t xml:space="preserve">Utilidad Neta</t>
        </is>
      </c>
      <c r="M1" s="1" t="inlineStr">
        <is>
          <t xml:space="preserve">clave</t>
        </is>
      </c>
      <c r="N1" s="1" t="inlineStr">
        <is>
          <t xml:space="preserve">Margen %</t>
        </is>
      </c>
      <c r="O1" s="1" t="inlineStr">
        <is>
          <t xml:space="preserve">Forma de Cobro</t>
        </is>
      </c>
    </row>
    <row r="2">
      <c r="A2" s="23"/>
      <c r="B2" s="20"/>
      <c r="C2" s="20"/>
      <c r="D2" s="20"/>
      <c r="E2" s="19">
        <f>IF($D2="","",IFERROR(VLOOKUP($D2,'Catálogo'!$A:$B,2,FALSE),"⚠ Código no existe"))</f>
      </c>
      <c r="F2" s="21"/>
      <c r="G2" s="20"/>
      <c r="H2" s="22"/>
      <c r="I2" s="16">
        <f>IF($D2="","",IFERROR(VLOOKUP($D2,'Catálogo'!$A:$F,6,FALSE),0))</f>
      </c>
      <c r="J2" s="16">
        <f>IF($D2="","",$F2*$I2)</f>
      </c>
      <c r="K2" s="16">
        <f>IF($D2="","",'Config'!$B$11+'Config'!$B$12)</f>
      </c>
      <c r="L2" s="16">
        <f>IF($D2="","",$H2-$J2-$K2)</f>
      </c>
      <c r="M2" s="19">
        <f>IF($D2="","",$D2&amp;"|"&amp;$G2)</f>
      </c>
      <c r="N2" s="18">
        <f>IF($D2="","",IF($H2=0,0,$L2/$H2))</f>
      </c>
      <c r="O2" s="20"/>
    </row>
    <row r="3">
      <c r="A3" s="23"/>
      <c r="B3" s="20"/>
      <c r="C3" s="20"/>
      <c r="D3" s="20"/>
      <c r="E3" s="19">
        <f>IF($D3="","",IFERROR(VLOOKUP($D3,'Catálogo'!$A:$B,2,FALSE),"⚠ Código no existe"))</f>
      </c>
      <c r="F3" s="21"/>
      <c r="G3" s="20"/>
      <c r="H3" s="22"/>
      <c r="I3" s="16">
        <f>IF($D3="","",IFERROR(VLOOKUP($D3,'Catálogo'!$A:$F,6,FALSE),0))</f>
      </c>
      <c r="J3" s="16">
        <f>IF($D3="","",$F3*$I3)</f>
      </c>
      <c r="K3" s="16">
        <f>IF($D3="","",'Config'!$B$11+'Config'!$B$12)</f>
      </c>
      <c r="L3" s="16">
        <f>IF($D3="","",$H3-$J3-$K3)</f>
      </c>
      <c r="M3" s="19">
        <f>IF($D3="","",$D3&amp;"|"&amp;$G3)</f>
      </c>
      <c r="N3" s="18">
        <f>IF($D3="","",IF($H3=0,0,$L3/$H3))</f>
      </c>
      <c r="O3" s="20"/>
    </row>
    <row r="4">
      <c r="A4" s="23"/>
      <c r="B4" s="20"/>
      <c r="C4" s="20"/>
      <c r="D4" s="20"/>
      <c r="E4" s="19">
        <f>IF($D4="","",IFERROR(VLOOKUP($D4,'Catálogo'!$A:$B,2,FALSE),"⚠ Código no existe"))</f>
      </c>
      <c r="F4" s="21"/>
      <c r="G4" s="20"/>
      <c r="H4" s="22"/>
      <c r="I4" s="16">
        <f>IF($D4="","",IFERROR(VLOOKUP($D4,'Catálogo'!$A:$F,6,FALSE),0))</f>
      </c>
      <c r="J4" s="16">
        <f>IF($D4="","",$F4*$I4)</f>
      </c>
      <c r="K4" s="16">
        <f>IF($D4="","",'Config'!$B$11+'Config'!$B$12)</f>
      </c>
      <c r="L4" s="16">
        <f>IF($D4="","",$H4-$J4-$K4)</f>
      </c>
      <c r="M4" s="19">
        <f>IF($D4="","",$D4&amp;"|"&amp;$G4)</f>
      </c>
      <c r="N4" s="18">
        <f>IF($D4="","",IF($H4=0,0,$L4/$H4))</f>
      </c>
      <c r="O4" s="20"/>
    </row>
    <row r="5">
      <c r="A5" s="23"/>
      <c r="B5" s="20"/>
      <c r="C5" s="20"/>
      <c r="D5" s="20"/>
      <c r="E5" s="19">
        <f>IF($D5="","",IFERROR(VLOOKUP($D5,'Catálogo'!$A:$B,2,FALSE),"⚠ Código no existe"))</f>
      </c>
      <c r="F5" s="21"/>
      <c r="G5" s="20"/>
      <c r="H5" s="22"/>
      <c r="I5" s="16">
        <f>IF($D5="","",IFERROR(VLOOKUP($D5,'Catálogo'!$A:$F,6,FALSE),0))</f>
      </c>
      <c r="J5" s="16">
        <f>IF($D5="","",$F5*$I5)</f>
      </c>
      <c r="K5" s="16">
        <f>IF($D5="","",'Config'!$B$11+'Config'!$B$12)</f>
      </c>
      <c r="L5" s="16">
        <f>IF($D5="","",$H5-$J5-$K5)</f>
      </c>
      <c r="M5" s="19">
        <f>IF($D5="","",$D5&amp;"|"&amp;$G5)</f>
      </c>
      <c r="N5" s="18">
        <f>IF($D5="","",IF($H5=0,0,$L5/$H5))</f>
      </c>
      <c r="O5" s="20"/>
    </row>
    <row r="6">
      <c r="A6" s="23"/>
      <c r="B6" s="20"/>
      <c r="C6" s="20"/>
      <c r="D6" s="20"/>
      <c r="E6" s="19">
        <f>IF($D6="","",IFERROR(VLOOKUP($D6,'Catálogo'!$A:$B,2,FALSE),"⚠ Código no existe"))</f>
      </c>
      <c r="F6" s="21"/>
      <c r="G6" s="20"/>
      <c r="H6" s="22"/>
      <c r="I6" s="16">
        <f>IF($D6="","",IFERROR(VLOOKUP($D6,'Catálogo'!$A:$F,6,FALSE),0))</f>
      </c>
      <c r="J6" s="16">
        <f>IF($D6="","",$F6*$I6)</f>
      </c>
      <c r="K6" s="16">
        <f>IF($D6="","",'Config'!$B$11+'Config'!$B$12)</f>
      </c>
      <c r="L6" s="16">
        <f>IF($D6="","",$H6-$J6-$K6)</f>
      </c>
      <c r="M6" s="19">
        <f>IF($D6="","",$D6&amp;"|"&amp;$G6)</f>
      </c>
      <c r="N6" s="18">
        <f>IF($D6="","",IF($H6=0,0,$L6/$H6))</f>
      </c>
      <c r="O6" s="20"/>
    </row>
    <row r="7">
      <c r="A7" s="23"/>
      <c r="B7" s="20"/>
      <c r="C7" s="20"/>
      <c r="D7" s="20"/>
      <c r="E7" s="19">
        <f>IF($D7="","",IFERROR(VLOOKUP($D7,'Catálogo'!$A:$B,2,FALSE),"⚠ Código no existe"))</f>
      </c>
      <c r="F7" s="21"/>
      <c r="G7" s="20"/>
      <c r="H7" s="22"/>
      <c r="I7" s="16">
        <f>IF($D7="","",IFERROR(VLOOKUP($D7,'Catálogo'!$A:$F,6,FALSE),0))</f>
      </c>
      <c r="J7" s="16">
        <f>IF($D7="","",$F7*$I7)</f>
      </c>
      <c r="K7" s="16">
        <f>IF($D7="","",'Config'!$B$11+'Config'!$B$12)</f>
      </c>
      <c r="L7" s="16">
        <f>IF($D7="","",$H7-$J7-$K7)</f>
      </c>
      <c r="M7" s="19">
        <f>IF($D7="","",$D7&amp;"|"&amp;$G7)</f>
      </c>
      <c r="N7" s="18">
        <f>IF($D7="","",IF($H7=0,0,$L7/$H7))</f>
      </c>
      <c r="O7" s="20"/>
    </row>
    <row r="8">
      <c r="A8" s="23"/>
      <c r="B8" s="20"/>
      <c r="C8" s="20"/>
      <c r="D8" s="20"/>
      <c r="E8" s="19">
        <f>IF($D8="","",IFERROR(VLOOKUP($D8,'Catálogo'!$A:$B,2,FALSE),"⚠ Código no existe"))</f>
      </c>
      <c r="F8" s="21"/>
      <c r="G8" s="20"/>
      <c r="H8" s="22"/>
      <c r="I8" s="16">
        <f>IF($D8="","",IFERROR(VLOOKUP($D8,'Catálogo'!$A:$F,6,FALSE),0))</f>
      </c>
      <c r="J8" s="16">
        <f>IF($D8="","",$F8*$I8)</f>
      </c>
      <c r="K8" s="16">
        <f>IF($D8="","",'Config'!$B$11+'Config'!$B$12)</f>
      </c>
      <c r="L8" s="16">
        <f>IF($D8="","",$H8-$J8-$K8)</f>
      </c>
      <c r="M8" s="19">
        <f>IF($D8="","",$D8&amp;"|"&amp;$G8)</f>
      </c>
      <c r="N8" s="18">
        <f>IF($D8="","",IF($H8=0,0,$L8/$H8))</f>
      </c>
      <c r="O8" s="20"/>
    </row>
    <row r="9">
      <c r="A9" s="23"/>
      <c r="B9" s="20"/>
      <c r="C9" s="20"/>
      <c r="D9" s="20"/>
      <c r="E9" s="19">
        <f>IF($D9="","",IFERROR(VLOOKUP($D9,'Catálogo'!$A:$B,2,FALSE),"⚠ Código no existe"))</f>
      </c>
      <c r="F9" s="21"/>
      <c r="G9" s="20"/>
      <c r="H9" s="22"/>
      <c r="I9" s="16">
        <f>IF($D9="","",IFERROR(VLOOKUP($D9,'Catálogo'!$A:$F,6,FALSE),0))</f>
      </c>
      <c r="J9" s="16">
        <f>IF($D9="","",$F9*$I9)</f>
      </c>
      <c r="K9" s="16">
        <f>IF($D9="","",'Config'!$B$11+'Config'!$B$12)</f>
      </c>
      <c r="L9" s="16">
        <f>IF($D9="","",$H9-$J9-$K9)</f>
      </c>
      <c r="M9" s="19">
        <f>IF($D9="","",$D9&amp;"|"&amp;$G9)</f>
      </c>
      <c r="N9" s="18">
        <f>IF($D9="","",IF($H9=0,0,$L9/$H9))</f>
      </c>
      <c r="O9" s="20"/>
    </row>
    <row r="10">
      <c r="A10" s="23"/>
      <c r="B10" s="20"/>
      <c r="C10" s="20"/>
      <c r="D10" s="20"/>
      <c r="E10" s="19">
        <f>IF($D10="","",IFERROR(VLOOKUP($D10,'Catálogo'!$A:$B,2,FALSE),"⚠ Código no existe"))</f>
      </c>
      <c r="F10" s="21"/>
      <c r="G10" s="20"/>
      <c r="H10" s="22"/>
      <c r="I10" s="16">
        <f>IF($D10="","",IFERROR(VLOOKUP($D10,'Catálogo'!$A:$F,6,FALSE),0))</f>
      </c>
      <c r="J10" s="16">
        <f>IF($D10="","",$F10*$I10)</f>
      </c>
      <c r="K10" s="16">
        <f>IF($D10="","",'Config'!$B$11+'Config'!$B$12)</f>
      </c>
      <c r="L10" s="16">
        <f>IF($D10="","",$H10-$J10-$K10)</f>
      </c>
      <c r="M10" s="19">
        <f>IF($D10="","",$D10&amp;"|"&amp;$G10)</f>
      </c>
      <c r="N10" s="18">
        <f>IF($D10="","",IF($H10=0,0,$L10/$H10))</f>
      </c>
      <c r="O10" s="20"/>
    </row>
    <row r="11">
      <c r="A11" s="23"/>
      <c r="B11" s="20"/>
      <c r="C11" s="20"/>
      <c r="D11" s="20"/>
      <c r="E11" s="19">
        <f>IF($D11="","",IFERROR(VLOOKUP($D11,'Catálogo'!$A:$B,2,FALSE),"⚠ Código no existe"))</f>
      </c>
      <c r="F11" s="21"/>
      <c r="G11" s="20"/>
      <c r="H11" s="22"/>
      <c r="I11" s="16">
        <f>IF($D11="","",IFERROR(VLOOKUP($D11,'Catálogo'!$A:$F,6,FALSE),0))</f>
      </c>
      <c r="J11" s="16">
        <f>IF($D11="","",$F11*$I11)</f>
      </c>
      <c r="K11" s="16">
        <f>IF($D11="","",'Config'!$B$11+'Config'!$B$12)</f>
      </c>
      <c r="L11" s="16">
        <f>IF($D11="","",$H11-$J11-$K11)</f>
      </c>
      <c r="M11" s="19">
        <f>IF($D11="","",$D11&amp;"|"&amp;$G11)</f>
      </c>
      <c r="N11" s="18">
        <f>IF($D11="","",IF($H11=0,0,$L11/$H11))</f>
      </c>
      <c r="O11" s="20"/>
    </row>
    <row r="12">
      <c r="A12" s="23"/>
      <c r="B12" s="20"/>
      <c r="C12" s="20"/>
      <c r="D12" s="20"/>
      <c r="E12" s="19">
        <f>IF($D12="","",IFERROR(VLOOKUP($D12,'Catálogo'!$A:$B,2,FALSE),"⚠ Código no existe"))</f>
      </c>
      <c r="F12" s="21"/>
      <c r="G12" s="20"/>
      <c r="H12" s="22"/>
      <c r="I12" s="16">
        <f>IF($D12="","",IFERROR(VLOOKUP($D12,'Catálogo'!$A:$F,6,FALSE),0))</f>
      </c>
      <c r="J12" s="16">
        <f>IF($D12="","",$F12*$I12)</f>
      </c>
      <c r="K12" s="16">
        <f>IF($D12="","",'Config'!$B$11+'Config'!$B$12)</f>
      </c>
      <c r="L12" s="16">
        <f>IF($D12="","",$H12-$J12-$K12)</f>
      </c>
      <c r="M12" s="19">
        <f>IF($D12="","",$D12&amp;"|"&amp;$G12)</f>
      </c>
      <c r="N12" s="18">
        <f>IF($D12="","",IF($H12=0,0,$L12/$H12))</f>
      </c>
      <c r="O12" s="20"/>
    </row>
    <row r="13">
      <c r="A13" s="23"/>
      <c r="B13" s="20"/>
      <c r="C13" s="20"/>
      <c r="D13" s="20"/>
      <c r="E13" s="19">
        <f>IF($D13="","",IFERROR(VLOOKUP($D13,'Catálogo'!$A:$B,2,FALSE),"⚠ Código no existe"))</f>
      </c>
      <c r="F13" s="21"/>
      <c r="G13" s="20"/>
      <c r="H13" s="22"/>
      <c r="I13" s="16">
        <f>IF($D13="","",IFERROR(VLOOKUP($D13,'Catálogo'!$A:$F,6,FALSE),0))</f>
      </c>
      <c r="J13" s="16">
        <f>IF($D13="","",$F13*$I13)</f>
      </c>
      <c r="K13" s="16">
        <f>IF($D13="","",'Config'!$B$11+'Config'!$B$12)</f>
      </c>
      <c r="L13" s="16">
        <f>IF($D13="","",$H13-$J13-$K13)</f>
      </c>
      <c r="M13" s="19">
        <f>IF($D13="","",$D13&amp;"|"&amp;$G13)</f>
      </c>
      <c r="N13" s="18">
        <f>IF($D13="","",IF($H13=0,0,$L13/$H13))</f>
      </c>
      <c r="O13" s="20"/>
    </row>
    <row r="14">
      <c r="A14" s="23"/>
      <c r="B14" s="20"/>
      <c r="C14" s="20"/>
      <c r="D14" s="20"/>
      <c r="E14" s="19">
        <f>IF($D14="","",IFERROR(VLOOKUP($D14,'Catálogo'!$A:$B,2,FALSE),"⚠ Código no existe"))</f>
      </c>
      <c r="F14" s="21"/>
      <c r="G14" s="20"/>
      <c r="H14" s="22"/>
      <c r="I14" s="16">
        <f>IF($D14="","",IFERROR(VLOOKUP($D14,'Catálogo'!$A:$F,6,FALSE),0))</f>
      </c>
      <c r="J14" s="16">
        <f>IF($D14="","",$F14*$I14)</f>
      </c>
      <c r="K14" s="16">
        <f>IF($D14="","",'Config'!$B$11+'Config'!$B$12)</f>
      </c>
      <c r="L14" s="16">
        <f>IF($D14="","",$H14-$J14-$K14)</f>
      </c>
      <c r="M14" s="19">
        <f>IF($D14="","",$D14&amp;"|"&amp;$G14)</f>
      </c>
      <c r="N14" s="18">
        <f>IF($D14="","",IF($H14=0,0,$L14/$H14))</f>
      </c>
      <c r="O14" s="20"/>
    </row>
    <row r="15">
      <c r="A15" s="23"/>
      <c r="B15" s="20"/>
      <c r="C15" s="20"/>
      <c r="D15" s="20"/>
      <c r="E15" s="19">
        <f>IF($D15="","",IFERROR(VLOOKUP($D15,'Catálogo'!$A:$B,2,FALSE),"⚠ Código no existe"))</f>
      </c>
      <c r="F15" s="21"/>
      <c r="G15" s="20"/>
      <c r="H15" s="22"/>
      <c r="I15" s="16">
        <f>IF($D15="","",IFERROR(VLOOKUP($D15,'Catálogo'!$A:$F,6,FALSE),0))</f>
      </c>
      <c r="J15" s="16">
        <f>IF($D15="","",$F15*$I15)</f>
      </c>
      <c r="K15" s="16">
        <f>IF($D15="","",'Config'!$B$11+'Config'!$B$12)</f>
      </c>
      <c r="L15" s="16">
        <f>IF($D15="","",$H15-$J15-$K15)</f>
      </c>
      <c r="M15" s="19">
        <f>IF($D15="","",$D15&amp;"|"&amp;$G15)</f>
      </c>
      <c r="N15" s="18">
        <f>IF($D15="","",IF($H15=0,0,$L15/$H15))</f>
      </c>
      <c r="O15" s="20"/>
    </row>
    <row r="16">
      <c r="A16" s="23"/>
      <c r="B16" s="20"/>
      <c r="C16" s="20"/>
      <c r="D16" s="20"/>
      <c r="E16" s="19">
        <f>IF($D16="","",IFERROR(VLOOKUP($D16,'Catálogo'!$A:$B,2,FALSE),"⚠ Código no existe"))</f>
      </c>
      <c r="F16" s="21"/>
      <c r="G16" s="20"/>
      <c r="H16" s="22"/>
      <c r="I16" s="16">
        <f>IF($D16="","",IFERROR(VLOOKUP($D16,'Catálogo'!$A:$F,6,FALSE),0))</f>
      </c>
      <c r="J16" s="16">
        <f>IF($D16="","",$F16*$I16)</f>
      </c>
      <c r="K16" s="16">
        <f>IF($D16="","",'Config'!$B$11+'Config'!$B$12)</f>
      </c>
      <c r="L16" s="16">
        <f>IF($D16="","",$H16-$J16-$K16)</f>
      </c>
      <c r="M16" s="19">
        <f>IF($D16="","",$D16&amp;"|"&amp;$G16)</f>
      </c>
      <c r="N16" s="18">
        <f>IF($D16="","",IF($H16=0,0,$L16/$H16))</f>
      </c>
      <c r="O16" s="20"/>
    </row>
    <row r="17">
      <c r="A17" s="23"/>
      <c r="B17" s="20"/>
      <c r="C17" s="20"/>
      <c r="D17" s="20"/>
      <c r="E17" s="19">
        <f>IF($D17="","",IFERROR(VLOOKUP($D17,'Catálogo'!$A:$B,2,FALSE),"⚠ Código no existe"))</f>
      </c>
      <c r="F17" s="21"/>
      <c r="G17" s="20"/>
      <c r="H17" s="22"/>
      <c r="I17" s="16">
        <f>IF($D17="","",IFERROR(VLOOKUP($D17,'Catálogo'!$A:$F,6,FALSE),0))</f>
      </c>
      <c r="J17" s="16">
        <f>IF($D17="","",$F17*$I17)</f>
      </c>
      <c r="K17" s="16">
        <f>IF($D17="","",'Config'!$B$11+'Config'!$B$12)</f>
      </c>
      <c r="L17" s="16">
        <f>IF($D17="","",$H17-$J17-$K17)</f>
      </c>
      <c r="M17" s="19">
        <f>IF($D17="","",$D17&amp;"|"&amp;$G17)</f>
      </c>
      <c r="N17" s="18">
        <f>IF($D17="","",IF($H17=0,0,$L17/$H17))</f>
      </c>
      <c r="O17" s="20"/>
    </row>
    <row r="18">
      <c r="A18" s="23"/>
      <c r="B18" s="20"/>
      <c r="C18" s="20"/>
      <c r="D18" s="20"/>
      <c r="E18" s="19">
        <f>IF($D18="","",IFERROR(VLOOKUP($D18,'Catálogo'!$A:$B,2,FALSE),"⚠ Código no existe"))</f>
      </c>
      <c r="F18" s="21"/>
      <c r="G18" s="20"/>
      <c r="H18" s="22"/>
      <c r="I18" s="16">
        <f>IF($D18="","",IFERROR(VLOOKUP($D18,'Catálogo'!$A:$F,6,FALSE),0))</f>
      </c>
      <c r="J18" s="16">
        <f>IF($D18="","",$F18*$I18)</f>
      </c>
      <c r="K18" s="16">
        <f>IF($D18="","",'Config'!$B$11+'Config'!$B$12)</f>
      </c>
      <c r="L18" s="16">
        <f>IF($D18="","",$H18-$J18-$K18)</f>
      </c>
      <c r="M18" s="19">
        <f>IF($D18="","",$D18&amp;"|"&amp;$G18)</f>
      </c>
      <c r="N18" s="18">
        <f>IF($D18="","",IF($H18=0,0,$L18/$H18))</f>
      </c>
      <c r="O18" s="20"/>
    </row>
    <row r="19">
      <c r="A19" s="23"/>
      <c r="B19" s="20"/>
      <c r="C19" s="20"/>
      <c r="D19" s="20"/>
      <c r="E19" s="19">
        <f>IF($D19="","",IFERROR(VLOOKUP($D19,'Catálogo'!$A:$B,2,FALSE),"⚠ Código no existe"))</f>
      </c>
      <c r="F19" s="21"/>
      <c r="G19" s="20"/>
      <c r="H19" s="22"/>
      <c r="I19" s="16">
        <f>IF($D19="","",IFERROR(VLOOKUP($D19,'Catálogo'!$A:$F,6,FALSE),0))</f>
      </c>
      <c r="J19" s="16">
        <f>IF($D19="","",$F19*$I19)</f>
      </c>
      <c r="K19" s="16">
        <f>IF($D19="","",'Config'!$B$11+'Config'!$B$12)</f>
      </c>
      <c r="L19" s="16">
        <f>IF($D19="","",$H19-$J19-$K19)</f>
      </c>
      <c r="M19" s="19">
        <f>IF($D19="","",$D19&amp;"|"&amp;$G19)</f>
      </c>
      <c r="N19" s="18">
        <f>IF($D19="","",IF($H19=0,0,$L19/$H19))</f>
      </c>
      <c r="O19" s="20"/>
    </row>
    <row r="20">
      <c r="A20" s="23"/>
      <c r="B20" s="20"/>
      <c r="C20" s="20"/>
      <c r="D20" s="20"/>
      <c r="E20" s="19">
        <f>IF($D20="","",IFERROR(VLOOKUP($D20,'Catálogo'!$A:$B,2,FALSE),"⚠ Código no existe"))</f>
      </c>
      <c r="F20" s="21"/>
      <c r="G20" s="20"/>
      <c r="H20" s="22"/>
      <c r="I20" s="16">
        <f>IF($D20="","",IFERROR(VLOOKUP($D20,'Catálogo'!$A:$F,6,FALSE),0))</f>
      </c>
      <c r="J20" s="16">
        <f>IF($D20="","",$F20*$I20)</f>
      </c>
      <c r="K20" s="16">
        <f>IF($D20="","",'Config'!$B$11+'Config'!$B$12)</f>
      </c>
      <c r="L20" s="16">
        <f>IF($D20="","",$H20-$J20-$K20)</f>
      </c>
      <c r="M20" s="19">
        <f>IF($D20="","",$D20&amp;"|"&amp;$G20)</f>
      </c>
      <c r="N20" s="18">
        <f>IF($D20="","",IF($H20=0,0,$L20/$H20))</f>
      </c>
      <c r="O20" s="20"/>
    </row>
    <row r="21">
      <c r="A21" s="23"/>
      <c r="B21" s="20"/>
      <c r="C21" s="20"/>
      <c r="D21" s="20"/>
      <c r="E21" s="19">
        <f>IF($D21="","",IFERROR(VLOOKUP($D21,'Catálogo'!$A:$B,2,FALSE),"⚠ Código no existe"))</f>
      </c>
      <c r="F21" s="21"/>
      <c r="G21" s="20"/>
      <c r="H21" s="22"/>
      <c r="I21" s="16">
        <f>IF($D21="","",IFERROR(VLOOKUP($D21,'Catálogo'!$A:$F,6,FALSE),0))</f>
      </c>
      <c r="J21" s="16">
        <f>IF($D21="","",$F21*$I21)</f>
      </c>
      <c r="K21" s="16">
        <f>IF($D21="","",'Config'!$B$11+'Config'!$B$12)</f>
      </c>
      <c r="L21" s="16">
        <f>IF($D21="","",$H21-$J21-$K21)</f>
      </c>
      <c r="M21" s="19">
        <f>IF($D21="","",$D21&amp;"|"&amp;$G21)</f>
      </c>
      <c r="N21" s="18">
        <f>IF($D21="","",IF($H21=0,0,$L21/$H21))</f>
      </c>
      <c r="O21" s="20"/>
    </row>
    <row r="22">
      <c r="A22" s="23"/>
      <c r="B22" s="20"/>
      <c r="C22" s="20"/>
      <c r="D22" s="20"/>
      <c r="E22" s="19">
        <f>IF($D22="","",IFERROR(VLOOKUP($D22,'Catálogo'!$A:$B,2,FALSE),"⚠ Código no existe"))</f>
      </c>
      <c r="F22" s="21"/>
      <c r="G22" s="20"/>
      <c r="H22" s="22"/>
      <c r="I22" s="16">
        <f>IF($D22="","",IFERROR(VLOOKUP($D22,'Catálogo'!$A:$F,6,FALSE),0))</f>
      </c>
      <c r="J22" s="16">
        <f>IF($D22="","",$F22*$I22)</f>
      </c>
      <c r="K22" s="16">
        <f>IF($D22="","",'Config'!$B$11+'Config'!$B$12)</f>
      </c>
      <c r="L22" s="16">
        <f>IF($D22="","",$H22-$J22-$K22)</f>
      </c>
      <c r="M22" s="19">
        <f>IF($D22="","",$D22&amp;"|"&amp;$G22)</f>
      </c>
      <c r="N22" s="18">
        <f>IF($D22="","",IF($H22=0,0,$L22/$H22))</f>
      </c>
      <c r="O22" s="20"/>
    </row>
    <row r="23">
      <c r="A23" s="23"/>
      <c r="B23" s="20"/>
      <c r="C23" s="20"/>
      <c r="D23" s="20"/>
      <c r="E23" s="19">
        <f>IF($D23="","",IFERROR(VLOOKUP($D23,'Catálogo'!$A:$B,2,FALSE),"⚠ Código no existe"))</f>
      </c>
      <c r="F23" s="21"/>
      <c r="G23" s="20"/>
      <c r="H23" s="22"/>
      <c r="I23" s="16">
        <f>IF($D23="","",IFERROR(VLOOKUP($D23,'Catálogo'!$A:$F,6,FALSE),0))</f>
      </c>
      <c r="J23" s="16">
        <f>IF($D23="","",$F23*$I23)</f>
      </c>
      <c r="K23" s="16">
        <f>IF($D23="","",'Config'!$B$11+'Config'!$B$12)</f>
      </c>
      <c r="L23" s="16">
        <f>IF($D23="","",$H23-$J23-$K23)</f>
      </c>
      <c r="M23" s="19">
        <f>IF($D23="","",$D23&amp;"|"&amp;$G23)</f>
      </c>
      <c r="N23" s="18">
        <f>IF($D23="","",IF($H23=0,0,$L23/$H23))</f>
      </c>
      <c r="O23" s="20"/>
    </row>
    <row r="24">
      <c r="A24" s="23"/>
      <c r="B24" s="20"/>
      <c r="C24" s="20"/>
      <c r="D24" s="20"/>
      <c r="E24" s="19">
        <f>IF($D24="","",IFERROR(VLOOKUP($D24,'Catálogo'!$A:$B,2,FALSE),"⚠ Código no existe"))</f>
      </c>
      <c r="F24" s="21"/>
      <c r="G24" s="20"/>
      <c r="H24" s="22"/>
      <c r="I24" s="16">
        <f>IF($D24="","",IFERROR(VLOOKUP($D24,'Catálogo'!$A:$F,6,FALSE),0))</f>
      </c>
      <c r="J24" s="16">
        <f>IF($D24="","",$F24*$I24)</f>
      </c>
      <c r="K24" s="16">
        <f>IF($D24="","",'Config'!$B$11+'Config'!$B$12)</f>
      </c>
      <c r="L24" s="16">
        <f>IF($D24="","",$H24-$J24-$K24)</f>
      </c>
      <c r="M24" s="19">
        <f>IF($D24="","",$D24&amp;"|"&amp;$G24)</f>
      </c>
      <c r="N24" s="18">
        <f>IF($D24="","",IF($H24=0,0,$L24/$H24))</f>
      </c>
      <c r="O24" s="20"/>
    </row>
    <row r="25">
      <c r="A25" s="23"/>
      <c r="B25" s="20"/>
      <c r="C25" s="20"/>
      <c r="D25" s="20"/>
      <c r="E25" s="19">
        <f>IF($D25="","",IFERROR(VLOOKUP($D25,'Catálogo'!$A:$B,2,FALSE),"⚠ Código no existe"))</f>
      </c>
      <c r="F25" s="21"/>
      <c r="G25" s="20"/>
      <c r="H25" s="22"/>
      <c r="I25" s="16">
        <f>IF($D25="","",IFERROR(VLOOKUP($D25,'Catálogo'!$A:$F,6,FALSE),0))</f>
      </c>
      <c r="J25" s="16">
        <f>IF($D25="","",$F25*$I25)</f>
      </c>
      <c r="K25" s="16">
        <f>IF($D25="","",'Config'!$B$11+'Config'!$B$12)</f>
      </c>
      <c r="L25" s="16">
        <f>IF($D25="","",$H25-$J25-$K25)</f>
      </c>
      <c r="M25" s="19">
        <f>IF($D25="","",$D25&amp;"|"&amp;$G25)</f>
      </c>
      <c r="N25" s="18">
        <f>IF($D25="","",IF($H25=0,0,$L25/$H25))</f>
      </c>
      <c r="O25" s="20"/>
    </row>
    <row r="26">
      <c r="A26" s="23"/>
      <c r="B26" s="20"/>
      <c r="C26" s="20"/>
      <c r="D26" s="20"/>
      <c r="E26" s="19">
        <f>IF($D26="","",IFERROR(VLOOKUP($D26,'Catálogo'!$A:$B,2,FALSE),"⚠ Código no existe"))</f>
      </c>
      <c r="F26" s="21"/>
      <c r="G26" s="20"/>
      <c r="H26" s="22"/>
      <c r="I26" s="16">
        <f>IF($D26="","",IFERROR(VLOOKUP($D26,'Catálogo'!$A:$F,6,FALSE),0))</f>
      </c>
      <c r="J26" s="16">
        <f>IF($D26="","",$F26*$I26)</f>
      </c>
      <c r="K26" s="16">
        <f>IF($D26="","",'Config'!$B$11+'Config'!$B$12)</f>
      </c>
      <c r="L26" s="16">
        <f>IF($D26="","",$H26-$J26-$K26)</f>
      </c>
      <c r="M26" s="19">
        <f>IF($D26="","",$D26&amp;"|"&amp;$G26)</f>
      </c>
      <c r="N26" s="18">
        <f>IF($D26="","",IF($H26=0,0,$L26/$H26))</f>
      </c>
      <c r="O26" s="20"/>
    </row>
    <row r="27">
      <c r="A27" s="23"/>
      <c r="B27" s="20"/>
      <c r="C27" s="20"/>
      <c r="D27" s="20"/>
      <c r="E27" s="19">
        <f>IF($D27="","",IFERROR(VLOOKUP($D27,'Catálogo'!$A:$B,2,FALSE),"⚠ Código no existe"))</f>
      </c>
      <c r="F27" s="21"/>
      <c r="G27" s="20"/>
      <c r="H27" s="22"/>
      <c r="I27" s="16">
        <f>IF($D27="","",IFERROR(VLOOKUP($D27,'Catálogo'!$A:$F,6,FALSE),0))</f>
      </c>
      <c r="J27" s="16">
        <f>IF($D27="","",$F27*$I27)</f>
      </c>
      <c r="K27" s="16">
        <f>IF($D27="","",'Config'!$B$11+'Config'!$B$12)</f>
      </c>
      <c r="L27" s="16">
        <f>IF($D27="","",$H27-$J27-$K27)</f>
      </c>
      <c r="M27" s="19">
        <f>IF($D27="","",$D27&amp;"|"&amp;$G27)</f>
      </c>
      <c r="N27" s="18">
        <f>IF($D27="","",IF($H27=0,0,$L27/$H27))</f>
      </c>
      <c r="O27" s="20"/>
    </row>
    <row r="28">
      <c r="A28" s="23"/>
      <c r="B28" s="20"/>
      <c r="C28" s="20"/>
      <c r="D28" s="20"/>
      <c r="E28" s="19">
        <f>IF($D28="","",IFERROR(VLOOKUP($D28,'Catálogo'!$A:$B,2,FALSE),"⚠ Código no existe"))</f>
      </c>
      <c r="F28" s="21"/>
      <c r="G28" s="20"/>
      <c r="H28" s="22"/>
      <c r="I28" s="16">
        <f>IF($D28="","",IFERROR(VLOOKUP($D28,'Catálogo'!$A:$F,6,FALSE),0))</f>
      </c>
      <c r="J28" s="16">
        <f>IF($D28="","",$F28*$I28)</f>
      </c>
      <c r="K28" s="16">
        <f>IF($D28="","",'Config'!$B$11+'Config'!$B$12)</f>
      </c>
      <c r="L28" s="16">
        <f>IF($D28="","",$H28-$J28-$K28)</f>
      </c>
      <c r="M28" s="19">
        <f>IF($D28="","",$D28&amp;"|"&amp;$G28)</f>
      </c>
      <c r="N28" s="18">
        <f>IF($D28="","",IF($H28=0,0,$L28/$H28))</f>
      </c>
      <c r="O28" s="20"/>
    </row>
    <row r="29">
      <c r="A29" s="23"/>
      <c r="B29" s="20"/>
      <c r="C29" s="20"/>
      <c r="D29" s="20"/>
      <c r="E29" s="19">
        <f>IF($D29="","",IFERROR(VLOOKUP($D29,'Catálogo'!$A:$B,2,FALSE),"⚠ Código no existe"))</f>
      </c>
      <c r="F29" s="21"/>
      <c r="G29" s="20"/>
      <c r="H29" s="22"/>
      <c r="I29" s="16">
        <f>IF($D29="","",IFERROR(VLOOKUP($D29,'Catálogo'!$A:$F,6,FALSE),0))</f>
      </c>
      <c r="J29" s="16">
        <f>IF($D29="","",$F29*$I29)</f>
      </c>
      <c r="K29" s="16">
        <f>IF($D29="","",'Config'!$B$11+'Config'!$B$12)</f>
      </c>
      <c r="L29" s="16">
        <f>IF($D29="","",$H29-$J29-$K29)</f>
      </c>
      <c r="M29" s="19">
        <f>IF($D29="","",$D29&amp;"|"&amp;$G29)</f>
      </c>
      <c r="N29" s="18">
        <f>IF($D29="","",IF($H29=0,0,$L29/$H29))</f>
      </c>
      <c r="O29" s="20"/>
    </row>
    <row r="30">
      <c r="A30" s="23"/>
      <c r="B30" s="20"/>
      <c r="C30" s="20"/>
      <c r="D30" s="20"/>
      <c r="E30" s="19">
        <f>IF($D30="","",IFERROR(VLOOKUP($D30,'Catálogo'!$A:$B,2,FALSE),"⚠ Código no existe"))</f>
      </c>
      <c r="F30" s="21"/>
      <c r="G30" s="20"/>
      <c r="H30" s="22"/>
      <c r="I30" s="16">
        <f>IF($D30="","",IFERROR(VLOOKUP($D30,'Catálogo'!$A:$F,6,FALSE),0))</f>
      </c>
      <c r="J30" s="16">
        <f>IF($D30="","",$F30*$I30)</f>
      </c>
      <c r="K30" s="16">
        <f>IF($D30="","",'Config'!$B$11+'Config'!$B$12)</f>
      </c>
      <c r="L30" s="16">
        <f>IF($D30="","",$H30-$J30-$K30)</f>
      </c>
      <c r="M30" s="19">
        <f>IF($D30="","",$D30&amp;"|"&amp;$G30)</f>
      </c>
      <c r="N30" s="18">
        <f>IF($D30="","",IF($H30=0,0,$L30/$H30))</f>
      </c>
      <c r="O30" s="20"/>
    </row>
    <row r="31">
      <c r="A31" s="23"/>
      <c r="B31" s="20"/>
      <c r="C31" s="20"/>
      <c r="D31" s="20"/>
      <c r="E31" s="19">
        <f>IF($D31="","",IFERROR(VLOOKUP($D31,'Catálogo'!$A:$B,2,FALSE),"⚠ Código no existe"))</f>
      </c>
      <c r="F31" s="21"/>
      <c r="G31" s="20"/>
      <c r="H31" s="22"/>
      <c r="I31" s="16">
        <f>IF($D31="","",IFERROR(VLOOKUP($D31,'Catálogo'!$A:$F,6,FALSE),0))</f>
      </c>
      <c r="J31" s="16">
        <f>IF($D31="","",$F31*$I31)</f>
      </c>
      <c r="K31" s="16">
        <f>IF($D31="","",'Config'!$B$11+'Config'!$B$12)</f>
      </c>
      <c r="L31" s="16">
        <f>IF($D31="","",$H31-$J31-$K31)</f>
      </c>
      <c r="M31" s="19">
        <f>IF($D31="","",$D31&amp;"|"&amp;$G31)</f>
      </c>
      <c r="N31" s="18">
        <f>IF($D31="","",IF($H31=0,0,$L31/$H31))</f>
      </c>
      <c r="O31" s="20"/>
    </row>
    <row r="32">
      <c r="A32" s="23"/>
      <c r="B32" s="20"/>
      <c r="C32" s="20"/>
      <c r="D32" s="20"/>
      <c r="E32" s="19">
        <f>IF($D32="","",IFERROR(VLOOKUP($D32,'Catálogo'!$A:$B,2,FALSE),"⚠ Código no existe"))</f>
      </c>
      <c r="F32" s="21"/>
      <c r="G32" s="20"/>
      <c r="H32" s="22"/>
      <c r="I32" s="16">
        <f>IF($D32="","",IFERROR(VLOOKUP($D32,'Catálogo'!$A:$F,6,FALSE),0))</f>
      </c>
      <c r="J32" s="16">
        <f>IF($D32="","",$F32*$I32)</f>
      </c>
      <c r="K32" s="16">
        <f>IF($D32="","",'Config'!$B$11+'Config'!$B$12)</f>
      </c>
      <c r="L32" s="16">
        <f>IF($D32="","",$H32-$J32-$K32)</f>
      </c>
      <c r="M32" s="19">
        <f>IF($D32="","",$D32&amp;"|"&amp;$G32)</f>
      </c>
      <c r="N32" s="18">
        <f>IF($D32="","",IF($H32=0,0,$L32/$H32))</f>
      </c>
      <c r="O32" s="20"/>
    </row>
    <row r="33">
      <c r="A33" s="23"/>
      <c r="B33" s="20"/>
      <c r="C33" s="20"/>
      <c r="D33" s="20"/>
      <c r="E33" s="19">
        <f>IF($D33="","",IFERROR(VLOOKUP($D33,'Catálogo'!$A:$B,2,FALSE),"⚠ Código no existe"))</f>
      </c>
      <c r="F33" s="21"/>
      <c r="G33" s="20"/>
      <c r="H33" s="22"/>
      <c r="I33" s="16">
        <f>IF($D33="","",IFERROR(VLOOKUP($D33,'Catálogo'!$A:$F,6,FALSE),0))</f>
      </c>
      <c r="J33" s="16">
        <f>IF($D33="","",$F33*$I33)</f>
      </c>
      <c r="K33" s="16">
        <f>IF($D33="","",'Config'!$B$11+'Config'!$B$12)</f>
      </c>
      <c r="L33" s="16">
        <f>IF($D33="","",$H33-$J33-$K33)</f>
      </c>
      <c r="M33" s="19">
        <f>IF($D33="","",$D33&amp;"|"&amp;$G33)</f>
      </c>
      <c r="N33" s="18">
        <f>IF($D33="","",IF($H33=0,0,$L33/$H33))</f>
      </c>
      <c r="O33" s="20"/>
    </row>
    <row r="34">
      <c r="A34" s="23"/>
      <c r="B34" s="20"/>
      <c r="C34" s="20"/>
      <c r="D34" s="20"/>
      <c r="E34" s="19">
        <f>IF($D34="","",IFERROR(VLOOKUP($D34,'Catálogo'!$A:$B,2,FALSE),"⚠ Código no existe"))</f>
      </c>
      <c r="F34" s="21"/>
      <c r="G34" s="20"/>
      <c r="H34" s="22"/>
      <c r="I34" s="16">
        <f>IF($D34="","",IFERROR(VLOOKUP($D34,'Catálogo'!$A:$F,6,FALSE),0))</f>
      </c>
      <c r="J34" s="16">
        <f>IF($D34="","",$F34*$I34)</f>
      </c>
      <c r="K34" s="16">
        <f>IF($D34="","",'Config'!$B$11+'Config'!$B$12)</f>
      </c>
      <c r="L34" s="16">
        <f>IF($D34="","",$H34-$J34-$K34)</f>
      </c>
      <c r="M34" s="19">
        <f>IF($D34="","",$D34&amp;"|"&amp;$G34)</f>
      </c>
      <c r="N34" s="18">
        <f>IF($D34="","",IF($H34=0,0,$L34/$H34))</f>
      </c>
      <c r="O34" s="20"/>
    </row>
    <row r="35">
      <c r="A35" s="23"/>
      <c r="B35" s="20"/>
      <c r="C35" s="20"/>
      <c r="D35" s="20"/>
      <c r="E35" s="19">
        <f>IF($D35="","",IFERROR(VLOOKUP($D35,'Catálogo'!$A:$B,2,FALSE),"⚠ Código no existe"))</f>
      </c>
      <c r="F35" s="21"/>
      <c r="G35" s="20"/>
      <c r="H35" s="22"/>
      <c r="I35" s="16">
        <f>IF($D35="","",IFERROR(VLOOKUP($D35,'Catálogo'!$A:$F,6,FALSE),0))</f>
      </c>
      <c r="J35" s="16">
        <f>IF($D35="","",$F35*$I35)</f>
      </c>
      <c r="K35" s="16">
        <f>IF($D35="","",'Config'!$B$11+'Config'!$B$12)</f>
      </c>
      <c r="L35" s="16">
        <f>IF($D35="","",$H35-$J35-$K35)</f>
      </c>
      <c r="M35" s="19">
        <f>IF($D35="","",$D35&amp;"|"&amp;$G35)</f>
      </c>
      <c r="N35" s="18">
        <f>IF($D35="","",IF($H35=0,0,$L35/$H35))</f>
      </c>
      <c r="O35" s="20"/>
    </row>
    <row r="36">
      <c r="A36" s="23"/>
      <c r="B36" s="20"/>
      <c r="C36" s="20"/>
      <c r="D36" s="20"/>
      <c r="E36" s="19">
        <f>IF($D36="","",IFERROR(VLOOKUP($D36,'Catálogo'!$A:$B,2,FALSE),"⚠ Código no existe"))</f>
      </c>
      <c r="F36" s="21"/>
      <c r="G36" s="20"/>
      <c r="H36" s="22"/>
      <c r="I36" s="16">
        <f>IF($D36="","",IFERROR(VLOOKUP($D36,'Catálogo'!$A:$F,6,FALSE),0))</f>
      </c>
      <c r="J36" s="16">
        <f>IF($D36="","",$F36*$I36)</f>
      </c>
      <c r="K36" s="16">
        <f>IF($D36="","",'Config'!$B$11+'Config'!$B$12)</f>
      </c>
      <c r="L36" s="16">
        <f>IF($D36="","",$H36-$J36-$K36)</f>
      </c>
      <c r="M36" s="19">
        <f>IF($D36="","",$D36&amp;"|"&amp;$G36)</f>
      </c>
      <c r="N36" s="18">
        <f>IF($D36="","",IF($H36=0,0,$L36/$H36))</f>
      </c>
      <c r="O36" s="20"/>
    </row>
    <row r="37">
      <c r="A37" s="23"/>
      <c r="B37" s="20"/>
      <c r="C37" s="20"/>
      <c r="D37" s="20"/>
      <c r="E37" s="19">
        <f>IF($D37="","",IFERROR(VLOOKUP($D37,'Catálogo'!$A:$B,2,FALSE),"⚠ Código no existe"))</f>
      </c>
      <c r="F37" s="21"/>
      <c r="G37" s="20"/>
      <c r="H37" s="22"/>
      <c r="I37" s="16">
        <f>IF($D37="","",IFERROR(VLOOKUP($D37,'Catálogo'!$A:$F,6,FALSE),0))</f>
      </c>
      <c r="J37" s="16">
        <f>IF($D37="","",$F37*$I37)</f>
      </c>
      <c r="K37" s="16">
        <f>IF($D37="","",'Config'!$B$11+'Config'!$B$12)</f>
      </c>
      <c r="L37" s="16">
        <f>IF($D37="","",$H37-$J37-$K37)</f>
      </c>
      <c r="M37" s="19">
        <f>IF($D37="","",$D37&amp;"|"&amp;$G37)</f>
      </c>
      <c r="N37" s="18">
        <f>IF($D37="","",IF($H37=0,0,$L37/$H37))</f>
      </c>
      <c r="O37" s="20"/>
    </row>
    <row r="38">
      <c r="A38" s="23"/>
      <c r="B38" s="20"/>
      <c r="C38" s="20"/>
      <c r="D38" s="20"/>
      <c r="E38" s="19">
        <f>IF($D38="","",IFERROR(VLOOKUP($D38,'Catálogo'!$A:$B,2,FALSE),"⚠ Código no existe"))</f>
      </c>
      <c r="F38" s="21"/>
      <c r="G38" s="20"/>
      <c r="H38" s="22"/>
      <c r="I38" s="16">
        <f>IF($D38="","",IFERROR(VLOOKUP($D38,'Catálogo'!$A:$F,6,FALSE),0))</f>
      </c>
      <c r="J38" s="16">
        <f>IF($D38="","",$F38*$I38)</f>
      </c>
      <c r="K38" s="16">
        <f>IF($D38="","",'Config'!$B$11+'Config'!$B$12)</f>
      </c>
      <c r="L38" s="16">
        <f>IF($D38="","",$H38-$J38-$K38)</f>
      </c>
      <c r="M38" s="19">
        <f>IF($D38="","",$D38&amp;"|"&amp;$G38)</f>
      </c>
      <c r="N38" s="18">
        <f>IF($D38="","",IF($H38=0,0,$L38/$H38))</f>
      </c>
      <c r="O38" s="20"/>
    </row>
    <row r="39">
      <c r="A39" s="23"/>
      <c r="B39" s="20"/>
      <c r="C39" s="20"/>
      <c r="D39" s="20"/>
      <c r="E39" s="19">
        <f>IF($D39="","",IFERROR(VLOOKUP($D39,'Catálogo'!$A:$B,2,FALSE),"⚠ Código no existe"))</f>
      </c>
      <c r="F39" s="21"/>
      <c r="G39" s="20"/>
      <c r="H39" s="22"/>
      <c r="I39" s="16">
        <f>IF($D39="","",IFERROR(VLOOKUP($D39,'Catálogo'!$A:$F,6,FALSE),0))</f>
      </c>
      <c r="J39" s="16">
        <f>IF($D39="","",$F39*$I39)</f>
      </c>
      <c r="K39" s="16">
        <f>IF($D39="","",'Config'!$B$11+'Config'!$B$12)</f>
      </c>
      <c r="L39" s="16">
        <f>IF($D39="","",$H39-$J39-$K39)</f>
      </c>
      <c r="M39" s="19">
        <f>IF($D39="","",$D39&amp;"|"&amp;$G39)</f>
      </c>
      <c r="N39" s="18">
        <f>IF($D39="","",IF($H39=0,0,$L39/$H39))</f>
      </c>
      <c r="O39" s="20"/>
    </row>
    <row r="40">
      <c r="A40" s="23"/>
      <c r="B40" s="20"/>
      <c r="C40" s="20"/>
      <c r="D40" s="20"/>
      <c r="E40" s="19">
        <f>IF($D40="","",IFERROR(VLOOKUP($D40,'Catálogo'!$A:$B,2,FALSE),"⚠ Código no existe"))</f>
      </c>
      <c r="F40" s="21"/>
      <c r="G40" s="20"/>
      <c r="H40" s="22"/>
      <c r="I40" s="16">
        <f>IF($D40="","",IFERROR(VLOOKUP($D40,'Catálogo'!$A:$F,6,FALSE),0))</f>
      </c>
      <c r="J40" s="16">
        <f>IF($D40="","",$F40*$I40)</f>
      </c>
      <c r="K40" s="16">
        <f>IF($D40="","",'Config'!$B$11+'Config'!$B$12)</f>
      </c>
      <c r="L40" s="16">
        <f>IF($D40="","",$H40-$J40-$K40)</f>
      </c>
      <c r="M40" s="19">
        <f>IF($D40="","",$D40&amp;"|"&amp;$G40)</f>
      </c>
      <c r="N40" s="18">
        <f>IF($D40="","",IF($H40=0,0,$L40/$H40))</f>
      </c>
      <c r="O40" s="20"/>
    </row>
    <row r="41">
      <c r="A41" s="23"/>
      <c r="B41" s="20"/>
      <c r="C41" s="20"/>
      <c r="D41" s="20"/>
      <c r="E41" s="19">
        <f>IF($D41="","",IFERROR(VLOOKUP($D41,'Catálogo'!$A:$B,2,FALSE),"⚠ Código no existe"))</f>
      </c>
      <c r="F41" s="21"/>
      <c r="G41" s="20"/>
      <c r="H41" s="22"/>
      <c r="I41" s="16">
        <f>IF($D41="","",IFERROR(VLOOKUP($D41,'Catálogo'!$A:$F,6,FALSE),0))</f>
      </c>
      <c r="J41" s="16">
        <f>IF($D41="","",$F41*$I41)</f>
      </c>
      <c r="K41" s="16">
        <f>IF($D41="","",'Config'!$B$11+'Config'!$B$12)</f>
      </c>
      <c r="L41" s="16">
        <f>IF($D41="","",$H41-$J41-$K41)</f>
      </c>
      <c r="M41" s="19">
        <f>IF($D41="","",$D41&amp;"|"&amp;$G41)</f>
      </c>
      <c r="N41" s="18">
        <f>IF($D41="","",IF($H41=0,0,$L41/$H41))</f>
      </c>
      <c r="O41" s="20"/>
    </row>
    <row r="42">
      <c r="A42" s="23"/>
      <c r="B42" s="20"/>
      <c r="C42" s="20"/>
      <c r="D42" s="20"/>
      <c r="E42" s="19">
        <f>IF($D42="","",IFERROR(VLOOKUP($D42,'Catálogo'!$A:$B,2,FALSE),"⚠ Código no existe"))</f>
      </c>
      <c r="F42" s="21"/>
      <c r="G42" s="20"/>
      <c r="H42" s="22"/>
      <c r="I42" s="16">
        <f>IF($D42="","",IFERROR(VLOOKUP($D42,'Catálogo'!$A:$F,6,FALSE),0))</f>
      </c>
      <c r="J42" s="16">
        <f>IF($D42="","",$F42*$I42)</f>
      </c>
      <c r="K42" s="16">
        <f>IF($D42="","",'Config'!$B$11+'Config'!$B$12)</f>
      </c>
      <c r="L42" s="16">
        <f>IF($D42="","",$H42-$J42-$K42)</f>
      </c>
      <c r="M42" s="19">
        <f>IF($D42="","",$D42&amp;"|"&amp;$G42)</f>
      </c>
      <c r="N42" s="18">
        <f>IF($D42="","",IF($H42=0,0,$L42/$H42))</f>
      </c>
      <c r="O42" s="20"/>
    </row>
    <row r="43">
      <c r="A43" s="23"/>
      <c r="B43" s="20"/>
      <c r="C43" s="20"/>
      <c r="D43" s="20"/>
      <c r="E43" s="19">
        <f>IF($D43="","",IFERROR(VLOOKUP($D43,'Catálogo'!$A:$B,2,FALSE),"⚠ Código no existe"))</f>
      </c>
      <c r="F43" s="21"/>
      <c r="G43" s="20"/>
      <c r="H43" s="22"/>
      <c r="I43" s="16">
        <f>IF($D43="","",IFERROR(VLOOKUP($D43,'Catálogo'!$A:$F,6,FALSE),0))</f>
      </c>
      <c r="J43" s="16">
        <f>IF($D43="","",$F43*$I43)</f>
      </c>
      <c r="K43" s="16">
        <f>IF($D43="","",'Config'!$B$11+'Config'!$B$12)</f>
      </c>
      <c r="L43" s="16">
        <f>IF($D43="","",$H43-$J43-$K43)</f>
      </c>
      <c r="M43" s="19">
        <f>IF($D43="","",$D43&amp;"|"&amp;$G43)</f>
      </c>
      <c r="N43" s="18">
        <f>IF($D43="","",IF($H43=0,0,$L43/$H43))</f>
      </c>
      <c r="O43" s="20"/>
    </row>
    <row r="44">
      <c r="A44" s="23"/>
      <c r="B44" s="20"/>
      <c r="C44" s="20"/>
      <c r="D44" s="20"/>
      <c r="E44" s="19">
        <f>IF($D44="","",IFERROR(VLOOKUP($D44,'Catálogo'!$A:$B,2,FALSE),"⚠ Código no existe"))</f>
      </c>
      <c r="F44" s="21"/>
      <c r="G44" s="20"/>
      <c r="H44" s="22"/>
      <c r="I44" s="16">
        <f>IF($D44="","",IFERROR(VLOOKUP($D44,'Catálogo'!$A:$F,6,FALSE),0))</f>
      </c>
      <c r="J44" s="16">
        <f>IF($D44="","",$F44*$I44)</f>
      </c>
      <c r="K44" s="16">
        <f>IF($D44="","",'Config'!$B$11+'Config'!$B$12)</f>
      </c>
      <c r="L44" s="16">
        <f>IF($D44="","",$H44-$J44-$K44)</f>
      </c>
      <c r="M44" s="19">
        <f>IF($D44="","",$D44&amp;"|"&amp;$G44)</f>
      </c>
      <c r="N44" s="18">
        <f>IF($D44="","",IF($H44=0,0,$L44/$H44))</f>
      </c>
      <c r="O44" s="20"/>
    </row>
    <row r="45">
      <c r="A45" s="23"/>
      <c r="B45" s="20"/>
      <c r="C45" s="20"/>
      <c r="D45" s="20"/>
      <c r="E45" s="19">
        <f>IF($D45="","",IFERROR(VLOOKUP($D45,'Catálogo'!$A:$B,2,FALSE),"⚠ Código no existe"))</f>
      </c>
      <c r="F45" s="21"/>
      <c r="G45" s="20"/>
      <c r="H45" s="22"/>
      <c r="I45" s="16">
        <f>IF($D45="","",IFERROR(VLOOKUP($D45,'Catálogo'!$A:$F,6,FALSE),0))</f>
      </c>
      <c r="J45" s="16">
        <f>IF($D45="","",$F45*$I45)</f>
      </c>
      <c r="K45" s="16">
        <f>IF($D45="","",'Config'!$B$11+'Config'!$B$12)</f>
      </c>
      <c r="L45" s="16">
        <f>IF($D45="","",$H45-$J45-$K45)</f>
      </c>
      <c r="M45" s="19">
        <f>IF($D45="","",$D45&amp;"|"&amp;$G45)</f>
      </c>
      <c r="N45" s="18">
        <f>IF($D45="","",IF($H45=0,0,$L45/$H45))</f>
      </c>
      <c r="O45" s="20"/>
    </row>
    <row r="46">
      <c r="A46" s="23"/>
      <c r="B46" s="20"/>
      <c r="C46" s="20"/>
      <c r="D46" s="20"/>
      <c r="E46" s="19">
        <f>IF($D46="","",IFERROR(VLOOKUP($D46,'Catálogo'!$A:$B,2,FALSE),"⚠ Código no existe"))</f>
      </c>
      <c r="F46" s="21"/>
      <c r="G46" s="20"/>
      <c r="H46" s="22"/>
      <c r="I46" s="16">
        <f>IF($D46="","",IFERROR(VLOOKUP($D46,'Catálogo'!$A:$F,6,FALSE),0))</f>
      </c>
      <c r="J46" s="16">
        <f>IF($D46="","",$F46*$I46)</f>
      </c>
      <c r="K46" s="16">
        <f>IF($D46="","",'Config'!$B$11+'Config'!$B$12)</f>
      </c>
      <c r="L46" s="16">
        <f>IF($D46="","",$H46-$J46-$K46)</f>
      </c>
      <c r="M46" s="19">
        <f>IF($D46="","",$D46&amp;"|"&amp;$G46)</f>
      </c>
      <c r="N46" s="18">
        <f>IF($D46="","",IF($H46=0,0,$L46/$H46))</f>
      </c>
      <c r="O46" s="20"/>
    </row>
    <row r="47">
      <c r="A47" s="23"/>
      <c r="B47" s="20"/>
      <c r="C47" s="20"/>
      <c r="D47" s="20"/>
      <c r="E47" s="19">
        <f>IF($D47="","",IFERROR(VLOOKUP($D47,'Catálogo'!$A:$B,2,FALSE),"⚠ Código no existe"))</f>
      </c>
      <c r="F47" s="21"/>
      <c r="G47" s="20"/>
      <c r="H47" s="22"/>
      <c r="I47" s="16">
        <f>IF($D47="","",IFERROR(VLOOKUP($D47,'Catálogo'!$A:$F,6,FALSE),0))</f>
      </c>
      <c r="J47" s="16">
        <f>IF($D47="","",$F47*$I47)</f>
      </c>
      <c r="K47" s="16">
        <f>IF($D47="","",'Config'!$B$11+'Config'!$B$12)</f>
      </c>
      <c r="L47" s="16">
        <f>IF($D47="","",$H47-$J47-$K47)</f>
      </c>
      <c r="M47" s="19">
        <f>IF($D47="","",$D47&amp;"|"&amp;$G47)</f>
      </c>
      <c r="N47" s="18">
        <f>IF($D47="","",IF($H47=0,0,$L47/$H47))</f>
      </c>
      <c r="O47" s="20"/>
    </row>
    <row r="48">
      <c r="A48" s="23"/>
      <c r="B48" s="20"/>
      <c r="C48" s="20"/>
      <c r="D48" s="20"/>
      <c r="E48" s="19">
        <f>IF($D48="","",IFERROR(VLOOKUP($D48,'Catálogo'!$A:$B,2,FALSE),"⚠ Código no existe"))</f>
      </c>
      <c r="F48" s="21"/>
      <c r="G48" s="20"/>
      <c r="H48" s="22"/>
      <c r="I48" s="16">
        <f>IF($D48="","",IFERROR(VLOOKUP($D48,'Catálogo'!$A:$F,6,FALSE),0))</f>
      </c>
      <c r="J48" s="16">
        <f>IF($D48="","",$F48*$I48)</f>
      </c>
      <c r="K48" s="16">
        <f>IF($D48="","",'Config'!$B$11+'Config'!$B$12)</f>
      </c>
      <c r="L48" s="16">
        <f>IF($D48="","",$H48-$J48-$K48)</f>
      </c>
      <c r="M48" s="19">
        <f>IF($D48="","",$D48&amp;"|"&amp;$G48)</f>
      </c>
      <c r="N48" s="18">
        <f>IF($D48="","",IF($H48=0,0,$L48/$H48))</f>
      </c>
      <c r="O48" s="20"/>
    </row>
    <row r="49">
      <c r="A49" s="23"/>
      <c r="B49" s="20"/>
      <c r="C49" s="20"/>
      <c r="D49" s="20"/>
      <c r="E49" s="19">
        <f>IF($D49="","",IFERROR(VLOOKUP($D49,'Catálogo'!$A:$B,2,FALSE),"⚠ Código no existe"))</f>
      </c>
      <c r="F49" s="21"/>
      <c r="G49" s="20"/>
      <c r="H49" s="22"/>
      <c r="I49" s="16">
        <f>IF($D49="","",IFERROR(VLOOKUP($D49,'Catálogo'!$A:$F,6,FALSE),0))</f>
      </c>
      <c r="J49" s="16">
        <f>IF($D49="","",$F49*$I49)</f>
      </c>
      <c r="K49" s="16">
        <f>IF($D49="","",'Config'!$B$11+'Config'!$B$12)</f>
      </c>
      <c r="L49" s="16">
        <f>IF($D49="","",$H49-$J49-$K49)</f>
      </c>
      <c r="M49" s="19">
        <f>IF($D49="","",$D49&amp;"|"&amp;$G49)</f>
      </c>
      <c r="N49" s="18">
        <f>IF($D49="","",IF($H49=0,0,$L49/$H49))</f>
      </c>
      <c r="O49" s="20"/>
    </row>
    <row r="50">
      <c r="A50" s="23"/>
      <c r="B50" s="20"/>
      <c r="C50" s="20"/>
      <c r="D50" s="20"/>
      <c r="E50" s="19">
        <f>IF($D50="","",IFERROR(VLOOKUP($D50,'Catálogo'!$A:$B,2,FALSE),"⚠ Código no existe"))</f>
      </c>
      <c r="F50" s="21"/>
      <c r="G50" s="20"/>
      <c r="H50" s="22"/>
      <c r="I50" s="16">
        <f>IF($D50="","",IFERROR(VLOOKUP($D50,'Catálogo'!$A:$F,6,FALSE),0))</f>
      </c>
      <c r="J50" s="16">
        <f>IF($D50="","",$F50*$I50)</f>
      </c>
      <c r="K50" s="16">
        <f>IF($D50="","",'Config'!$B$11+'Config'!$B$12)</f>
      </c>
      <c r="L50" s="16">
        <f>IF($D50="","",$H50-$J50-$K50)</f>
      </c>
      <c r="M50" s="19">
        <f>IF($D50="","",$D50&amp;"|"&amp;$G50)</f>
      </c>
      <c r="N50" s="18">
        <f>IF($D50="","",IF($H50=0,0,$L50/$H50))</f>
      </c>
      <c r="O50" s="20"/>
    </row>
    <row r="51">
      <c r="A51" s="23"/>
      <c r="B51" s="20"/>
      <c r="C51" s="20"/>
      <c r="D51" s="20"/>
      <c r="E51" s="19">
        <f>IF($D51="","",IFERROR(VLOOKUP($D51,'Catálogo'!$A:$B,2,FALSE),"⚠ Código no existe"))</f>
      </c>
      <c r="F51" s="21"/>
      <c r="G51" s="20"/>
      <c r="H51" s="22"/>
      <c r="I51" s="16">
        <f>IF($D51="","",IFERROR(VLOOKUP($D51,'Catálogo'!$A:$F,6,FALSE),0))</f>
      </c>
      <c r="J51" s="16">
        <f>IF($D51="","",$F51*$I51)</f>
      </c>
      <c r="K51" s="16">
        <f>IF($D51="","",'Config'!$B$11+'Config'!$B$12)</f>
      </c>
      <c r="L51" s="16">
        <f>IF($D51="","",$H51-$J51-$K51)</f>
      </c>
      <c r="M51" s="19">
        <f>IF($D51="","",$D51&amp;"|"&amp;$G51)</f>
      </c>
      <c r="N51" s="18">
        <f>IF($D51="","",IF($H51=0,0,$L51/$H51))</f>
      </c>
      <c r="O51" s="20"/>
    </row>
    <row r="52">
      <c r="A52" s="23"/>
      <c r="B52" s="20"/>
      <c r="C52" s="20"/>
      <c r="D52" s="20"/>
      <c r="E52" s="19">
        <f>IF($D52="","",IFERROR(VLOOKUP($D52,'Catálogo'!$A:$B,2,FALSE),"⚠ Código no existe"))</f>
      </c>
      <c r="F52" s="21"/>
      <c r="G52" s="20"/>
      <c r="H52" s="22"/>
      <c r="I52" s="16">
        <f>IF($D52="","",IFERROR(VLOOKUP($D52,'Catálogo'!$A:$F,6,FALSE),0))</f>
      </c>
      <c r="J52" s="16">
        <f>IF($D52="","",$F52*$I52)</f>
      </c>
      <c r="K52" s="16">
        <f>IF($D52="","",'Config'!$B$11+'Config'!$B$12)</f>
      </c>
      <c r="L52" s="16">
        <f>IF($D52="","",$H52-$J52-$K52)</f>
      </c>
      <c r="M52" s="19">
        <f>IF($D52="","",$D52&amp;"|"&amp;$G52)</f>
      </c>
      <c r="N52" s="18">
        <f>IF($D52="","",IF($H52=0,0,$L52/$H52))</f>
      </c>
      <c r="O52" s="20"/>
    </row>
    <row r="53">
      <c r="A53" s="23"/>
      <c r="B53" s="20"/>
      <c r="C53" s="20"/>
      <c r="D53" s="20"/>
      <c r="E53" s="19">
        <f>IF($D53="","",IFERROR(VLOOKUP($D53,'Catálogo'!$A:$B,2,FALSE),"⚠ Código no existe"))</f>
      </c>
      <c r="F53" s="21"/>
      <c r="G53" s="20"/>
      <c r="H53" s="22"/>
      <c r="I53" s="16">
        <f>IF($D53="","",IFERROR(VLOOKUP($D53,'Catálogo'!$A:$F,6,FALSE),0))</f>
      </c>
      <c r="J53" s="16">
        <f>IF($D53="","",$F53*$I53)</f>
      </c>
      <c r="K53" s="16">
        <f>IF($D53="","",'Config'!$B$11+'Config'!$B$12)</f>
      </c>
      <c r="L53" s="16">
        <f>IF($D53="","",$H53-$J53-$K53)</f>
      </c>
      <c r="M53" s="19">
        <f>IF($D53="","",$D53&amp;"|"&amp;$G53)</f>
      </c>
      <c r="N53" s="18">
        <f>IF($D53="","",IF($H53=0,0,$L53/$H53))</f>
      </c>
      <c r="O53" s="20"/>
    </row>
    <row r="54">
      <c r="A54" s="23"/>
      <c r="B54" s="20"/>
      <c r="C54" s="20"/>
      <c r="D54" s="20"/>
      <c r="E54" s="19">
        <f>IF($D54="","",IFERROR(VLOOKUP($D54,'Catálogo'!$A:$B,2,FALSE),"⚠ Código no existe"))</f>
      </c>
      <c r="F54" s="21"/>
      <c r="G54" s="20"/>
      <c r="H54" s="22"/>
      <c r="I54" s="16">
        <f>IF($D54="","",IFERROR(VLOOKUP($D54,'Catálogo'!$A:$F,6,FALSE),0))</f>
      </c>
      <c r="J54" s="16">
        <f>IF($D54="","",$F54*$I54)</f>
      </c>
      <c r="K54" s="16">
        <f>IF($D54="","",'Config'!$B$11+'Config'!$B$12)</f>
      </c>
      <c r="L54" s="16">
        <f>IF($D54="","",$H54-$J54-$K54)</f>
      </c>
      <c r="M54" s="19">
        <f>IF($D54="","",$D54&amp;"|"&amp;$G54)</f>
      </c>
      <c r="N54" s="18">
        <f>IF($D54="","",IF($H54=0,0,$L54/$H54))</f>
      </c>
      <c r="O54" s="20"/>
    </row>
    <row r="55">
      <c r="A55" s="23"/>
      <c r="B55" s="20"/>
      <c r="C55" s="20"/>
      <c r="D55" s="20"/>
      <c r="E55" s="19">
        <f>IF($D55="","",IFERROR(VLOOKUP($D55,'Catálogo'!$A:$B,2,FALSE),"⚠ Código no existe"))</f>
      </c>
      <c r="F55" s="21"/>
      <c r="G55" s="20"/>
      <c r="H55" s="22"/>
      <c r="I55" s="16">
        <f>IF($D55="","",IFERROR(VLOOKUP($D55,'Catálogo'!$A:$F,6,FALSE),0))</f>
      </c>
      <c r="J55" s="16">
        <f>IF($D55="","",$F55*$I55)</f>
      </c>
      <c r="K55" s="16">
        <f>IF($D55="","",'Config'!$B$11+'Config'!$B$12)</f>
      </c>
      <c r="L55" s="16">
        <f>IF($D55="","",$H55-$J55-$K55)</f>
      </c>
      <c r="M55" s="19">
        <f>IF($D55="","",$D55&amp;"|"&amp;$G55)</f>
      </c>
      <c r="N55" s="18">
        <f>IF($D55="","",IF($H55=0,0,$L55/$H55))</f>
      </c>
      <c r="O55" s="20"/>
    </row>
    <row r="56">
      <c r="A56" s="23"/>
      <c r="B56" s="20"/>
      <c r="C56" s="20"/>
      <c r="D56" s="20"/>
      <c r="E56" s="19">
        <f>IF($D56="","",IFERROR(VLOOKUP($D56,'Catálogo'!$A:$B,2,FALSE),"⚠ Código no existe"))</f>
      </c>
      <c r="F56" s="21"/>
      <c r="G56" s="20"/>
      <c r="H56" s="22"/>
      <c r="I56" s="16">
        <f>IF($D56="","",IFERROR(VLOOKUP($D56,'Catálogo'!$A:$F,6,FALSE),0))</f>
      </c>
      <c r="J56" s="16">
        <f>IF($D56="","",$F56*$I56)</f>
      </c>
      <c r="K56" s="16">
        <f>IF($D56="","",'Config'!$B$11+'Config'!$B$12)</f>
      </c>
      <c r="L56" s="16">
        <f>IF($D56="","",$H56-$J56-$K56)</f>
      </c>
      <c r="M56" s="19">
        <f>IF($D56="","",$D56&amp;"|"&amp;$G56)</f>
      </c>
      <c r="N56" s="18">
        <f>IF($D56="","",IF($H56=0,0,$L56/$H56))</f>
      </c>
      <c r="O56" s="20"/>
    </row>
    <row r="57">
      <c r="A57" s="23"/>
      <c r="B57" s="20"/>
      <c r="C57" s="20"/>
      <c r="D57" s="20"/>
      <c r="E57" s="19">
        <f>IF($D57="","",IFERROR(VLOOKUP($D57,'Catálogo'!$A:$B,2,FALSE),"⚠ Código no existe"))</f>
      </c>
      <c r="F57" s="21"/>
      <c r="G57" s="20"/>
      <c r="H57" s="22"/>
      <c r="I57" s="16">
        <f>IF($D57="","",IFERROR(VLOOKUP($D57,'Catálogo'!$A:$F,6,FALSE),0))</f>
      </c>
      <c r="J57" s="16">
        <f>IF($D57="","",$F57*$I57)</f>
      </c>
      <c r="K57" s="16">
        <f>IF($D57="","",'Config'!$B$11+'Config'!$B$12)</f>
      </c>
      <c r="L57" s="16">
        <f>IF($D57="","",$H57-$J57-$K57)</f>
      </c>
      <c r="M57" s="19">
        <f>IF($D57="","",$D57&amp;"|"&amp;$G57)</f>
      </c>
      <c r="N57" s="18">
        <f>IF($D57="","",IF($H57=0,0,$L57/$H57))</f>
      </c>
      <c r="O57" s="20"/>
    </row>
    <row r="58">
      <c r="A58" s="23"/>
      <c r="B58" s="20"/>
      <c r="C58" s="20"/>
      <c r="D58" s="20"/>
      <c r="E58" s="19">
        <f>IF($D58="","",IFERROR(VLOOKUP($D58,'Catálogo'!$A:$B,2,FALSE),"⚠ Código no existe"))</f>
      </c>
      <c r="F58" s="21"/>
      <c r="G58" s="20"/>
      <c r="H58" s="22"/>
      <c r="I58" s="16">
        <f>IF($D58="","",IFERROR(VLOOKUP($D58,'Catálogo'!$A:$F,6,FALSE),0))</f>
      </c>
      <c r="J58" s="16">
        <f>IF($D58="","",$F58*$I58)</f>
      </c>
      <c r="K58" s="16">
        <f>IF($D58="","",'Config'!$B$11+'Config'!$B$12)</f>
      </c>
      <c r="L58" s="16">
        <f>IF($D58="","",$H58-$J58-$K58)</f>
      </c>
      <c r="M58" s="19">
        <f>IF($D58="","",$D58&amp;"|"&amp;$G58)</f>
      </c>
      <c r="N58" s="18">
        <f>IF($D58="","",IF($H58=0,0,$L58/$H58))</f>
      </c>
      <c r="O58" s="20"/>
    </row>
    <row r="59">
      <c r="A59" s="23"/>
      <c r="B59" s="20"/>
      <c r="C59" s="20"/>
      <c r="D59" s="20"/>
      <c r="E59" s="19">
        <f>IF($D59="","",IFERROR(VLOOKUP($D59,'Catálogo'!$A:$B,2,FALSE),"⚠ Código no existe"))</f>
      </c>
      <c r="F59" s="21"/>
      <c r="G59" s="20"/>
      <c r="H59" s="22"/>
      <c r="I59" s="16">
        <f>IF($D59="","",IFERROR(VLOOKUP($D59,'Catálogo'!$A:$F,6,FALSE),0))</f>
      </c>
      <c r="J59" s="16">
        <f>IF($D59="","",$F59*$I59)</f>
      </c>
      <c r="K59" s="16">
        <f>IF($D59="","",'Config'!$B$11+'Config'!$B$12)</f>
      </c>
      <c r="L59" s="16">
        <f>IF($D59="","",$H59-$J59-$K59)</f>
      </c>
      <c r="M59" s="19">
        <f>IF($D59="","",$D59&amp;"|"&amp;$G59)</f>
      </c>
      <c r="N59" s="18">
        <f>IF($D59="","",IF($H59=0,0,$L59/$H59))</f>
      </c>
      <c r="O59" s="20"/>
    </row>
    <row r="60">
      <c r="A60" s="23"/>
      <c r="B60" s="20"/>
      <c r="C60" s="20"/>
      <c r="D60" s="20"/>
      <c r="E60" s="19">
        <f>IF($D60="","",IFERROR(VLOOKUP($D60,'Catálogo'!$A:$B,2,FALSE),"⚠ Código no existe"))</f>
      </c>
      <c r="F60" s="21"/>
      <c r="G60" s="20"/>
      <c r="H60" s="22"/>
      <c r="I60" s="16">
        <f>IF($D60="","",IFERROR(VLOOKUP($D60,'Catálogo'!$A:$F,6,FALSE),0))</f>
      </c>
      <c r="J60" s="16">
        <f>IF($D60="","",$F60*$I60)</f>
      </c>
      <c r="K60" s="16">
        <f>IF($D60="","",'Config'!$B$11+'Config'!$B$12)</f>
      </c>
      <c r="L60" s="16">
        <f>IF($D60="","",$H60-$J60-$K60)</f>
      </c>
      <c r="M60" s="19">
        <f>IF($D60="","",$D60&amp;"|"&amp;$G60)</f>
      </c>
      <c r="N60" s="18">
        <f>IF($D60="","",IF($H60=0,0,$L60/$H60))</f>
      </c>
      <c r="O60" s="20"/>
    </row>
    <row r="61">
      <c r="A61" s="23"/>
      <c r="B61" s="20"/>
      <c r="C61" s="20"/>
      <c r="D61" s="20"/>
      <c r="E61" s="19">
        <f>IF($D61="","",IFERROR(VLOOKUP($D61,'Catálogo'!$A:$B,2,FALSE),"⚠ Código no existe"))</f>
      </c>
      <c r="F61" s="21"/>
      <c r="G61" s="20"/>
      <c r="H61" s="22"/>
      <c r="I61" s="16">
        <f>IF($D61="","",IFERROR(VLOOKUP($D61,'Catálogo'!$A:$F,6,FALSE),0))</f>
      </c>
      <c r="J61" s="16">
        <f>IF($D61="","",$F61*$I61)</f>
      </c>
      <c r="K61" s="16">
        <f>IF($D61="","",'Config'!$B$11+'Config'!$B$12)</f>
      </c>
      <c r="L61" s="16">
        <f>IF($D61="","",$H61-$J61-$K61)</f>
      </c>
      <c r="M61" s="19">
        <f>IF($D61="","",$D61&amp;"|"&amp;$G61)</f>
      </c>
      <c r="N61" s="18">
        <f>IF($D61="","",IF($H61=0,0,$L61/$H61))</f>
      </c>
      <c r="O61" s="20"/>
    </row>
    <row r="62">
      <c r="A62" s="23"/>
      <c r="B62" s="20"/>
      <c r="C62" s="20"/>
      <c r="D62" s="20"/>
      <c r="E62" s="19">
        <f>IF($D62="","",IFERROR(VLOOKUP($D62,'Catálogo'!$A:$B,2,FALSE),"⚠ Código no existe"))</f>
      </c>
      <c r="F62" s="21"/>
      <c r="G62" s="20"/>
      <c r="H62" s="22"/>
      <c r="I62" s="16">
        <f>IF($D62="","",IFERROR(VLOOKUP($D62,'Catálogo'!$A:$F,6,FALSE),0))</f>
      </c>
      <c r="J62" s="16">
        <f>IF($D62="","",$F62*$I62)</f>
      </c>
      <c r="K62" s="16">
        <f>IF($D62="","",'Config'!$B$11+'Config'!$B$12)</f>
      </c>
      <c r="L62" s="16">
        <f>IF($D62="","",$H62-$J62-$K62)</f>
      </c>
      <c r="M62" s="19">
        <f>IF($D62="","",$D62&amp;"|"&amp;$G62)</f>
      </c>
      <c r="N62" s="18">
        <f>IF($D62="","",IF($H62=0,0,$L62/$H62))</f>
      </c>
      <c r="O62" s="20"/>
    </row>
    <row r="63">
      <c r="A63" s="23"/>
      <c r="B63" s="20"/>
      <c r="C63" s="20"/>
      <c r="D63" s="20"/>
      <c r="E63" s="19">
        <f>IF($D63="","",IFERROR(VLOOKUP($D63,'Catálogo'!$A:$B,2,FALSE),"⚠ Código no existe"))</f>
      </c>
      <c r="F63" s="21"/>
      <c r="G63" s="20"/>
      <c r="H63" s="22"/>
      <c r="I63" s="16">
        <f>IF($D63="","",IFERROR(VLOOKUP($D63,'Catálogo'!$A:$F,6,FALSE),0))</f>
      </c>
      <c r="J63" s="16">
        <f>IF($D63="","",$F63*$I63)</f>
      </c>
      <c r="K63" s="16">
        <f>IF($D63="","",'Config'!$B$11+'Config'!$B$12)</f>
      </c>
      <c r="L63" s="16">
        <f>IF($D63="","",$H63-$J63-$K63)</f>
      </c>
      <c r="M63" s="19">
        <f>IF($D63="","",$D63&amp;"|"&amp;$G63)</f>
      </c>
      <c r="N63" s="18">
        <f>IF($D63="","",IF($H63=0,0,$L63/$H63))</f>
      </c>
      <c r="O63" s="20"/>
    </row>
    <row r="64">
      <c r="A64" s="23"/>
      <c r="B64" s="20"/>
      <c r="C64" s="20"/>
      <c r="D64" s="20"/>
      <c r="E64" s="19">
        <f>IF($D64="","",IFERROR(VLOOKUP($D64,'Catálogo'!$A:$B,2,FALSE),"⚠ Código no existe"))</f>
      </c>
      <c r="F64" s="21"/>
      <c r="G64" s="20"/>
      <c r="H64" s="22"/>
      <c r="I64" s="16">
        <f>IF($D64="","",IFERROR(VLOOKUP($D64,'Catálogo'!$A:$F,6,FALSE),0))</f>
      </c>
      <c r="J64" s="16">
        <f>IF($D64="","",$F64*$I64)</f>
      </c>
      <c r="K64" s="16">
        <f>IF($D64="","",'Config'!$B$11+'Config'!$B$12)</f>
      </c>
      <c r="L64" s="16">
        <f>IF($D64="","",$H64-$J64-$K64)</f>
      </c>
      <c r="M64" s="19">
        <f>IF($D64="","",$D64&amp;"|"&amp;$G64)</f>
      </c>
      <c r="N64" s="18">
        <f>IF($D64="","",IF($H64=0,0,$L64/$H64))</f>
      </c>
      <c r="O64" s="20"/>
    </row>
    <row r="65">
      <c r="A65" s="23"/>
      <c r="B65" s="20"/>
      <c r="C65" s="20"/>
      <c r="D65" s="20"/>
      <c r="E65" s="19">
        <f>IF($D65="","",IFERROR(VLOOKUP($D65,'Catálogo'!$A:$B,2,FALSE),"⚠ Código no existe"))</f>
      </c>
      <c r="F65" s="21"/>
      <c r="G65" s="20"/>
      <c r="H65" s="22"/>
      <c r="I65" s="16">
        <f>IF($D65="","",IFERROR(VLOOKUP($D65,'Catálogo'!$A:$F,6,FALSE),0))</f>
      </c>
      <c r="J65" s="16">
        <f>IF($D65="","",$F65*$I65)</f>
      </c>
      <c r="K65" s="16">
        <f>IF($D65="","",'Config'!$B$11+'Config'!$B$12)</f>
      </c>
      <c r="L65" s="16">
        <f>IF($D65="","",$H65-$J65-$K65)</f>
      </c>
      <c r="M65" s="19">
        <f>IF($D65="","",$D65&amp;"|"&amp;$G65)</f>
      </c>
      <c r="N65" s="18">
        <f>IF($D65="","",IF($H65=0,0,$L65/$H65))</f>
      </c>
      <c r="O65" s="20"/>
    </row>
    <row r="66">
      <c r="A66" s="23"/>
      <c r="B66" s="20"/>
      <c r="C66" s="20"/>
      <c r="D66" s="20"/>
      <c r="E66" s="19">
        <f>IF($D66="","",IFERROR(VLOOKUP($D66,'Catálogo'!$A:$B,2,FALSE),"⚠ Código no existe"))</f>
      </c>
      <c r="F66" s="21"/>
      <c r="G66" s="20"/>
      <c r="H66" s="22"/>
      <c r="I66" s="16">
        <f>IF($D66="","",IFERROR(VLOOKUP($D66,'Catálogo'!$A:$F,6,FALSE),0))</f>
      </c>
      <c r="J66" s="16">
        <f>IF($D66="","",$F66*$I66)</f>
      </c>
      <c r="K66" s="16">
        <f>IF($D66="","",'Config'!$B$11+'Config'!$B$12)</f>
      </c>
      <c r="L66" s="16">
        <f>IF($D66="","",$H66-$J66-$K66)</f>
      </c>
      <c r="M66" s="19">
        <f>IF($D66="","",$D66&amp;"|"&amp;$G66)</f>
      </c>
      <c r="N66" s="18">
        <f>IF($D66="","",IF($H66=0,0,$L66/$H66))</f>
      </c>
      <c r="O66" s="20"/>
    </row>
    <row r="67">
      <c r="A67" s="23"/>
      <c r="B67" s="20"/>
      <c r="C67" s="20"/>
      <c r="D67" s="20"/>
      <c r="E67" s="19">
        <f>IF($D67="","",IFERROR(VLOOKUP($D67,'Catálogo'!$A:$B,2,FALSE),"⚠ Código no existe"))</f>
      </c>
      <c r="F67" s="21"/>
      <c r="G67" s="20"/>
      <c r="H67" s="22"/>
      <c r="I67" s="16">
        <f>IF($D67="","",IFERROR(VLOOKUP($D67,'Catálogo'!$A:$F,6,FALSE),0))</f>
      </c>
      <c r="J67" s="16">
        <f>IF($D67="","",$F67*$I67)</f>
      </c>
      <c r="K67" s="16">
        <f>IF($D67="","",'Config'!$B$11+'Config'!$B$12)</f>
      </c>
      <c r="L67" s="16">
        <f>IF($D67="","",$H67-$J67-$K67)</f>
      </c>
      <c r="M67" s="19">
        <f>IF($D67="","",$D67&amp;"|"&amp;$G67)</f>
      </c>
      <c r="N67" s="18">
        <f>IF($D67="","",IF($H67=0,0,$L67/$H67))</f>
      </c>
      <c r="O67" s="20"/>
    </row>
    <row r="68">
      <c r="A68" s="23"/>
      <c r="B68" s="20"/>
      <c r="C68" s="20"/>
      <c r="D68" s="20"/>
      <c r="E68" s="19">
        <f>IF($D68="","",IFERROR(VLOOKUP($D68,'Catálogo'!$A:$B,2,FALSE),"⚠ Código no existe"))</f>
      </c>
      <c r="F68" s="21"/>
      <c r="G68" s="20"/>
      <c r="H68" s="22"/>
      <c r="I68" s="16">
        <f>IF($D68="","",IFERROR(VLOOKUP($D68,'Catálogo'!$A:$F,6,FALSE),0))</f>
      </c>
      <c r="J68" s="16">
        <f>IF($D68="","",$F68*$I68)</f>
      </c>
      <c r="K68" s="16">
        <f>IF($D68="","",'Config'!$B$11+'Config'!$B$12)</f>
      </c>
      <c r="L68" s="16">
        <f>IF($D68="","",$H68-$J68-$K68)</f>
      </c>
      <c r="M68" s="19">
        <f>IF($D68="","",$D68&amp;"|"&amp;$G68)</f>
      </c>
      <c r="N68" s="18">
        <f>IF($D68="","",IF($H68=0,0,$L68/$H68))</f>
      </c>
      <c r="O68" s="20"/>
    </row>
    <row r="69">
      <c r="A69" s="23"/>
      <c r="B69" s="20"/>
      <c r="C69" s="20"/>
      <c r="D69" s="20"/>
      <c r="E69" s="19">
        <f>IF($D69="","",IFERROR(VLOOKUP($D69,'Catálogo'!$A:$B,2,FALSE),"⚠ Código no existe"))</f>
      </c>
      <c r="F69" s="21"/>
      <c r="G69" s="20"/>
      <c r="H69" s="22"/>
      <c r="I69" s="16">
        <f>IF($D69="","",IFERROR(VLOOKUP($D69,'Catálogo'!$A:$F,6,FALSE),0))</f>
      </c>
      <c r="J69" s="16">
        <f>IF($D69="","",$F69*$I69)</f>
      </c>
      <c r="K69" s="16">
        <f>IF($D69="","",'Config'!$B$11+'Config'!$B$12)</f>
      </c>
      <c r="L69" s="16">
        <f>IF($D69="","",$H69-$J69-$K69)</f>
      </c>
      <c r="M69" s="19">
        <f>IF($D69="","",$D69&amp;"|"&amp;$G69)</f>
      </c>
      <c r="N69" s="18">
        <f>IF($D69="","",IF($H69=0,0,$L69/$H69))</f>
      </c>
      <c r="O69" s="20"/>
    </row>
    <row r="70">
      <c r="A70" s="23"/>
      <c r="B70" s="20"/>
      <c r="C70" s="20"/>
      <c r="D70" s="20"/>
      <c r="E70" s="19">
        <f>IF($D70="","",IFERROR(VLOOKUP($D70,'Catálogo'!$A:$B,2,FALSE),"⚠ Código no existe"))</f>
      </c>
      <c r="F70" s="21"/>
      <c r="G70" s="20"/>
      <c r="H70" s="22"/>
      <c r="I70" s="16">
        <f>IF($D70="","",IFERROR(VLOOKUP($D70,'Catálogo'!$A:$F,6,FALSE),0))</f>
      </c>
      <c r="J70" s="16">
        <f>IF($D70="","",$F70*$I70)</f>
      </c>
      <c r="K70" s="16">
        <f>IF($D70="","",'Config'!$B$11+'Config'!$B$12)</f>
      </c>
      <c r="L70" s="16">
        <f>IF($D70="","",$H70-$J70-$K70)</f>
      </c>
      <c r="M70" s="19">
        <f>IF($D70="","",$D70&amp;"|"&amp;$G70)</f>
      </c>
      <c r="N70" s="18">
        <f>IF($D70="","",IF($H70=0,0,$L70/$H70))</f>
      </c>
      <c r="O70" s="20"/>
    </row>
    <row r="71">
      <c r="A71" s="23"/>
      <c r="B71" s="20"/>
      <c r="C71" s="20"/>
      <c r="D71" s="20"/>
      <c r="E71" s="19">
        <f>IF($D71="","",IFERROR(VLOOKUP($D71,'Catálogo'!$A:$B,2,FALSE),"⚠ Código no existe"))</f>
      </c>
      <c r="F71" s="21"/>
      <c r="G71" s="20"/>
      <c r="H71" s="22"/>
      <c r="I71" s="16">
        <f>IF($D71="","",IFERROR(VLOOKUP($D71,'Catálogo'!$A:$F,6,FALSE),0))</f>
      </c>
      <c r="J71" s="16">
        <f>IF($D71="","",$F71*$I71)</f>
      </c>
      <c r="K71" s="16">
        <f>IF($D71="","",'Config'!$B$11+'Config'!$B$12)</f>
      </c>
      <c r="L71" s="16">
        <f>IF($D71="","",$H71-$J71-$K71)</f>
      </c>
      <c r="M71" s="19">
        <f>IF($D71="","",$D71&amp;"|"&amp;$G71)</f>
      </c>
      <c r="N71" s="18">
        <f>IF($D71="","",IF($H71=0,0,$L71/$H71))</f>
      </c>
      <c r="O71" s="20"/>
    </row>
    <row r="72">
      <c r="A72" s="23"/>
      <c r="B72" s="20"/>
      <c r="C72" s="20"/>
      <c r="D72" s="20"/>
      <c r="E72" s="19">
        <f>IF($D72="","",IFERROR(VLOOKUP($D72,'Catálogo'!$A:$B,2,FALSE),"⚠ Código no existe"))</f>
      </c>
      <c r="F72" s="21"/>
      <c r="G72" s="20"/>
      <c r="H72" s="22"/>
      <c r="I72" s="16">
        <f>IF($D72="","",IFERROR(VLOOKUP($D72,'Catálogo'!$A:$F,6,FALSE),0))</f>
      </c>
      <c r="J72" s="16">
        <f>IF($D72="","",$F72*$I72)</f>
      </c>
      <c r="K72" s="16">
        <f>IF($D72="","",'Config'!$B$11+'Config'!$B$12)</f>
      </c>
      <c r="L72" s="16">
        <f>IF($D72="","",$H72-$J72-$K72)</f>
      </c>
      <c r="M72" s="19">
        <f>IF($D72="","",$D72&amp;"|"&amp;$G72)</f>
      </c>
      <c r="N72" s="18">
        <f>IF($D72="","",IF($H72=0,0,$L72/$H72))</f>
      </c>
      <c r="O72" s="20"/>
    </row>
    <row r="73">
      <c r="A73" s="23"/>
      <c r="B73" s="20"/>
      <c r="C73" s="20"/>
      <c r="D73" s="20"/>
      <c r="E73" s="19">
        <f>IF($D73="","",IFERROR(VLOOKUP($D73,'Catálogo'!$A:$B,2,FALSE),"⚠ Código no existe"))</f>
      </c>
      <c r="F73" s="21"/>
      <c r="G73" s="20"/>
      <c r="H73" s="22"/>
      <c r="I73" s="16">
        <f>IF($D73="","",IFERROR(VLOOKUP($D73,'Catálogo'!$A:$F,6,FALSE),0))</f>
      </c>
      <c r="J73" s="16">
        <f>IF($D73="","",$F73*$I73)</f>
      </c>
      <c r="K73" s="16">
        <f>IF($D73="","",'Config'!$B$11+'Config'!$B$12)</f>
      </c>
      <c r="L73" s="16">
        <f>IF($D73="","",$H73-$J73-$K73)</f>
      </c>
      <c r="M73" s="19">
        <f>IF($D73="","",$D73&amp;"|"&amp;$G73)</f>
      </c>
      <c r="N73" s="18">
        <f>IF($D73="","",IF($H73=0,0,$L73/$H73))</f>
      </c>
      <c r="O73" s="20"/>
    </row>
    <row r="74">
      <c r="A74" s="23"/>
      <c r="B74" s="20"/>
      <c r="C74" s="20"/>
      <c r="D74" s="20"/>
      <c r="E74" s="19">
        <f>IF($D74="","",IFERROR(VLOOKUP($D74,'Catálogo'!$A:$B,2,FALSE),"⚠ Código no existe"))</f>
      </c>
      <c r="F74" s="21"/>
      <c r="G74" s="20"/>
      <c r="H74" s="22"/>
      <c r="I74" s="16">
        <f>IF($D74="","",IFERROR(VLOOKUP($D74,'Catálogo'!$A:$F,6,FALSE),0))</f>
      </c>
      <c r="J74" s="16">
        <f>IF($D74="","",$F74*$I74)</f>
      </c>
      <c r="K74" s="16">
        <f>IF($D74="","",'Config'!$B$11+'Config'!$B$12)</f>
      </c>
      <c r="L74" s="16">
        <f>IF($D74="","",$H74-$J74-$K74)</f>
      </c>
      <c r="M74" s="19">
        <f>IF($D74="","",$D74&amp;"|"&amp;$G74)</f>
      </c>
      <c r="N74" s="18">
        <f>IF($D74="","",IF($H74=0,0,$L74/$H74))</f>
      </c>
      <c r="O74" s="20"/>
    </row>
    <row r="75">
      <c r="A75" s="23"/>
      <c r="B75" s="20"/>
      <c r="C75" s="20"/>
      <c r="D75" s="20"/>
      <c r="E75" s="19">
        <f>IF($D75="","",IFERROR(VLOOKUP($D75,'Catálogo'!$A:$B,2,FALSE),"⚠ Código no existe"))</f>
      </c>
      <c r="F75" s="21"/>
      <c r="G75" s="20"/>
      <c r="H75" s="22"/>
      <c r="I75" s="16">
        <f>IF($D75="","",IFERROR(VLOOKUP($D75,'Catálogo'!$A:$F,6,FALSE),0))</f>
      </c>
      <c r="J75" s="16">
        <f>IF($D75="","",$F75*$I75)</f>
      </c>
      <c r="K75" s="16">
        <f>IF($D75="","",'Config'!$B$11+'Config'!$B$12)</f>
      </c>
      <c r="L75" s="16">
        <f>IF($D75="","",$H75-$J75-$K75)</f>
      </c>
      <c r="M75" s="19">
        <f>IF($D75="","",$D75&amp;"|"&amp;$G75)</f>
      </c>
      <c r="N75" s="18">
        <f>IF($D75="","",IF($H75=0,0,$L75/$H75))</f>
      </c>
      <c r="O75" s="20"/>
    </row>
    <row r="76">
      <c r="A76" s="23"/>
      <c r="B76" s="20"/>
      <c r="C76" s="20"/>
      <c r="D76" s="20"/>
      <c r="E76" s="19">
        <f>IF($D76="","",IFERROR(VLOOKUP($D76,'Catálogo'!$A:$B,2,FALSE),"⚠ Código no existe"))</f>
      </c>
      <c r="F76" s="21"/>
      <c r="G76" s="20"/>
      <c r="H76" s="22"/>
      <c r="I76" s="16">
        <f>IF($D76="","",IFERROR(VLOOKUP($D76,'Catálogo'!$A:$F,6,FALSE),0))</f>
      </c>
      <c r="J76" s="16">
        <f>IF($D76="","",$F76*$I76)</f>
      </c>
      <c r="K76" s="16">
        <f>IF($D76="","",'Config'!$B$11+'Config'!$B$12)</f>
      </c>
      <c r="L76" s="16">
        <f>IF($D76="","",$H76-$J76-$K76)</f>
      </c>
      <c r="M76" s="19">
        <f>IF($D76="","",$D76&amp;"|"&amp;$G76)</f>
      </c>
      <c r="N76" s="18">
        <f>IF($D76="","",IF($H76=0,0,$L76/$H76))</f>
      </c>
      <c r="O76" s="20"/>
    </row>
    <row r="77">
      <c r="A77" s="23"/>
      <c r="B77" s="20"/>
      <c r="C77" s="20"/>
      <c r="D77" s="20"/>
      <c r="E77" s="19">
        <f>IF($D77="","",IFERROR(VLOOKUP($D77,'Catálogo'!$A:$B,2,FALSE),"⚠ Código no existe"))</f>
      </c>
      <c r="F77" s="21"/>
      <c r="G77" s="20"/>
      <c r="H77" s="22"/>
      <c r="I77" s="16">
        <f>IF($D77="","",IFERROR(VLOOKUP($D77,'Catálogo'!$A:$F,6,FALSE),0))</f>
      </c>
      <c r="J77" s="16">
        <f>IF($D77="","",$F77*$I77)</f>
      </c>
      <c r="K77" s="16">
        <f>IF($D77="","",'Config'!$B$11+'Config'!$B$12)</f>
      </c>
      <c r="L77" s="16">
        <f>IF($D77="","",$H77-$J77-$K77)</f>
      </c>
      <c r="M77" s="19">
        <f>IF($D77="","",$D77&amp;"|"&amp;$G77)</f>
      </c>
      <c r="N77" s="18">
        <f>IF($D77="","",IF($H77=0,0,$L77/$H77))</f>
      </c>
      <c r="O77" s="20"/>
    </row>
    <row r="78">
      <c r="A78" s="23"/>
      <c r="B78" s="20"/>
      <c r="C78" s="20"/>
      <c r="D78" s="20"/>
      <c r="E78" s="19">
        <f>IF($D78="","",IFERROR(VLOOKUP($D78,'Catálogo'!$A:$B,2,FALSE),"⚠ Código no existe"))</f>
      </c>
      <c r="F78" s="21"/>
      <c r="G78" s="20"/>
      <c r="H78" s="22"/>
      <c r="I78" s="16">
        <f>IF($D78="","",IFERROR(VLOOKUP($D78,'Catálogo'!$A:$F,6,FALSE),0))</f>
      </c>
      <c r="J78" s="16">
        <f>IF($D78="","",$F78*$I78)</f>
      </c>
      <c r="K78" s="16">
        <f>IF($D78="","",'Config'!$B$11+'Config'!$B$12)</f>
      </c>
      <c r="L78" s="16">
        <f>IF($D78="","",$H78-$J78-$K78)</f>
      </c>
      <c r="M78" s="19">
        <f>IF($D78="","",$D78&amp;"|"&amp;$G78)</f>
      </c>
      <c r="N78" s="18">
        <f>IF($D78="","",IF($H78=0,0,$L78/$H78))</f>
      </c>
      <c r="O78" s="20"/>
    </row>
    <row r="79">
      <c r="A79" s="23"/>
      <c r="B79" s="20"/>
      <c r="C79" s="20"/>
      <c r="D79" s="20"/>
      <c r="E79" s="19">
        <f>IF($D79="","",IFERROR(VLOOKUP($D79,'Catálogo'!$A:$B,2,FALSE),"⚠ Código no existe"))</f>
      </c>
      <c r="F79" s="21"/>
      <c r="G79" s="20"/>
      <c r="H79" s="22"/>
      <c r="I79" s="16">
        <f>IF($D79="","",IFERROR(VLOOKUP($D79,'Catálogo'!$A:$F,6,FALSE),0))</f>
      </c>
      <c r="J79" s="16">
        <f>IF($D79="","",$F79*$I79)</f>
      </c>
      <c r="K79" s="16">
        <f>IF($D79="","",'Config'!$B$11+'Config'!$B$12)</f>
      </c>
      <c r="L79" s="16">
        <f>IF($D79="","",$H79-$J79-$K79)</f>
      </c>
      <c r="M79" s="19">
        <f>IF($D79="","",$D79&amp;"|"&amp;$G79)</f>
      </c>
      <c r="N79" s="18">
        <f>IF($D79="","",IF($H79=0,0,$L79/$H79))</f>
      </c>
      <c r="O79" s="20"/>
    </row>
    <row r="80">
      <c r="A80" s="23"/>
      <c r="B80" s="20"/>
      <c r="C80" s="20"/>
      <c r="D80" s="20"/>
      <c r="E80" s="19">
        <f>IF($D80="","",IFERROR(VLOOKUP($D80,'Catálogo'!$A:$B,2,FALSE),"⚠ Código no existe"))</f>
      </c>
      <c r="F80" s="21"/>
      <c r="G80" s="20"/>
      <c r="H80" s="22"/>
      <c r="I80" s="16">
        <f>IF($D80="","",IFERROR(VLOOKUP($D80,'Catálogo'!$A:$F,6,FALSE),0))</f>
      </c>
      <c r="J80" s="16">
        <f>IF($D80="","",$F80*$I80)</f>
      </c>
      <c r="K80" s="16">
        <f>IF($D80="","",'Config'!$B$11+'Config'!$B$12)</f>
      </c>
      <c r="L80" s="16">
        <f>IF($D80="","",$H80-$J80-$K80)</f>
      </c>
      <c r="M80" s="19">
        <f>IF($D80="","",$D80&amp;"|"&amp;$G80)</f>
      </c>
      <c r="N80" s="18">
        <f>IF($D80="","",IF($H80=0,0,$L80/$H80))</f>
      </c>
      <c r="O80" s="20"/>
    </row>
    <row r="81">
      <c r="A81" s="23"/>
      <c r="B81" s="20"/>
      <c r="C81" s="20"/>
      <c r="D81" s="20"/>
      <c r="E81" s="19">
        <f>IF($D81="","",IFERROR(VLOOKUP($D81,'Catálogo'!$A:$B,2,FALSE),"⚠ Código no existe"))</f>
      </c>
      <c r="F81" s="21"/>
      <c r="G81" s="20"/>
      <c r="H81" s="22"/>
      <c r="I81" s="16">
        <f>IF($D81="","",IFERROR(VLOOKUP($D81,'Catálogo'!$A:$F,6,FALSE),0))</f>
      </c>
      <c r="J81" s="16">
        <f>IF($D81="","",$F81*$I81)</f>
      </c>
      <c r="K81" s="16">
        <f>IF($D81="","",'Config'!$B$11+'Config'!$B$12)</f>
      </c>
      <c r="L81" s="16">
        <f>IF($D81="","",$H81-$J81-$K81)</f>
      </c>
      <c r="M81" s="19">
        <f>IF($D81="","",$D81&amp;"|"&amp;$G81)</f>
      </c>
      <c r="N81" s="18">
        <f>IF($D81="","",IF($H81=0,0,$L81/$H81))</f>
      </c>
      <c r="O81" s="20"/>
    </row>
    <row r="82">
      <c r="A82" s="23"/>
      <c r="B82" s="20"/>
      <c r="C82" s="20"/>
      <c r="D82" s="20"/>
      <c r="E82" s="19">
        <f>IF($D82="","",IFERROR(VLOOKUP($D82,'Catálogo'!$A:$B,2,FALSE),"⚠ Código no existe"))</f>
      </c>
      <c r="F82" s="21"/>
      <c r="G82" s="20"/>
      <c r="H82" s="22"/>
      <c r="I82" s="16">
        <f>IF($D82="","",IFERROR(VLOOKUP($D82,'Catálogo'!$A:$F,6,FALSE),0))</f>
      </c>
      <c r="J82" s="16">
        <f>IF($D82="","",$F82*$I82)</f>
      </c>
      <c r="K82" s="16">
        <f>IF($D82="","",'Config'!$B$11+'Config'!$B$12)</f>
      </c>
      <c r="L82" s="16">
        <f>IF($D82="","",$H82-$J82-$K82)</f>
      </c>
      <c r="M82" s="19">
        <f>IF($D82="","",$D82&amp;"|"&amp;$G82)</f>
      </c>
      <c r="N82" s="18">
        <f>IF($D82="","",IF($H82=0,0,$L82/$H82))</f>
      </c>
      <c r="O82" s="20"/>
    </row>
    <row r="83">
      <c r="A83" s="23"/>
      <c r="B83" s="20"/>
      <c r="C83" s="20"/>
      <c r="D83" s="20"/>
      <c r="E83" s="19">
        <f>IF($D83="","",IFERROR(VLOOKUP($D83,'Catálogo'!$A:$B,2,FALSE),"⚠ Código no existe"))</f>
      </c>
      <c r="F83" s="21"/>
      <c r="G83" s="20"/>
      <c r="H83" s="22"/>
      <c r="I83" s="16">
        <f>IF($D83="","",IFERROR(VLOOKUP($D83,'Catálogo'!$A:$F,6,FALSE),0))</f>
      </c>
      <c r="J83" s="16">
        <f>IF($D83="","",$F83*$I83)</f>
      </c>
      <c r="K83" s="16">
        <f>IF($D83="","",'Config'!$B$11+'Config'!$B$12)</f>
      </c>
      <c r="L83" s="16">
        <f>IF($D83="","",$H83-$J83-$K83)</f>
      </c>
      <c r="M83" s="19">
        <f>IF($D83="","",$D83&amp;"|"&amp;$G83)</f>
      </c>
      <c r="N83" s="18">
        <f>IF($D83="","",IF($H83=0,0,$L83/$H83))</f>
      </c>
      <c r="O83" s="20"/>
    </row>
    <row r="84">
      <c r="A84" s="23"/>
      <c r="B84" s="20"/>
      <c r="C84" s="20"/>
      <c r="D84" s="20"/>
      <c r="E84" s="19">
        <f>IF($D84="","",IFERROR(VLOOKUP($D84,'Catálogo'!$A:$B,2,FALSE),"⚠ Código no existe"))</f>
      </c>
      <c r="F84" s="21"/>
      <c r="G84" s="20"/>
      <c r="H84" s="22"/>
      <c r="I84" s="16">
        <f>IF($D84="","",IFERROR(VLOOKUP($D84,'Catálogo'!$A:$F,6,FALSE),0))</f>
      </c>
      <c r="J84" s="16">
        <f>IF($D84="","",$F84*$I84)</f>
      </c>
      <c r="K84" s="16">
        <f>IF($D84="","",'Config'!$B$11+'Config'!$B$12)</f>
      </c>
      <c r="L84" s="16">
        <f>IF($D84="","",$H84-$J84-$K84)</f>
      </c>
      <c r="M84" s="19">
        <f>IF($D84="","",$D84&amp;"|"&amp;$G84)</f>
      </c>
      <c r="N84" s="18">
        <f>IF($D84="","",IF($H84=0,0,$L84/$H84))</f>
      </c>
      <c r="O84" s="20"/>
    </row>
    <row r="85">
      <c r="A85" s="23"/>
      <c r="B85" s="20"/>
      <c r="C85" s="20"/>
      <c r="D85" s="20"/>
      <c r="E85" s="19">
        <f>IF($D85="","",IFERROR(VLOOKUP($D85,'Catálogo'!$A:$B,2,FALSE),"⚠ Código no existe"))</f>
      </c>
      <c r="F85" s="21"/>
      <c r="G85" s="20"/>
      <c r="H85" s="22"/>
      <c r="I85" s="16">
        <f>IF($D85="","",IFERROR(VLOOKUP($D85,'Catálogo'!$A:$F,6,FALSE),0))</f>
      </c>
      <c r="J85" s="16">
        <f>IF($D85="","",$F85*$I85)</f>
      </c>
      <c r="K85" s="16">
        <f>IF($D85="","",'Config'!$B$11+'Config'!$B$12)</f>
      </c>
      <c r="L85" s="16">
        <f>IF($D85="","",$H85-$J85-$K85)</f>
      </c>
      <c r="M85" s="19">
        <f>IF($D85="","",$D85&amp;"|"&amp;$G85)</f>
      </c>
      <c r="N85" s="18">
        <f>IF($D85="","",IF($H85=0,0,$L85/$H85))</f>
      </c>
      <c r="O85" s="20"/>
    </row>
    <row r="86">
      <c r="A86" s="23"/>
      <c r="B86" s="20"/>
      <c r="C86" s="20"/>
      <c r="D86" s="20"/>
      <c r="E86" s="19">
        <f>IF($D86="","",IFERROR(VLOOKUP($D86,'Catálogo'!$A:$B,2,FALSE),"⚠ Código no existe"))</f>
      </c>
      <c r="F86" s="21"/>
      <c r="G86" s="20"/>
      <c r="H86" s="22"/>
      <c r="I86" s="16">
        <f>IF($D86="","",IFERROR(VLOOKUP($D86,'Catálogo'!$A:$F,6,FALSE),0))</f>
      </c>
      <c r="J86" s="16">
        <f>IF($D86="","",$F86*$I86)</f>
      </c>
      <c r="K86" s="16">
        <f>IF($D86="","",'Config'!$B$11+'Config'!$B$12)</f>
      </c>
      <c r="L86" s="16">
        <f>IF($D86="","",$H86-$J86-$K86)</f>
      </c>
      <c r="M86" s="19">
        <f>IF($D86="","",$D86&amp;"|"&amp;$G86)</f>
      </c>
      <c r="N86" s="18">
        <f>IF($D86="","",IF($H86=0,0,$L86/$H86))</f>
      </c>
      <c r="O86" s="20"/>
    </row>
    <row r="87">
      <c r="A87" s="23"/>
      <c r="B87" s="20"/>
      <c r="C87" s="20"/>
      <c r="D87" s="20"/>
      <c r="E87" s="19">
        <f>IF($D87="","",IFERROR(VLOOKUP($D87,'Catálogo'!$A:$B,2,FALSE),"⚠ Código no existe"))</f>
      </c>
      <c r="F87" s="21"/>
      <c r="G87" s="20"/>
      <c r="H87" s="22"/>
      <c r="I87" s="16">
        <f>IF($D87="","",IFERROR(VLOOKUP($D87,'Catálogo'!$A:$F,6,FALSE),0))</f>
      </c>
      <c r="J87" s="16">
        <f>IF($D87="","",$F87*$I87)</f>
      </c>
      <c r="K87" s="16">
        <f>IF($D87="","",'Config'!$B$11+'Config'!$B$12)</f>
      </c>
      <c r="L87" s="16">
        <f>IF($D87="","",$H87-$J87-$K87)</f>
      </c>
      <c r="M87" s="19">
        <f>IF($D87="","",$D87&amp;"|"&amp;$G87)</f>
      </c>
      <c r="N87" s="18">
        <f>IF($D87="","",IF($H87=0,0,$L87/$H87))</f>
      </c>
      <c r="O87" s="20"/>
    </row>
    <row r="88">
      <c r="A88" s="23"/>
      <c r="B88" s="20"/>
      <c r="C88" s="20"/>
      <c r="D88" s="20"/>
      <c r="E88" s="19">
        <f>IF($D88="","",IFERROR(VLOOKUP($D88,'Catálogo'!$A:$B,2,FALSE),"⚠ Código no existe"))</f>
      </c>
      <c r="F88" s="21"/>
      <c r="G88" s="20"/>
      <c r="H88" s="22"/>
      <c r="I88" s="16">
        <f>IF($D88="","",IFERROR(VLOOKUP($D88,'Catálogo'!$A:$F,6,FALSE),0))</f>
      </c>
      <c r="J88" s="16">
        <f>IF($D88="","",$F88*$I88)</f>
      </c>
      <c r="K88" s="16">
        <f>IF($D88="","",'Config'!$B$11+'Config'!$B$12)</f>
      </c>
      <c r="L88" s="16">
        <f>IF($D88="","",$H88-$J88-$K88)</f>
      </c>
      <c r="M88" s="19">
        <f>IF($D88="","",$D88&amp;"|"&amp;$G88)</f>
      </c>
      <c r="N88" s="18">
        <f>IF($D88="","",IF($H88=0,0,$L88/$H88))</f>
      </c>
      <c r="O88" s="20"/>
    </row>
    <row r="89">
      <c r="A89" s="23"/>
      <c r="B89" s="20"/>
      <c r="C89" s="20"/>
      <c r="D89" s="20"/>
      <c r="E89" s="19">
        <f>IF($D89="","",IFERROR(VLOOKUP($D89,'Catálogo'!$A:$B,2,FALSE),"⚠ Código no existe"))</f>
      </c>
      <c r="F89" s="21"/>
      <c r="G89" s="20"/>
      <c r="H89" s="22"/>
      <c r="I89" s="16">
        <f>IF($D89="","",IFERROR(VLOOKUP($D89,'Catálogo'!$A:$F,6,FALSE),0))</f>
      </c>
      <c r="J89" s="16">
        <f>IF($D89="","",$F89*$I89)</f>
      </c>
      <c r="K89" s="16">
        <f>IF($D89="","",'Config'!$B$11+'Config'!$B$12)</f>
      </c>
      <c r="L89" s="16">
        <f>IF($D89="","",$H89-$J89-$K89)</f>
      </c>
      <c r="M89" s="19">
        <f>IF($D89="","",$D89&amp;"|"&amp;$G89)</f>
      </c>
      <c r="N89" s="18">
        <f>IF($D89="","",IF($H89=0,0,$L89/$H89))</f>
      </c>
      <c r="O89" s="20"/>
    </row>
    <row r="90">
      <c r="A90" s="23"/>
      <c r="B90" s="20"/>
      <c r="C90" s="20"/>
      <c r="D90" s="20"/>
      <c r="E90" s="19">
        <f>IF($D90="","",IFERROR(VLOOKUP($D90,'Catálogo'!$A:$B,2,FALSE),"⚠ Código no existe"))</f>
      </c>
      <c r="F90" s="21"/>
      <c r="G90" s="20"/>
      <c r="H90" s="22"/>
      <c r="I90" s="16">
        <f>IF($D90="","",IFERROR(VLOOKUP($D90,'Catálogo'!$A:$F,6,FALSE),0))</f>
      </c>
      <c r="J90" s="16">
        <f>IF($D90="","",$F90*$I90)</f>
      </c>
      <c r="K90" s="16">
        <f>IF($D90="","",'Config'!$B$11+'Config'!$B$12)</f>
      </c>
      <c r="L90" s="16">
        <f>IF($D90="","",$H90-$J90-$K90)</f>
      </c>
      <c r="M90" s="19">
        <f>IF($D90="","",$D90&amp;"|"&amp;$G90)</f>
      </c>
      <c r="N90" s="18">
        <f>IF($D90="","",IF($H90=0,0,$L90/$H90))</f>
      </c>
      <c r="O90" s="20"/>
    </row>
    <row r="91">
      <c r="A91" s="23"/>
      <c r="B91" s="20"/>
      <c r="C91" s="20"/>
      <c r="D91" s="20"/>
      <c r="E91" s="19">
        <f>IF($D91="","",IFERROR(VLOOKUP($D91,'Catálogo'!$A:$B,2,FALSE),"⚠ Código no existe"))</f>
      </c>
      <c r="F91" s="21"/>
      <c r="G91" s="20"/>
      <c r="H91" s="22"/>
      <c r="I91" s="16">
        <f>IF($D91="","",IFERROR(VLOOKUP($D91,'Catálogo'!$A:$F,6,FALSE),0))</f>
      </c>
      <c r="J91" s="16">
        <f>IF($D91="","",$F91*$I91)</f>
      </c>
      <c r="K91" s="16">
        <f>IF($D91="","",'Config'!$B$11+'Config'!$B$12)</f>
      </c>
      <c r="L91" s="16">
        <f>IF($D91="","",$H91-$J91-$K91)</f>
      </c>
      <c r="M91" s="19">
        <f>IF($D91="","",$D91&amp;"|"&amp;$G91)</f>
      </c>
      <c r="N91" s="18">
        <f>IF($D91="","",IF($H91=0,0,$L91/$H91))</f>
      </c>
      <c r="O91" s="20"/>
    </row>
    <row r="92">
      <c r="A92" s="23"/>
      <c r="B92" s="20"/>
      <c r="C92" s="20"/>
      <c r="D92" s="20"/>
      <c r="E92" s="19">
        <f>IF($D92="","",IFERROR(VLOOKUP($D92,'Catálogo'!$A:$B,2,FALSE),"⚠ Código no existe"))</f>
      </c>
      <c r="F92" s="21"/>
      <c r="G92" s="20"/>
      <c r="H92" s="22"/>
      <c r="I92" s="16">
        <f>IF($D92="","",IFERROR(VLOOKUP($D92,'Catálogo'!$A:$F,6,FALSE),0))</f>
      </c>
      <c r="J92" s="16">
        <f>IF($D92="","",$F92*$I92)</f>
      </c>
      <c r="K92" s="16">
        <f>IF($D92="","",'Config'!$B$11+'Config'!$B$12)</f>
      </c>
      <c r="L92" s="16">
        <f>IF($D92="","",$H92-$J92-$K92)</f>
      </c>
      <c r="M92" s="19">
        <f>IF($D92="","",$D92&amp;"|"&amp;$G92)</f>
      </c>
      <c r="N92" s="18">
        <f>IF($D92="","",IF($H92=0,0,$L92/$H92))</f>
      </c>
      <c r="O92" s="20"/>
    </row>
    <row r="93">
      <c r="A93" s="23"/>
      <c r="B93" s="20"/>
      <c r="C93" s="20"/>
      <c r="D93" s="20"/>
      <c r="E93" s="19">
        <f>IF($D93="","",IFERROR(VLOOKUP($D93,'Catálogo'!$A:$B,2,FALSE),"⚠ Código no existe"))</f>
      </c>
      <c r="F93" s="21"/>
      <c r="G93" s="20"/>
      <c r="H93" s="22"/>
      <c r="I93" s="16">
        <f>IF($D93="","",IFERROR(VLOOKUP($D93,'Catálogo'!$A:$F,6,FALSE),0))</f>
      </c>
      <c r="J93" s="16">
        <f>IF($D93="","",$F93*$I93)</f>
      </c>
      <c r="K93" s="16">
        <f>IF($D93="","",'Config'!$B$11+'Config'!$B$12)</f>
      </c>
      <c r="L93" s="16">
        <f>IF($D93="","",$H93-$J93-$K93)</f>
      </c>
      <c r="M93" s="19">
        <f>IF($D93="","",$D93&amp;"|"&amp;$G93)</f>
      </c>
      <c r="N93" s="18">
        <f>IF($D93="","",IF($H93=0,0,$L93/$H93))</f>
      </c>
      <c r="O93" s="20"/>
    </row>
    <row r="94">
      <c r="A94" s="23"/>
      <c r="B94" s="20"/>
      <c r="C94" s="20"/>
      <c r="D94" s="20"/>
      <c r="E94" s="19">
        <f>IF($D94="","",IFERROR(VLOOKUP($D94,'Catálogo'!$A:$B,2,FALSE),"⚠ Código no existe"))</f>
      </c>
      <c r="F94" s="21"/>
      <c r="G94" s="20"/>
      <c r="H94" s="22"/>
      <c r="I94" s="16">
        <f>IF($D94="","",IFERROR(VLOOKUP($D94,'Catálogo'!$A:$F,6,FALSE),0))</f>
      </c>
      <c r="J94" s="16">
        <f>IF($D94="","",$F94*$I94)</f>
      </c>
      <c r="K94" s="16">
        <f>IF($D94="","",'Config'!$B$11+'Config'!$B$12)</f>
      </c>
      <c r="L94" s="16">
        <f>IF($D94="","",$H94-$J94-$K94)</f>
      </c>
      <c r="M94" s="19">
        <f>IF($D94="","",$D94&amp;"|"&amp;$G94)</f>
      </c>
      <c r="N94" s="18">
        <f>IF($D94="","",IF($H94=0,0,$L94/$H94))</f>
      </c>
      <c r="O94" s="20"/>
    </row>
    <row r="95">
      <c r="A95" s="23"/>
      <c r="B95" s="20"/>
      <c r="C95" s="20"/>
      <c r="D95" s="20"/>
      <c r="E95" s="19">
        <f>IF($D95="","",IFERROR(VLOOKUP($D95,'Catálogo'!$A:$B,2,FALSE),"⚠ Código no existe"))</f>
      </c>
      <c r="F95" s="21"/>
      <c r="G95" s="20"/>
      <c r="H95" s="22"/>
      <c r="I95" s="16">
        <f>IF($D95="","",IFERROR(VLOOKUP($D95,'Catálogo'!$A:$F,6,FALSE),0))</f>
      </c>
      <c r="J95" s="16">
        <f>IF($D95="","",$F95*$I95)</f>
      </c>
      <c r="K95" s="16">
        <f>IF($D95="","",'Config'!$B$11+'Config'!$B$12)</f>
      </c>
      <c r="L95" s="16">
        <f>IF($D95="","",$H95-$J95-$K95)</f>
      </c>
      <c r="M95" s="19">
        <f>IF($D95="","",$D95&amp;"|"&amp;$G95)</f>
      </c>
      <c r="N95" s="18">
        <f>IF($D95="","",IF($H95=0,0,$L95/$H95))</f>
      </c>
      <c r="O95" s="20"/>
    </row>
    <row r="96">
      <c r="A96" s="23"/>
      <c r="B96" s="20"/>
      <c r="C96" s="20"/>
      <c r="D96" s="20"/>
      <c r="E96" s="19">
        <f>IF($D96="","",IFERROR(VLOOKUP($D96,'Catálogo'!$A:$B,2,FALSE),"⚠ Código no existe"))</f>
      </c>
      <c r="F96" s="21"/>
      <c r="G96" s="20"/>
      <c r="H96" s="22"/>
      <c r="I96" s="16">
        <f>IF($D96="","",IFERROR(VLOOKUP($D96,'Catálogo'!$A:$F,6,FALSE),0))</f>
      </c>
      <c r="J96" s="16">
        <f>IF($D96="","",$F96*$I96)</f>
      </c>
      <c r="K96" s="16">
        <f>IF($D96="","",'Config'!$B$11+'Config'!$B$12)</f>
      </c>
      <c r="L96" s="16">
        <f>IF($D96="","",$H96-$J96-$K96)</f>
      </c>
      <c r="M96" s="19">
        <f>IF($D96="","",$D96&amp;"|"&amp;$G96)</f>
      </c>
      <c r="N96" s="18">
        <f>IF($D96="","",IF($H96=0,0,$L96/$H96))</f>
      </c>
      <c r="O96" s="20"/>
    </row>
    <row r="97">
      <c r="A97" s="23"/>
      <c r="B97" s="20"/>
      <c r="C97" s="20"/>
      <c r="D97" s="20"/>
      <c r="E97" s="19">
        <f>IF($D97="","",IFERROR(VLOOKUP($D97,'Catálogo'!$A:$B,2,FALSE),"⚠ Código no existe"))</f>
      </c>
      <c r="F97" s="21"/>
      <c r="G97" s="20"/>
      <c r="H97" s="22"/>
      <c r="I97" s="16">
        <f>IF($D97="","",IFERROR(VLOOKUP($D97,'Catálogo'!$A:$F,6,FALSE),0))</f>
      </c>
      <c r="J97" s="16">
        <f>IF($D97="","",$F97*$I97)</f>
      </c>
      <c r="K97" s="16">
        <f>IF($D97="","",'Config'!$B$11+'Config'!$B$12)</f>
      </c>
      <c r="L97" s="16">
        <f>IF($D97="","",$H97-$J97-$K97)</f>
      </c>
      <c r="M97" s="19">
        <f>IF($D97="","",$D97&amp;"|"&amp;$G97)</f>
      </c>
      <c r="N97" s="18">
        <f>IF($D97="","",IF($H97=0,0,$L97/$H97))</f>
      </c>
      <c r="O97" s="20"/>
    </row>
    <row r="98">
      <c r="A98" s="23"/>
      <c r="B98" s="20"/>
      <c r="C98" s="20"/>
      <c r="D98" s="20"/>
      <c r="E98" s="19">
        <f>IF($D98="","",IFERROR(VLOOKUP($D98,'Catálogo'!$A:$B,2,FALSE),"⚠ Código no existe"))</f>
      </c>
      <c r="F98" s="21"/>
      <c r="G98" s="20"/>
      <c r="H98" s="22"/>
      <c r="I98" s="16">
        <f>IF($D98="","",IFERROR(VLOOKUP($D98,'Catálogo'!$A:$F,6,FALSE),0))</f>
      </c>
      <c r="J98" s="16">
        <f>IF($D98="","",$F98*$I98)</f>
      </c>
      <c r="K98" s="16">
        <f>IF($D98="","",'Config'!$B$11+'Config'!$B$12)</f>
      </c>
      <c r="L98" s="16">
        <f>IF($D98="","",$H98-$J98-$K98)</f>
      </c>
      <c r="M98" s="19">
        <f>IF($D98="","",$D98&amp;"|"&amp;$G98)</f>
      </c>
      <c r="N98" s="18">
        <f>IF($D98="","",IF($H98=0,0,$L98/$H98))</f>
      </c>
      <c r="O98" s="20"/>
    </row>
    <row r="99">
      <c r="A99" s="23"/>
      <c r="B99" s="20"/>
      <c r="C99" s="20"/>
      <c r="D99" s="20"/>
      <c r="E99" s="19">
        <f>IF($D99="","",IFERROR(VLOOKUP($D99,'Catálogo'!$A:$B,2,FALSE),"⚠ Código no existe"))</f>
      </c>
      <c r="F99" s="21"/>
      <c r="G99" s="20"/>
      <c r="H99" s="22"/>
      <c r="I99" s="16">
        <f>IF($D99="","",IFERROR(VLOOKUP($D99,'Catálogo'!$A:$F,6,FALSE),0))</f>
      </c>
      <c r="J99" s="16">
        <f>IF($D99="","",$F99*$I99)</f>
      </c>
      <c r="K99" s="16">
        <f>IF($D99="","",'Config'!$B$11+'Config'!$B$12)</f>
      </c>
      <c r="L99" s="16">
        <f>IF($D99="","",$H99-$J99-$K99)</f>
      </c>
      <c r="M99" s="19">
        <f>IF($D99="","",$D99&amp;"|"&amp;$G99)</f>
      </c>
      <c r="N99" s="18">
        <f>IF($D99="","",IF($H99=0,0,$L99/$H99))</f>
      </c>
      <c r="O99" s="20"/>
    </row>
    <row r="100">
      <c r="A100" s="23"/>
      <c r="B100" s="20"/>
      <c r="C100" s="20"/>
      <c r="D100" s="20"/>
      <c r="E100" s="19">
        <f>IF($D100="","",IFERROR(VLOOKUP($D100,'Catálogo'!$A:$B,2,FALSE),"⚠ Código no existe"))</f>
      </c>
      <c r="F100" s="21"/>
      <c r="G100" s="20"/>
      <c r="H100" s="22"/>
      <c r="I100" s="16">
        <f>IF($D100="","",IFERROR(VLOOKUP($D100,'Catálogo'!$A:$F,6,FALSE),0))</f>
      </c>
      <c r="J100" s="16">
        <f>IF($D100="","",$F100*$I100)</f>
      </c>
      <c r="K100" s="16">
        <f>IF($D100="","",'Config'!$B$11+'Config'!$B$12)</f>
      </c>
      <c r="L100" s="16">
        <f>IF($D100="","",$H100-$J100-$K100)</f>
      </c>
      <c r="M100" s="19">
        <f>IF($D100="","",$D100&amp;"|"&amp;$G100)</f>
      </c>
      <c r="N100" s="18">
        <f>IF($D100="","",IF($H100=0,0,$L100/$H100))</f>
      </c>
      <c r="O100" s="20"/>
    </row>
    <row r="101">
      <c r="A101" s="23"/>
      <c r="B101" s="20"/>
      <c r="C101" s="20"/>
      <c r="D101" s="20"/>
      <c r="E101" s="19">
        <f>IF($D101="","",IFERROR(VLOOKUP($D101,'Catálogo'!$A:$B,2,FALSE),"⚠ Código no existe"))</f>
      </c>
      <c r="F101" s="21"/>
      <c r="G101" s="20"/>
      <c r="H101" s="22"/>
      <c r="I101" s="16">
        <f>IF($D101="","",IFERROR(VLOOKUP($D101,'Catálogo'!$A:$F,6,FALSE),0))</f>
      </c>
      <c r="J101" s="16">
        <f>IF($D101="","",$F101*$I101)</f>
      </c>
      <c r="K101" s="16">
        <f>IF($D101="","",'Config'!$B$11+'Config'!$B$12)</f>
      </c>
      <c r="L101" s="16">
        <f>IF($D101="","",$H101-$J101-$K101)</f>
      </c>
      <c r="M101" s="19">
        <f>IF($D101="","",$D101&amp;"|"&amp;$G101)</f>
      </c>
      <c r="N101" s="18">
        <f>IF($D101="","",IF($H101=0,0,$L101/$H101))</f>
      </c>
      <c r="O101" s="20"/>
    </row>
    <row r="102">
      <c r="A102" s="23"/>
      <c r="B102" s="20"/>
      <c r="C102" s="20"/>
      <c r="D102" s="20"/>
      <c r="E102" s="19">
        <f>IF($D102="","",IFERROR(VLOOKUP($D102,'Catálogo'!$A:$B,2,FALSE),"⚠ Código no existe"))</f>
      </c>
      <c r="F102" s="21"/>
      <c r="G102" s="20"/>
      <c r="H102" s="22"/>
      <c r="I102" s="16">
        <f>IF($D102="","",IFERROR(VLOOKUP($D102,'Catálogo'!$A:$F,6,FALSE),0))</f>
      </c>
      <c r="J102" s="16">
        <f>IF($D102="","",$F102*$I102)</f>
      </c>
      <c r="K102" s="16">
        <f>IF($D102="","",'Config'!$B$11+'Config'!$B$12)</f>
      </c>
      <c r="L102" s="16">
        <f>IF($D102="","",$H102-$J102-$K102)</f>
      </c>
      <c r="M102" s="19">
        <f>IF($D102="","",$D102&amp;"|"&amp;$G102)</f>
      </c>
      <c r="N102" s="18">
        <f>IF($D102="","",IF($H102=0,0,$L102/$H102))</f>
      </c>
      <c r="O102" s="20"/>
    </row>
    <row r="103">
      <c r="A103" s="23"/>
      <c r="B103" s="20"/>
      <c r="C103" s="20"/>
      <c r="D103" s="20"/>
      <c r="E103" s="19">
        <f>IF($D103="","",IFERROR(VLOOKUP($D103,'Catálogo'!$A:$B,2,FALSE),"⚠ Código no existe"))</f>
      </c>
      <c r="F103" s="21"/>
      <c r="G103" s="20"/>
      <c r="H103" s="22"/>
      <c r="I103" s="16">
        <f>IF($D103="","",IFERROR(VLOOKUP($D103,'Catálogo'!$A:$F,6,FALSE),0))</f>
      </c>
      <c r="J103" s="16">
        <f>IF($D103="","",$F103*$I103)</f>
      </c>
      <c r="K103" s="16">
        <f>IF($D103="","",'Config'!$B$11+'Config'!$B$12)</f>
      </c>
      <c r="L103" s="16">
        <f>IF($D103="","",$H103-$J103-$K103)</f>
      </c>
      <c r="M103" s="19">
        <f>IF($D103="","",$D103&amp;"|"&amp;$G103)</f>
      </c>
      <c r="N103" s="18">
        <f>IF($D103="","",IF($H103=0,0,$L103/$H103))</f>
      </c>
      <c r="O103" s="20"/>
    </row>
    <row r="104">
      <c r="A104" s="23"/>
      <c r="B104" s="20"/>
      <c r="C104" s="20"/>
      <c r="D104" s="20"/>
      <c r="E104" s="19">
        <f>IF($D104="","",IFERROR(VLOOKUP($D104,'Catálogo'!$A:$B,2,FALSE),"⚠ Código no existe"))</f>
      </c>
      <c r="F104" s="21"/>
      <c r="G104" s="20"/>
      <c r="H104" s="22"/>
      <c r="I104" s="16">
        <f>IF($D104="","",IFERROR(VLOOKUP($D104,'Catálogo'!$A:$F,6,FALSE),0))</f>
      </c>
      <c r="J104" s="16">
        <f>IF($D104="","",$F104*$I104)</f>
      </c>
      <c r="K104" s="16">
        <f>IF($D104="","",'Config'!$B$11+'Config'!$B$12)</f>
      </c>
      <c r="L104" s="16">
        <f>IF($D104="","",$H104-$J104-$K104)</f>
      </c>
      <c r="M104" s="19">
        <f>IF($D104="","",$D104&amp;"|"&amp;$G104)</f>
      </c>
      <c r="N104" s="18">
        <f>IF($D104="","",IF($H104=0,0,$L104/$H104))</f>
      </c>
      <c r="O104" s="20"/>
    </row>
    <row r="105">
      <c r="A105" s="23"/>
      <c r="B105" s="20"/>
      <c r="C105" s="20"/>
      <c r="D105" s="20"/>
      <c r="E105" s="19">
        <f>IF($D105="","",IFERROR(VLOOKUP($D105,'Catálogo'!$A:$B,2,FALSE),"⚠ Código no existe"))</f>
      </c>
      <c r="F105" s="21"/>
      <c r="G105" s="20"/>
      <c r="H105" s="22"/>
      <c r="I105" s="16">
        <f>IF($D105="","",IFERROR(VLOOKUP($D105,'Catálogo'!$A:$F,6,FALSE),0))</f>
      </c>
      <c r="J105" s="16">
        <f>IF($D105="","",$F105*$I105)</f>
      </c>
      <c r="K105" s="16">
        <f>IF($D105="","",'Config'!$B$11+'Config'!$B$12)</f>
      </c>
      <c r="L105" s="16">
        <f>IF($D105="","",$H105-$J105-$K105)</f>
      </c>
      <c r="M105" s="19">
        <f>IF($D105="","",$D105&amp;"|"&amp;$G105)</f>
      </c>
      <c r="N105" s="18">
        <f>IF($D105="","",IF($H105=0,0,$L105/$H105))</f>
      </c>
      <c r="O105" s="20"/>
    </row>
    <row r="106">
      <c r="A106" s="23"/>
      <c r="B106" s="20"/>
      <c r="C106" s="20"/>
      <c r="D106" s="20"/>
      <c r="E106" s="19">
        <f>IF($D106="","",IFERROR(VLOOKUP($D106,'Catálogo'!$A:$B,2,FALSE),"⚠ Código no existe"))</f>
      </c>
      <c r="F106" s="21"/>
      <c r="G106" s="20"/>
      <c r="H106" s="22"/>
      <c r="I106" s="16">
        <f>IF($D106="","",IFERROR(VLOOKUP($D106,'Catálogo'!$A:$F,6,FALSE),0))</f>
      </c>
      <c r="J106" s="16">
        <f>IF($D106="","",$F106*$I106)</f>
      </c>
      <c r="K106" s="16">
        <f>IF($D106="","",'Config'!$B$11+'Config'!$B$12)</f>
      </c>
      <c r="L106" s="16">
        <f>IF($D106="","",$H106-$J106-$K106)</f>
      </c>
      <c r="M106" s="19">
        <f>IF($D106="","",$D106&amp;"|"&amp;$G106)</f>
      </c>
      <c r="N106" s="18">
        <f>IF($D106="","",IF($H106=0,0,$L106/$H106))</f>
      </c>
      <c r="O106" s="20"/>
    </row>
    <row r="107">
      <c r="A107" s="23"/>
      <c r="B107" s="20"/>
      <c r="C107" s="20"/>
      <c r="D107" s="20"/>
      <c r="E107" s="19">
        <f>IF($D107="","",IFERROR(VLOOKUP($D107,'Catálogo'!$A:$B,2,FALSE),"⚠ Código no existe"))</f>
      </c>
      <c r="F107" s="21"/>
      <c r="G107" s="20"/>
      <c r="H107" s="22"/>
      <c r="I107" s="16">
        <f>IF($D107="","",IFERROR(VLOOKUP($D107,'Catálogo'!$A:$F,6,FALSE),0))</f>
      </c>
      <c r="J107" s="16">
        <f>IF($D107="","",$F107*$I107)</f>
      </c>
      <c r="K107" s="16">
        <f>IF($D107="","",'Config'!$B$11+'Config'!$B$12)</f>
      </c>
      <c r="L107" s="16">
        <f>IF($D107="","",$H107-$J107-$K107)</f>
      </c>
      <c r="M107" s="19">
        <f>IF($D107="","",$D107&amp;"|"&amp;$G107)</f>
      </c>
      <c r="N107" s="18">
        <f>IF($D107="","",IF($H107=0,0,$L107/$H107))</f>
      </c>
      <c r="O107" s="20"/>
    </row>
    <row r="108">
      <c r="A108" s="23"/>
      <c r="B108" s="20"/>
      <c r="C108" s="20"/>
      <c r="D108" s="20"/>
      <c r="E108" s="19">
        <f>IF($D108="","",IFERROR(VLOOKUP($D108,'Catálogo'!$A:$B,2,FALSE),"⚠ Código no existe"))</f>
      </c>
      <c r="F108" s="21"/>
      <c r="G108" s="20"/>
      <c r="H108" s="22"/>
      <c r="I108" s="16">
        <f>IF($D108="","",IFERROR(VLOOKUP($D108,'Catálogo'!$A:$F,6,FALSE),0))</f>
      </c>
      <c r="J108" s="16">
        <f>IF($D108="","",$F108*$I108)</f>
      </c>
      <c r="K108" s="16">
        <f>IF($D108="","",'Config'!$B$11+'Config'!$B$12)</f>
      </c>
      <c r="L108" s="16">
        <f>IF($D108="","",$H108-$J108-$K108)</f>
      </c>
      <c r="M108" s="19">
        <f>IF($D108="","",$D108&amp;"|"&amp;$G108)</f>
      </c>
      <c r="N108" s="18">
        <f>IF($D108="","",IF($H108=0,0,$L108/$H108))</f>
      </c>
      <c r="O108" s="20"/>
    </row>
    <row r="109">
      <c r="A109" s="23"/>
      <c r="B109" s="20"/>
      <c r="C109" s="20"/>
      <c r="D109" s="20"/>
      <c r="E109" s="19">
        <f>IF($D109="","",IFERROR(VLOOKUP($D109,'Catálogo'!$A:$B,2,FALSE),"⚠ Código no existe"))</f>
      </c>
      <c r="F109" s="21"/>
      <c r="G109" s="20"/>
      <c r="H109" s="22"/>
      <c r="I109" s="16">
        <f>IF($D109="","",IFERROR(VLOOKUP($D109,'Catálogo'!$A:$F,6,FALSE),0))</f>
      </c>
      <c r="J109" s="16">
        <f>IF($D109="","",$F109*$I109)</f>
      </c>
      <c r="K109" s="16">
        <f>IF($D109="","",'Config'!$B$11+'Config'!$B$12)</f>
      </c>
      <c r="L109" s="16">
        <f>IF($D109="","",$H109-$J109-$K109)</f>
      </c>
      <c r="M109" s="19">
        <f>IF($D109="","",$D109&amp;"|"&amp;$G109)</f>
      </c>
      <c r="N109" s="18">
        <f>IF($D109="","",IF($H109=0,0,$L109/$H109))</f>
      </c>
      <c r="O109" s="20"/>
    </row>
    <row r="110">
      <c r="A110" s="23"/>
      <c r="B110" s="20"/>
      <c r="C110" s="20"/>
      <c r="D110" s="20"/>
      <c r="E110" s="19">
        <f>IF($D110="","",IFERROR(VLOOKUP($D110,'Catálogo'!$A:$B,2,FALSE),"⚠ Código no existe"))</f>
      </c>
      <c r="F110" s="21"/>
      <c r="G110" s="20"/>
      <c r="H110" s="22"/>
      <c r="I110" s="16">
        <f>IF($D110="","",IFERROR(VLOOKUP($D110,'Catálogo'!$A:$F,6,FALSE),0))</f>
      </c>
      <c r="J110" s="16">
        <f>IF($D110="","",$F110*$I110)</f>
      </c>
      <c r="K110" s="16">
        <f>IF($D110="","",'Config'!$B$11+'Config'!$B$12)</f>
      </c>
      <c r="L110" s="16">
        <f>IF($D110="","",$H110-$J110-$K110)</f>
      </c>
      <c r="M110" s="19">
        <f>IF($D110="","",$D110&amp;"|"&amp;$G110)</f>
      </c>
      <c r="N110" s="18">
        <f>IF($D110="","",IF($H110=0,0,$L110/$H110))</f>
      </c>
      <c r="O110" s="20"/>
    </row>
    <row r="111">
      <c r="A111" s="23"/>
      <c r="B111" s="20"/>
      <c r="C111" s="20"/>
      <c r="D111" s="20"/>
      <c r="E111" s="19">
        <f>IF($D111="","",IFERROR(VLOOKUP($D111,'Catálogo'!$A:$B,2,FALSE),"⚠ Código no existe"))</f>
      </c>
      <c r="F111" s="21"/>
      <c r="G111" s="20"/>
      <c r="H111" s="22"/>
      <c r="I111" s="16">
        <f>IF($D111="","",IFERROR(VLOOKUP($D111,'Catálogo'!$A:$F,6,FALSE),0))</f>
      </c>
      <c r="J111" s="16">
        <f>IF($D111="","",$F111*$I111)</f>
      </c>
      <c r="K111" s="16">
        <f>IF($D111="","",'Config'!$B$11+'Config'!$B$12)</f>
      </c>
      <c r="L111" s="16">
        <f>IF($D111="","",$H111-$J111-$K111)</f>
      </c>
      <c r="M111" s="19">
        <f>IF($D111="","",$D111&amp;"|"&amp;$G111)</f>
      </c>
      <c r="N111" s="18">
        <f>IF($D111="","",IF($H111=0,0,$L111/$H111))</f>
      </c>
      <c r="O111" s="20"/>
    </row>
    <row r="112">
      <c r="A112" s="23"/>
      <c r="B112" s="20"/>
      <c r="C112" s="20"/>
      <c r="D112" s="20"/>
      <c r="E112" s="19">
        <f>IF($D112="","",IFERROR(VLOOKUP($D112,'Catálogo'!$A:$B,2,FALSE),"⚠ Código no existe"))</f>
      </c>
      <c r="F112" s="21"/>
      <c r="G112" s="20"/>
      <c r="H112" s="22"/>
      <c r="I112" s="16">
        <f>IF($D112="","",IFERROR(VLOOKUP($D112,'Catálogo'!$A:$F,6,FALSE),0))</f>
      </c>
      <c r="J112" s="16">
        <f>IF($D112="","",$F112*$I112)</f>
      </c>
      <c r="K112" s="16">
        <f>IF($D112="","",'Config'!$B$11+'Config'!$B$12)</f>
      </c>
      <c r="L112" s="16">
        <f>IF($D112="","",$H112-$J112-$K112)</f>
      </c>
      <c r="M112" s="19">
        <f>IF($D112="","",$D112&amp;"|"&amp;$G112)</f>
      </c>
      <c r="N112" s="18">
        <f>IF($D112="","",IF($H112=0,0,$L112/$H112))</f>
      </c>
      <c r="O112" s="20"/>
    </row>
    <row r="113">
      <c r="A113" s="23"/>
      <c r="B113" s="20"/>
      <c r="C113" s="20"/>
      <c r="D113" s="20"/>
      <c r="E113" s="19">
        <f>IF($D113="","",IFERROR(VLOOKUP($D113,'Catálogo'!$A:$B,2,FALSE),"⚠ Código no existe"))</f>
      </c>
      <c r="F113" s="21"/>
      <c r="G113" s="20"/>
      <c r="H113" s="22"/>
      <c r="I113" s="16">
        <f>IF($D113="","",IFERROR(VLOOKUP($D113,'Catálogo'!$A:$F,6,FALSE),0))</f>
      </c>
      <c r="J113" s="16">
        <f>IF($D113="","",$F113*$I113)</f>
      </c>
      <c r="K113" s="16">
        <f>IF($D113="","",'Config'!$B$11+'Config'!$B$12)</f>
      </c>
      <c r="L113" s="16">
        <f>IF($D113="","",$H113-$J113-$K113)</f>
      </c>
      <c r="M113" s="19">
        <f>IF($D113="","",$D113&amp;"|"&amp;$G113)</f>
      </c>
      <c r="N113" s="18">
        <f>IF($D113="","",IF($H113=0,0,$L113/$H113))</f>
      </c>
      <c r="O113" s="20"/>
    </row>
    <row r="114">
      <c r="A114" s="23"/>
      <c r="B114" s="20"/>
      <c r="C114" s="20"/>
      <c r="D114" s="20"/>
      <c r="E114" s="19">
        <f>IF($D114="","",IFERROR(VLOOKUP($D114,'Catálogo'!$A:$B,2,FALSE),"⚠ Código no existe"))</f>
      </c>
      <c r="F114" s="21"/>
      <c r="G114" s="20"/>
      <c r="H114" s="22"/>
      <c r="I114" s="16">
        <f>IF($D114="","",IFERROR(VLOOKUP($D114,'Catálogo'!$A:$F,6,FALSE),0))</f>
      </c>
      <c r="J114" s="16">
        <f>IF($D114="","",$F114*$I114)</f>
      </c>
      <c r="K114" s="16">
        <f>IF($D114="","",'Config'!$B$11+'Config'!$B$12)</f>
      </c>
      <c r="L114" s="16">
        <f>IF($D114="","",$H114-$J114-$K114)</f>
      </c>
      <c r="M114" s="19">
        <f>IF($D114="","",$D114&amp;"|"&amp;$G114)</f>
      </c>
      <c r="N114" s="18">
        <f>IF($D114="","",IF($H114=0,0,$L114/$H114))</f>
      </c>
      <c r="O114" s="20"/>
    </row>
    <row r="115">
      <c r="A115" s="23"/>
      <c r="B115" s="20"/>
      <c r="C115" s="20"/>
      <c r="D115" s="20"/>
      <c r="E115" s="19">
        <f>IF($D115="","",IFERROR(VLOOKUP($D115,'Catálogo'!$A:$B,2,FALSE),"⚠ Código no existe"))</f>
      </c>
      <c r="F115" s="21"/>
      <c r="G115" s="20"/>
      <c r="H115" s="22"/>
      <c r="I115" s="16">
        <f>IF($D115="","",IFERROR(VLOOKUP($D115,'Catálogo'!$A:$F,6,FALSE),0))</f>
      </c>
      <c r="J115" s="16">
        <f>IF($D115="","",$F115*$I115)</f>
      </c>
      <c r="K115" s="16">
        <f>IF($D115="","",'Config'!$B$11+'Config'!$B$12)</f>
      </c>
      <c r="L115" s="16">
        <f>IF($D115="","",$H115-$J115-$K115)</f>
      </c>
      <c r="M115" s="19">
        <f>IF($D115="","",$D115&amp;"|"&amp;$G115)</f>
      </c>
      <c r="N115" s="18">
        <f>IF($D115="","",IF($H115=0,0,$L115/$H115))</f>
      </c>
      <c r="O115" s="20"/>
    </row>
    <row r="116">
      <c r="A116" s="23"/>
      <c r="B116" s="20"/>
      <c r="C116" s="20"/>
      <c r="D116" s="20"/>
      <c r="E116" s="19">
        <f>IF($D116="","",IFERROR(VLOOKUP($D116,'Catálogo'!$A:$B,2,FALSE),"⚠ Código no existe"))</f>
      </c>
      <c r="F116" s="21"/>
      <c r="G116" s="20"/>
      <c r="H116" s="22"/>
      <c r="I116" s="16">
        <f>IF($D116="","",IFERROR(VLOOKUP($D116,'Catálogo'!$A:$F,6,FALSE),0))</f>
      </c>
      <c r="J116" s="16">
        <f>IF($D116="","",$F116*$I116)</f>
      </c>
      <c r="K116" s="16">
        <f>IF($D116="","",'Config'!$B$11+'Config'!$B$12)</f>
      </c>
      <c r="L116" s="16">
        <f>IF($D116="","",$H116-$J116-$K116)</f>
      </c>
      <c r="M116" s="19">
        <f>IF($D116="","",$D116&amp;"|"&amp;$G116)</f>
      </c>
      <c r="N116" s="18">
        <f>IF($D116="","",IF($H116=0,0,$L116/$H116))</f>
      </c>
      <c r="O116" s="20"/>
    </row>
    <row r="117">
      <c r="A117" s="23"/>
      <c r="B117" s="20"/>
      <c r="C117" s="20"/>
      <c r="D117" s="20"/>
      <c r="E117" s="19">
        <f>IF($D117="","",IFERROR(VLOOKUP($D117,'Catálogo'!$A:$B,2,FALSE),"⚠ Código no existe"))</f>
      </c>
      <c r="F117" s="21"/>
      <c r="G117" s="20"/>
      <c r="H117" s="22"/>
      <c r="I117" s="16">
        <f>IF($D117="","",IFERROR(VLOOKUP($D117,'Catálogo'!$A:$F,6,FALSE),0))</f>
      </c>
      <c r="J117" s="16">
        <f>IF($D117="","",$F117*$I117)</f>
      </c>
      <c r="K117" s="16">
        <f>IF($D117="","",'Config'!$B$11+'Config'!$B$12)</f>
      </c>
      <c r="L117" s="16">
        <f>IF($D117="","",$H117-$J117-$K117)</f>
      </c>
      <c r="M117" s="19">
        <f>IF($D117="","",$D117&amp;"|"&amp;$G117)</f>
      </c>
      <c r="N117" s="18">
        <f>IF($D117="","",IF($H117=0,0,$L117/$H117))</f>
      </c>
      <c r="O117" s="20"/>
    </row>
    <row r="118">
      <c r="A118" s="23"/>
      <c r="B118" s="20"/>
      <c r="C118" s="20"/>
      <c r="D118" s="20"/>
      <c r="E118" s="19">
        <f>IF($D118="","",IFERROR(VLOOKUP($D118,'Catálogo'!$A:$B,2,FALSE),"⚠ Código no existe"))</f>
      </c>
      <c r="F118" s="21"/>
      <c r="G118" s="20"/>
      <c r="H118" s="22"/>
      <c r="I118" s="16">
        <f>IF($D118="","",IFERROR(VLOOKUP($D118,'Catálogo'!$A:$F,6,FALSE),0))</f>
      </c>
      <c r="J118" s="16">
        <f>IF($D118="","",$F118*$I118)</f>
      </c>
      <c r="K118" s="16">
        <f>IF($D118="","",'Config'!$B$11+'Config'!$B$12)</f>
      </c>
      <c r="L118" s="16">
        <f>IF($D118="","",$H118-$J118-$K118)</f>
      </c>
      <c r="M118" s="19">
        <f>IF($D118="","",$D118&amp;"|"&amp;$G118)</f>
      </c>
      <c r="N118" s="18">
        <f>IF($D118="","",IF($H118=0,0,$L118/$H118))</f>
      </c>
      <c r="O118" s="20"/>
    </row>
    <row r="119">
      <c r="A119" s="23"/>
      <c r="B119" s="20"/>
      <c r="C119" s="20"/>
      <c r="D119" s="20"/>
      <c r="E119" s="19">
        <f>IF($D119="","",IFERROR(VLOOKUP($D119,'Catálogo'!$A:$B,2,FALSE),"⚠ Código no existe"))</f>
      </c>
      <c r="F119" s="21"/>
      <c r="G119" s="20"/>
      <c r="H119" s="22"/>
      <c r="I119" s="16">
        <f>IF($D119="","",IFERROR(VLOOKUP($D119,'Catálogo'!$A:$F,6,FALSE),0))</f>
      </c>
      <c r="J119" s="16">
        <f>IF($D119="","",$F119*$I119)</f>
      </c>
      <c r="K119" s="16">
        <f>IF($D119="","",'Config'!$B$11+'Config'!$B$12)</f>
      </c>
      <c r="L119" s="16">
        <f>IF($D119="","",$H119-$J119-$K119)</f>
      </c>
      <c r="M119" s="19">
        <f>IF($D119="","",$D119&amp;"|"&amp;$G119)</f>
      </c>
      <c r="N119" s="18">
        <f>IF($D119="","",IF($H119=0,0,$L119/$H119))</f>
      </c>
      <c r="O119" s="20"/>
    </row>
    <row r="120">
      <c r="A120" s="23"/>
      <c r="B120" s="20"/>
      <c r="C120" s="20"/>
      <c r="D120" s="20"/>
      <c r="E120" s="19">
        <f>IF($D120="","",IFERROR(VLOOKUP($D120,'Catálogo'!$A:$B,2,FALSE),"⚠ Código no existe"))</f>
      </c>
      <c r="F120" s="21"/>
      <c r="G120" s="20"/>
      <c r="H120" s="22"/>
      <c r="I120" s="16">
        <f>IF($D120="","",IFERROR(VLOOKUP($D120,'Catálogo'!$A:$F,6,FALSE),0))</f>
      </c>
      <c r="J120" s="16">
        <f>IF($D120="","",$F120*$I120)</f>
      </c>
      <c r="K120" s="16">
        <f>IF($D120="","",'Config'!$B$11+'Config'!$B$12)</f>
      </c>
      <c r="L120" s="16">
        <f>IF($D120="","",$H120-$J120-$K120)</f>
      </c>
      <c r="M120" s="19">
        <f>IF($D120="","",$D120&amp;"|"&amp;$G120)</f>
      </c>
      <c r="N120" s="18">
        <f>IF($D120="","",IF($H120=0,0,$L120/$H120))</f>
      </c>
      <c r="O120" s="20"/>
    </row>
    <row r="121">
      <c r="A121" s="23"/>
      <c r="B121" s="20"/>
      <c r="C121" s="20"/>
      <c r="D121" s="20"/>
      <c r="E121" s="19">
        <f>IF($D121="","",IFERROR(VLOOKUP($D121,'Catálogo'!$A:$B,2,FALSE),"⚠ Código no existe"))</f>
      </c>
      <c r="F121" s="21"/>
      <c r="G121" s="20"/>
      <c r="H121" s="22"/>
      <c r="I121" s="16">
        <f>IF($D121="","",IFERROR(VLOOKUP($D121,'Catálogo'!$A:$F,6,FALSE),0))</f>
      </c>
      <c r="J121" s="16">
        <f>IF($D121="","",$F121*$I121)</f>
      </c>
      <c r="K121" s="16">
        <f>IF($D121="","",'Config'!$B$11+'Config'!$B$12)</f>
      </c>
      <c r="L121" s="16">
        <f>IF($D121="","",$H121-$J121-$K121)</f>
      </c>
      <c r="M121" s="19">
        <f>IF($D121="","",$D121&amp;"|"&amp;$G121)</f>
      </c>
      <c r="N121" s="18">
        <f>IF($D121="","",IF($H121=0,0,$L121/$H121))</f>
      </c>
      <c r="O121" s="20"/>
    </row>
    <row r="122">
      <c r="A122" s="23"/>
      <c r="B122" s="20"/>
      <c r="C122" s="20"/>
      <c r="D122" s="20"/>
      <c r="E122" s="19">
        <f>IF($D122="","",IFERROR(VLOOKUP($D122,'Catálogo'!$A:$B,2,FALSE),"⚠ Código no existe"))</f>
      </c>
      <c r="F122" s="21"/>
      <c r="G122" s="20"/>
      <c r="H122" s="22"/>
      <c r="I122" s="16">
        <f>IF($D122="","",IFERROR(VLOOKUP($D122,'Catálogo'!$A:$F,6,FALSE),0))</f>
      </c>
      <c r="J122" s="16">
        <f>IF($D122="","",$F122*$I122)</f>
      </c>
      <c r="K122" s="16">
        <f>IF($D122="","",'Config'!$B$11+'Config'!$B$12)</f>
      </c>
      <c r="L122" s="16">
        <f>IF($D122="","",$H122-$J122-$K122)</f>
      </c>
      <c r="M122" s="19">
        <f>IF($D122="","",$D122&amp;"|"&amp;$G122)</f>
      </c>
      <c r="N122" s="18">
        <f>IF($D122="","",IF($H122=0,0,$L122/$H122))</f>
      </c>
      <c r="O122" s="20"/>
    </row>
    <row r="123">
      <c r="A123" s="23"/>
      <c r="B123" s="20"/>
      <c r="C123" s="20"/>
      <c r="D123" s="20"/>
      <c r="E123" s="19">
        <f>IF($D123="","",IFERROR(VLOOKUP($D123,'Catálogo'!$A:$B,2,FALSE),"⚠ Código no existe"))</f>
      </c>
      <c r="F123" s="21"/>
      <c r="G123" s="20"/>
      <c r="H123" s="22"/>
      <c r="I123" s="16">
        <f>IF($D123="","",IFERROR(VLOOKUP($D123,'Catálogo'!$A:$F,6,FALSE),0))</f>
      </c>
      <c r="J123" s="16">
        <f>IF($D123="","",$F123*$I123)</f>
      </c>
      <c r="K123" s="16">
        <f>IF($D123="","",'Config'!$B$11+'Config'!$B$12)</f>
      </c>
      <c r="L123" s="16">
        <f>IF($D123="","",$H123-$J123-$K123)</f>
      </c>
      <c r="M123" s="19">
        <f>IF($D123="","",$D123&amp;"|"&amp;$G123)</f>
      </c>
      <c r="N123" s="18">
        <f>IF($D123="","",IF($H123=0,0,$L123/$H123))</f>
      </c>
      <c r="O123" s="20"/>
    </row>
    <row r="124">
      <c r="A124" s="23"/>
      <c r="B124" s="20"/>
      <c r="C124" s="20"/>
      <c r="D124" s="20"/>
      <c r="E124" s="19">
        <f>IF($D124="","",IFERROR(VLOOKUP($D124,'Catálogo'!$A:$B,2,FALSE),"⚠ Código no existe"))</f>
      </c>
      <c r="F124" s="21"/>
      <c r="G124" s="20"/>
      <c r="H124" s="22"/>
      <c r="I124" s="16">
        <f>IF($D124="","",IFERROR(VLOOKUP($D124,'Catálogo'!$A:$F,6,FALSE),0))</f>
      </c>
      <c r="J124" s="16">
        <f>IF($D124="","",$F124*$I124)</f>
      </c>
      <c r="K124" s="16">
        <f>IF($D124="","",'Config'!$B$11+'Config'!$B$12)</f>
      </c>
      <c r="L124" s="16">
        <f>IF($D124="","",$H124-$J124-$K124)</f>
      </c>
      <c r="M124" s="19">
        <f>IF($D124="","",$D124&amp;"|"&amp;$G124)</f>
      </c>
      <c r="N124" s="18">
        <f>IF($D124="","",IF($H124=0,0,$L124/$H124))</f>
      </c>
      <c r="O124" s="20"/>
    </row>
    <row r="125">
      <c r="A125" s="23"/>
      <c r="B125" s="20"/>
      <c r="C125" s="20"/>
      <c r="D125" s="20"/>
      <c r="E125" s="19">
        <f>IF($D125="","",IFERROR(VLOOKUP($D125,'Catálogo'!$A:$B,2,FALSE),"⚠ Código no existe"))</f>
      </c>
      <c r="F125" s="21"/>
      <c r="G125" s="20"/>
      <c r="H125" s="22"/>
      <c r="I125" s="16">
        <f>IF($D125="","",IFERROR(VLOOKUP($D125,'Catálogo'!$A:$F,6,FALSE),0))</f>
      </c>
      <c r="J125" s="16">
        <f>IF($D125="","",$F125*$I125)</f>
      </c>
      <c r="K125" s="16">
        <f>IF($D125="","",'Config'!$B$11+'Config'!$B$12)</f>
      </c>
      <c r="L125" s="16">
        <f>IF($D125="","",$H125-$J125-$K125)</f>
      </c>
      <c r="M125" s="19">
        <f>IF($D125="","",$D125&amp;"|"&amp;$G125)</f>
      </c>
      <c r="N125" s="18">
        <f>IF($D125="","",IF($H125=0,0,$L125/$H125))</f>
      </c>
      <c r="O125" s="20"/>
    </row>
    <row r="126">
      <c r="A126" s="23"/>
      <c r="B126" s="20"/>
      <c r="C126" s="20"/>
      <c r="D126" s="20"/>
      <c r="E126" s="19">
        <f>IF($D126="","",IFERROR(VLOOKUP($D126,'Catálogo'!$A:$B,2,FALSE),"⚠ Código no existe"))</f>
      </c>
      <c r="F126" s="21"/>
      <c r="G126" s="20"/>
      <c r="H126" s="22"/>
      <c r="I126" s="16">
        <f>IF($D126="","",IFERROR(VLOOKUP($D126,'Catálogo'!$A:$F,6,FALSE),0))</f>
      </c>
      <c r="J126" s="16">
        <f>IF($D126="","",$F126*$I126)</f>
      </c>
      <c r="K126" s="16">
        <f>IF($D126="","",'Config'!$B$11+'Config'!$B$12)</f>
      </c>
      <c r="L126" s="16">
        <f>IF($D126="","",$H126-$J126-$K126)</f>
      </c>
      <c r="M126" s="19">
        <f>IF($D126="","",$D126&amp;"|"&amp;$G126)</f>
      </c>
      <c r="N126" s="18">
        <f>IF($D126="","",IF($H126=0,0,$L126/$H126))</f>
      </c>
      <c r="O126" s="20"/>
    </row>
    <row r="127">
      <c r="A127" s="23"/>
      <c r="B127" s="20"/>
      <c r="C127" s="20"/>
      <c r="D127" s="20"/>
      <c r="E127" s="19">
        <f>IF($D127="","",IFERROR(VLOOKUP($D127,'Catálogo'!$A:$B,2,FALSE),"⚠ Código no existe"))</f>
      </c>
      <c r="F127" s="21"/>
      <c r="G127" s="20"/>
      <c r="H127" s="22"/>
      <c r="I127" s="16">
        <f>IF($D127="","",IFERROR(VLOOKUP($D127,'Catálogo'!$A:$F,6,FALSE),0))</f>
      </c>
      <c r="J127" s="16">
        <f>IF($D127="","",$F127*$I127)</f>
      </c>
      <c r="K127" s="16">
        <f>IF($D127="","",'Config'!$B$11+'Config'!$B$12)</f>
      </c>
      <c r="L127" s="16">
        <f>IF($D127="","",$H127-$J127-$K127)</f>
      </c>
      <c r="M127" s="19">
        <f>IF($D127="","",$D127&amp;"|"&amp;$G127)</f>
      </c>
      <c r="N127" s="18">
        <f>IF($D127="","",IF($H127=0,0,$L127/$H127))</f>
      </c>
      <c r="O127" s="20"/>
    </row>
    <row r="128">
      <c r="A128" s="23"/>
      <c r="B128" s="20"/>
      <c r="C128" s="20"/>
      <c r="D128" s="20"/>
      <c r="E128" s="19">
        <f>IF($D128="","",IFERROR(VLOOKUP($D128,'Catálogo'!$A:$B,2,FALSE),"⚠ Código no existe"))</f>
      </c>
      <c r="F128" s="21"/>
      <c r="G128" s="20"/>
      <c r="H128" s="22"/>
      <c r="I128" s="16">
        <f>IF($D128="","",IFERROR(VLOOKUP($D128,'Catálogo'!$A:$F,6,FALSE),0))</f>
      </c>
      <c r="J128" s="16">
        <f>IF($D128="","",$F128*$I128)</f>
      </c>
      <c r="K128" s="16">
        <f>IF($D128="","",'Config'!$B$11+'Config'!$B$12)</f>
      </c>
      <c r="L128" s="16">
        <f>IF($D128="","",$H128-$J128-$K128)</f>
      </c>
      <c r="M128" s="19">
        <f>IF($D128="","",$D128&amp;"|"&amp;$G128)</f>
      </c>
      <c r="N128" s="18">
        <f>IF($D128="","",IF($H128=0,0,$L128/$H128))</f>
      </c>
      <c r="O128" s="20"/>
    </row>
    <row r="129">
      <c r="A129" s="23"/>
      <c r="B129" s="20"/>
      <c r="C129" s="20"/>
      <c r="D129" s="20"/>
      <c r="E129" s="19">
        <f>IF($D129="","",IFERROR(VLOOKUP($D129,'Catálogo'!$A:$B,2,FALSE),"⚠ Código no existe"))</f>
      </c>
      <c r="F129" s="21"/>
      <c r="G129" s="20"/>
      <c r="H129" s="22"/>
      <c r="I129" s="16">
        <f>IF($D129="","",IFERROR(VLOOKUP($D129,'Catálogo'!$A:$F,6,FALSE),0))</f>
      </c>
      <c r="J129" s="16">
        <f>IF($D129="","",$F129*$I129)</f>
      </c>
      <c r="K129" s="16">
        <f>IF($D129="","",'Config'!$B$11+'Config'!$B$12)</f>
      </c>
      <c r="L129" s="16">
        <f>IF($D129="","",$H129-$J129-$K129)</f>
      </c>
      <c r="M129" s="19">
        <f>IF($D129="","",$D129&amp;"|"&amp;$G129)</f>
      </c>
      <c r="N129" s="18">
        <f>IF($D129="","",IF($H129=0,0,$L129/$H129))</f>
      </c>
      <c r="O129" s="20"/>
    </row>
    <row r="130">
      <c r="A130" s="23"/>
      <c r="B130" s="20"/>
      <c r="C130" s="20"/>
      <c r="D130" s="20"/>
      <c r="E130" s="19">
        <f>IF($D130="","",IFERROR(VLOOKUP($D130,'Catálogo'!$A:$B,2,FALSE),"⚠ Código no existe"))</f>
      </c>
      <c r="F130" s="21"/>
      <c r="G130" s="20"/>
      <c r="H130" s="22"/>
      <c r="I130" s="16">
        <f>IF($D130="","",IFERROR(VLOOKUP($D130,'Catálogo'!$A:$F,6,FALSE),0))</f>
      </c>
      <c r="J130" s="16">
        <f>IF($D130="","",$F130*$I130)</f>
      </c>
      <c r="K130" s="16">
        <f>IF($D130="","",'Config'!$B$11+'Config'!$B$12)</f>
      </c>
      <c r="L130" s="16">
        <f>IF($D130="","",$H130-$J130-$K130)</f>
      </c>
      <c r="M130" s="19">
        <f>IF($D130="","",$D130&amp;"|"&amp;$G130)</f>
      </c>
      <c r="N130" s="18">
        <f>IF($D130="","",IF($H130=0,0,$L130/$H130))</f>
      </c>
      <c r="O130" s="20"/>
    </row>
    <row r="131">
      <c r="A131" s="23"/>
      <c r="B131" s="20"/>
      <c r="C131" s="20"/>
      <c r="D131" s="20"/>
      <c r="E131" s="19">
        <f>IF($D131="","",IFERROR(VLOOKUP($D131,'Catálogo'!$A:$B,2,FALSE),"⚠ Código no existe"))</f>
      </c>
      <c r="F131" s="21"/>
      <c r="G131" s="20"/>
      <c r="H131" s="22"/>
      <c r="I131" s="16">
        <f>IF($D131="","",IFERROR(VLOOKUP($D131,'Catálogo'!$A:$F,6,FALSE),0))</f>
      </c>
      <c r="J131" s="16">
        <f>IF($D131="","",$F131*$I131)</f>
      </c>
      <c r="K131" s="16">
        <f>IF($D131="","",'Config'!$B$11+'Config'!$B$12)</f>
      </c>
      <c r="L131" s="16">
        <f>IF($D131="","",$H131-$J131-$K131)</f>
      </c>
      <c r="M131" s="19">
        <f>IF($D131="","",$D131&amp;"|"&amp;$G131)</f>
      </c>
      <c r="N131" s="18">
        <f>IF($D131="","",IF($H131=0,0,$L131/$H131))</f>
      </c>
      <c r="O131" s="20"/>
    </row>
    <row r="132">
      <c r="A132" s="23"/>
      <c r="B132" s="20"/>
      <c r="C132" s="20"/>
      <c r="D132" s="20"/>
      <c r="E132" s="19">
        <f>IF($D132="","",IFERROR(VLOOKUP($D132,'Catálogo'!$A:$B,2,FALSE),"⚠ Código no existe"))</f>
      </c>
      <c r="F132" s="21"/>
      <c r="G132" s="20"/>
      <c r="H132" s="22"/>
      <c r="I132" s="16">
        <f>IF($D132="","",IFERROR(VLOOKUP($D132,'Catálogo'!$A:$F,6,FALSE),0))</f>
      </c>
      <c r="J132" s="16">
        <f>IF($D132="","",$F132*$I132)</f>
      </c>
      <c r="K132" s="16">
        <f>IF($D132="","",'Config'!$B$11+'Config'!$B$12)</f>
      </c>
      <c r="L132" s="16">
        <f>IF($D132="","",$H132-$J132-$K132)</f>
      </c>
      <c r="M132" s="19">
        <f>IF($D132="","",$D132&amp;"|"&amp;$G132)</f>
      </c>
      <c r="N132" s="18">
        <f>IF($D132="","",IF($H132=0,0,$L132/$H132))</f>
      </c>
      <c r="O132" s="20"/>
    </row>
    <row r="133">
      <c r="A133" s="23"/>
      <c r="B133" s="20"/>
      <c r="C133" s="20"/>
      <c r="D133" s="20"/>
      <c r="E133" s="19">
        <f>IF($D133="","",IFERROR(VLOOKUP($D133,'Catálogo'!$A:$B,2,FALSE),"⚠ Código no existe"))</f>
      </c>
      <c r="F133" s="21"/>
      <c r="G133" s="20"/>
      <c r="H133" s="22"/>
      <c r="I133" s="16">
        <f>IF($D133="","",IFERROR(VLOOKUP($D133,'Catálogo'!$A:$F,6,FALSE),0))</f>
      </c>
      <c r="J133" s="16">
        <f>IF($D133="","",$F133*$I133)</f>
      </c>
      <c r="K133" s="16">
        <f>IF($D133="","",'Config'!$B$11+'Config'!$B$12)</f>
      </c>
      <c r="L133" s="16">
        <f>IF($D133="","",$H133-$J133-$K133)</f>
      </c>
      <c r="M133" s="19">
        <f>IF($D133="","",$D133&amp;"|"&amp;$G133)</f>
      </c>
      <c r="N133" s="18">
        <f>IF($D133="","",IF($H133=0,0,$L133/$H133))</f>
      </c>
      <c r="O133" s="20"/>
    </row>
    <row r="134">
      <c r="A134" s="23"/>
      <c r="B134" s="20"/>
      <c r="C134" s="20"/>
      <c r="D134" s="20"/>
      <c r="E134" s="19">
        <f>IF($D134="","",IFERROR(VLOOKUP($D134,'Catálogo'!$A:$B,2,FALSE),"⚠ Código no existe"))</f>
      </c>
      <c r="F134" s="21"/>
      <c r="G134" s="20"/>
      <c r="H134" s="22"/>
      <c r="I134" s="16">
        <f>IF($D134="","",IFERROR(VLOOKUP($D134,'Catálogo'!$A:$F,6,FALSE),0))</f>
      </c>
      <c r="J134" s="16">
        <f>IF($D134="","",$F134*$I134)</f>
      </c>
      <c r="K134" s="16">
        <f>IF($D134="","",'Config'!$B$11+'Config'!$B$12)</f>
      </c>
      <c r="L134" s="16">
        <f>IF($D134="","",$H134-$J134-$K134)</f>
      </c>
      <c r="M134" s="19">
        <f>IF($D134="","",$D134&amp;"|"&amp;$G134)</f>
      </c>
      <c r="N134" s="18">
        <f>IF($D134="","",IF($H134=0,0,$L134/$H134))</f>
      </c>
      <c r="O134" s="20"/>
    </row>
    <row r="135">
      <c r="A135" s="23"/>
      <c r="B135" s="20"/>
      <c r="C135" s="20"/>
      <c r="D135" s="20"/>
      <c r="E135" s="19">
        <f>IF($D135="","",IFERROR(VLOOKUP($D135,'Catálogo'!$A:$B,2,FALSE),"⚠ Código no existe"))</f>
      </c>
      <c r="F135" s="21"/>
      <c r="G135" s="20"/>
      <c r="H135" s="22"/>
      <c r="I135" s="16">
        <f>IF($D135="","",IFERROR(VLOOKUP($D135,'Catálogo'!$A:$F,6,FALSE),0))</f>
      </c>
      <c r="J135" s="16">
        <f>IF($D135="","",$F135*$I135)</f>
      </c>
      <c r="K135" s="16">
        <f>IF($D135="","",'Config'!$B$11+'Config'!$B$12)</f>
      </c>
      <c r="L135" s="16">
        <f>IF($D135="","",$H135-$J135-$K135)</f>
      </c>
      <c r="M135" s="19">
        <f>IF($D135="","",$D135&amp;"|"&amp;$G135)</f>
      </c>
      <c r="N135" s="18">
        <f>IF($D135="","",IF($H135=0,0,$L135/$H135))</f>
      </c>
      <c r="O135" s="20"/>
    </row>
    <row r="136">
      <c r="A136" s="23"/>
      <c r="B136" s="20"/>
      <c r="C136" s="20"/>
      <c r="D136" s="20"/>
      <c r="E136" s="19">
        <f>IF($D136="","",IFERROR(VLOOKUP($D136,'Catálogo'!$A:$B,2,FALSE),"⚠ Código no existe"))</f>
      </c>
      <c r="F136" s="21"/>
      <c r="G136" s="20"/>
      <c r="H136" s="22"/>
      <c r="I136" s="16">
        <f>IF($D136="","",IFERROR(VLOOKUP($D136,'Catálogo'!$A:$F,6,FALSE),0))</f>
      </c>
      <c r="J136" s="16">
        <f>IF($D136="","",$F136*$I136)</f>
      </c>
      <c r="K136" s="16">
        <f>IF($D136="","",'Config'!$B$11+'Config'!$B$12)</f>
      </c>
      <c r="L136" s="16">
        <f>IF($D136="","",$H136-$J136-$K136)</f>
      </c>
      <c r="M136" s="19">
        <f>IF($D136="","",$D136&amp;"|"&amp;$G136)</f>
      </c>
      <c r="N136" s="18">
        <f>IF($D136="","",IF($H136=0,0,$L136/$H136))</f>
      </c>
      <c r="O136" s="20"/>
    </row>
    <row r="137">
      <c r="A137" s="23"/>
      <c r="B137" s="20"/>
      <c r="C137" s="20"/>
      <c r="D137" s="20"/>
      <c r="E137" s="19">
        <f>IF($D137="","",IFERROR(VLOOKUP($D137,'Catálogo'!$A:$B,2,FALSE),"⚠ Código no existe"))</f>
      </c>
      <c r="F137" s="21"/>
      <c r="G137" s="20"/>
      <c r="H137" s="22"/>
      <c r="I137" s="16">
        <f>IF($D137="","",IFERROR(VLOOKUP($D137,'Catálogo'!$A:$F,6,FALSE),0))</f>
      </c>
      <c r="J137" s="16">
        <f>IF($D137="","",$F137*$I137)</f>
      </c>
      <c r="K137" s="16">
        <f>IF($D137="","",'Config'!$B$11+'Config'!$B$12)</f>
      </c>
      <c r="L137" s="16">
        <f>IF($D137="","",$H137-$J137-$K137)</f>
      </c>
      <c r="M137" s="19">
        <f>IF($D137="","",$D137&amp;"|"&amp;$G137)</f>
      </c>
      <c r="N137" s="18">
        <f>IF($D137="","",IF($H137=0,0,$L137/$H137))</f>
      </c>
      <c r="O137" s="20"/>
    </row>
    <row r="138">
      <c r="A138" s="23"/>
      <c r="B138" s="20"/>
      <c r="C138" s="20"/>
      <c r="D138" s="20"/>
      <c r="E138" s="19">
        <f>IF($D138="","",IFERROR(VLOOKUP($D138,'Catálogo'!$A:$B,2,FALSE),"⚠ Código no existe"))</f>
      </c>
      <c r="F138" s="21"/>
      <c r="G138" s="20"/>
      <c r="H138" s="22"/>
      <c r="I138" s="16">
        <f>IF($D138="","",IFERROR(VLOOKUP($D138,'Catálogo'!$A:$F,6,FALSE),0))</f>
      </c>
      <c r="J138" s="16">
        <f>IF($D138="","",$F138*$I138)</f>
      </c>
      <c r="K138" s="16">
        <f>IF($D138="","",'Config'!$B$11+'Config'!$B$12)</f>
      </c>
      <c r="L138" s="16">
        <f>IF($D138="","",$H138-$J138-$K138)</f>
      </c>
      <c r="M138" s="19">
        <f>IF($D138="","",$D138&amp;"|"&amp;$G138)</f>
      </c>
      <c r="N138" s="18">
        <f>IF($D138="","",IF($H138=0,0,$L138/$H138))</f>
      </c>
      <c r="O138" s="20"/>
    </row>
    <row r="139">
      <c r="A139" s="23"/>
      <c r="B139" s="20"/>
      <c r="C139" s="20"/>
      <c r="D139" s="20"/>
      <c r="E139" s="19">
        <f>IF($D139="","",IFERROR(VLOOKUP($D139,'Catálogo'!$A:$B,2,FALSE),"⚠ Código no existe"))</f>
      </c>
      <c r="F139" s="21"/>
      <c r="G139" s="20"/>
      <c r="H139" s="22"/>
      <c r="I139" s="16">
        <f>IF($D139="","",IFERROR(VLOOKUP($D139,'Catálogo'!$A:$F,6,FALSE),0))</f>
      </c>
      <c r="J139" s="16">
        <f>IF($D139="","",$F139*$I139)</f>
      </c>
      <c r="K139" s="16">
        <f>IF($D139="","",'Config'!$B$11+'Config'!$B$12)</f>
      </c>
      <c r="L139" s="16">
        <f>IF($D139="","",$H139-$J139-$K139)</f>
      </c>
      <c r="M139" s="19">
        <f>IF($D139="","",$D139&amp;"|"&amp;$G139)</f>
      </c>
      <c r="N139" s="18">
        <f>IF($D139="","",IF($H139=0,0,$L139/$H139))</f>
      </c>
      <c r="O139" s="20"/>
    </row>
    <row r="140">
      <c r="A140" s="23"/>
      <c r="B140" s="20"/>
      <c r="C140" s="20"/>
      <c r="D140" s="20"/>
      <c r="E140" s="19">
        <f>IF($D140="","",IFERROR(VLOOKUP($D140,'Catálogo'!$A:$B,2,FALSE),"⚠ Código no existe"))</f>
      </c>
      <c r="F140" s="21"/>
      <c r="G140" s="20"/>
      <c r="H140" s="22"/>
      <c r="I140" s="16">
        <f>IF($D140="","",IFERROR(VLOOKUP($D140,'Catálogo'!$A:$F,6,FALSE),0))</f>
      </c>
      <c r="J140" s="16">
        <f>IF($D140="","",$F140*$I140)</f>
      </c>
      <c r="K140" s="16">
        <f>IF($D140="","",'Config'!$B$11+'Config'!$B$12)</f>
      </c>
      <c r="L140" s="16">
        <f>IF($D140="","",$H140-$J140-$K140)</f>
      </c>
      <c r="M140" s="19">
        <f>IF($D140="","",$D140&amp;"|"&amp;$G140)</f>
      </c>
      <c r="N140" s="18">
        <f>IF($D140="","",IF($H140=0,0,$L140/$H140))</f>
      </c>
      <c r="O140" s="20"/>
    </row>
    <row r="141">
      <c r="A141" s="23"/>
      <c r="B141" s="20"/>
      <c r="C141" s="20"/>
      <c r="D141" s="20"/>
      <c r="E141" s="19">
        <f>IF($D141="","",IFERROR(VLOOKUP($D141,'Catálogo'!$A:$B,2,FALSE),"⚠ Código no existe"))</f>
      </c>
      <c r="F141" s="21"/>
      <c r="G141" s="20"/>
      <c r="H141" s="22"/>
      <c r="I141" s="16">
        <f>IF($D141="","",IFERROR(VLOOKUP($D141,'Catálogo'!$A:$F,6,FALSE),0))</f>
      </c>
      <c r="J141" s="16">
        <f>IF($D141="","",$F141*$I141)</f>
      </c>
      <c r="K141" s="16">
        <f>IF($D141="","",'Config'!$B$11+'Config'!$B$12)</f>
      </c>
      <c r="L141" s="16">
        <f>IF($D141="","",$H141-$J141-$K141)</f>
      </c>
      <c r="M141" s="19">
        <f>IF($D141="","",$D141&amp;"|"&amp;$G141)</f>
      </c>
      <c r="N141" s="18">
        <f>IF($D141="","",IF($H141=0,0,$L141/$H141))</f>
      </c>
      <c r="O141" s="20"/>
    </row>
    <row r="142">
      <c r="A142" s="23"/>
      <c r="B142" s="20"/>
      <c r="C142" s="20"/>
      <c r="D142" s="20"/>
      <c r="E142" s="19">
        <f>IF($D142="","",IFERROR(VLOOKUP($D142,'Catálogo'!$A:$B,2,FALSE),"⚠ Código no existe"))</f>
      </c>
      <c r="F142" s="21"/>
      <c r="G142" s="20"/>
      <c r="H142" s="22"/>
      <c r="I142" s="16">
        <f>IF($D142="","",IFERROR(VLOOKUP($D142,'Catálogo'!$A:$F,6,FALSE),0))</f>
      </c>
      <c r="J142" s="16">
        <f>IF($D142="","",$F142*$I142)</f>
      </c>
      <c r="K142" s="16">
        <f>IF($D142="","",'Config'!$B$11+'Config'!$B$12)</f>
      </c>
      <c r="L142" s="16">
        <f>IF($D142="","",$H142-$J142-$K142)</f>
      </c>
      <c r="M142" s="19">
        <f>IF($D142="","",$D142&amp;"|"&amp;$G142)</f>
      </c>
      <c r="N142" s="18">
        <f>IF($D142="","",IF($H142=0,0,$L142/$H142))</f>
      </c>
      <c r="O142" s="20"/>
    </row>
    <row r="143">
      <c r="A143" s="23"/>
      <c r="B143" s="20"/>
      <c r="C143" s="20"/>
      <c r="D143" s="20"/>
      <c r="E143" s="19">
        <f>IF($D143="","",IFERROR(VLOOKUP($D143,'Catálogo'!$A:$B,2,FALSE),"⚠ Código no existe"))</f>
      </c>
      <c r="F143" s="21"/>
      <c r="G143" s="20"/>
      <c r="H143" s="22"/>
      <c r="I143" s="16">
        <f>IF($D143="","",IFERROR(VLOOKUP($D143,'Catálogo'!$A:$F,6,FALSE),0))</f>
      </c>
      <c r="J143" s="16">
        <f>IF($D143="","",$F143*$I143)</f>
      </c>
      <c r="K143" s="16">
        <f>IF($D143="","",'Config'!$B$11+'Config'!$B$12)</f>
      </c>
      <c r="L143" s="16">
        <f>IF($D143="","",$H143-$J143-$K143)</f>
      </c>
      <c r="M143" s="19">
        <f>IF($D143="","",$D143&amp;"|"&amp;$G143)</f>
      </c>
      <c r="N143" s="18">
        <f>IF($D143="","",IF($H143=0,0,$L143/$H143))</f>
      </c>
      <c r="O143" s="20"/>
    </row>
    <row r="144">
      <c r="A144" s="23"/>
      <c r="B144" s="20"/>
      <c r="C144" s="20"/>
      <c r="D144" s="20"/>
      <c r="E144" s="19">
        <f>IF($D144="","",IFERROR(VLOOKUP($D144,'Catálogo'!$A:$B,2,FALSE),"⚠ Código no existe"))</f>
      </c>
      <c r="F144" s="21"/>
      <c r="G144" s="20"/>
      <c r="H144" s="22"/>
      <c r="I144" s="16">
        <f>IF($D144="","",IFERROR(VLOOKUP($D144,'Catálogo'!$A:$F,6,FALSE),0))</f>
      </c>
      <c r="J144" s="16">
        <f>IF($D144="","",$F144*$I144)</f>
      </c>
      <c r="K144" s="16">
        <f>IF($D144="","",'Config'!$B$11+'Config'!$B$12)</f>
      </c>
      <c r="L144" s="16">
        <f>IF($D144="","",$H144-$J144-$K144)</f>
      </c>
      <c r="M144" s="19">
        <f>IF($D144="","",$D144&amp;"|"&amp;$G144)</f>
      </c>
      <c r="N144" s="18">
        <f>IF($D144="","",IF($H144=0,0,$L144/$H144))</f>
      </c>
      <c r="O144" s="20"/>
    </row>
    <row r="145">
      <c r="A145" s="23"/>
      <c r="B145" s="20"/>
      <c r="C145" s="20"/>
      <c r="D145" s="20"/>
      <c r="E145" s="19">
        <f>IF($D145="","",IFERROR(VLOOKUP($D145,'Catálogo'!$A:$B,2,FALSE),"⚠ Código no existe"))</f>
      </c>
      <c r="F145" s="21"/>
      <c r="G145" s="20"/>
      <c r="H145" s="22"/>
      <c r="I145" s="16">
        <f>IF($D145="","",IFERROR(VLOOKUP($D145,'Catálogo'!$A:$F,6,FALSE),0))</f>
      </c>
      <c r="J145" s="16">
        <f>IF($D145="","",$F145*$I145)</f>
      </c>
      <c r="K145" s="16">
        <f>IF($D145="","",'Config'!$B$11+'Config'!$B$12)</f>
      </c>
      <c r="L145" s="16">
        <f>IF($D145="","",$H145-$J145-$K145)</f>
      </c>
      <c r="M145" s="19">
        <f>IF($D145="","",$D145&amp;"|"&amp;$G145)</f>
      </c>
      <c r="N145" s="18">
        <f>IF($D145="","",IF($H145=0,0,$L145/$H145))</f>
      </c>
      <c r="O145" s="20"/>
    </row>
    <row r="146">
      <c r="A146" s="23"/>
      <c r="B146" s="20"/>
      <c r="C146" s="20"/>
      <c r="D146" s="20"/>
      <c r="E146" s="19">
        <f>IF($D146="","",IFERROR(VLOOKUP($D146,'Catálogo'!$A:$B,2,FALSE),"⚠ Código no existe"))</f>
      </c>
      <c r="F146" s="21"/>
      <c r="G146" s="20"/>
      <c r="H146" s="22"/>
      <c r="I146" s="16">
        <f>IF($D146="","",IFERROR(VLOOKUP($D146,'Catálogo'!$A:$F,6,FALSE),0))</f>
      </c>
      <c r="J146" s="16">
        <f>IF($D146="","",$F146*$I146)</f>
      </c>
      <c r="K146" s="16">
        <f>IF($D146="","",'Config'!$B$11+'Config'!$B$12)</f>
      </c>
      <c r="L146" s="16">
        <f>IF($D146="","",$H146-$J146-$K146)</f>
      </c>
      <c r="M146" s="19">
        <f>IF($D146="","",$D146&amp;"|"&amp;$G146)</f>
      </c>
      <c r="N146" s="18">
        <f>IF($D146="","",IF($H146=0,0,$L146/$H146))</f>
      </c>
      <c r="O146" s="20"/>
    </row>
    <row r="147">
      <c r="A147" s="23"/>
      <c r="B147" s="20"/>
      <c r="C147" s="20"/>
      <c r="D147" s="20"/>
      <c r="E147" s="19">
        <f>IF($D147="","",IFERROR(VLOOKUP($D147,'Catálogo'!$A:$B,2,FALSE),"⚠ Código no existe"))</f>
      </c>
      <c r="F147" s="21"/>
      <c r="G147" s="20"/>
      <c r="H147" s="22"/>
      <c r="I147" s="16">
        <f>IF($D147="","",IFERROR(VLOOKUP($D147,'Catálogo'!$A:$F,6,FALSE),0))</f>
      </c>
      <c r="J147" s="16">
        <f>IF($D147="","",$F147*$I147)</f>
      </c>
      <c r="K147" s="16">
        <f>IF($D147="","",'Config'!$B$11+'Config'!$B$12)</f>
      </c>
      <c r="L147" s="16">
        <f>IF($D147="","",$H147-$J147-$K147)</f>
      </c>
      <c r="M147" s="19">
        <f>IF($D147="","",$D147&amp;"|"&amp;$G147)</f>
      </c>
      <c r="N147" s="18">
        <f>IF($D147="","",IF($H147=0,0,$L147/$H147))</f>
      </c>
      <c r="O147" s="20"/>
    </row>
    <row r="148">
      <c r="A148" s="23"/>
      <c r="B148" s="20"/>
      <c r="C148" s="20"/>
      <c r="D148" s="20"/>
      <c r="E148" s="19">
        <f>IF($D148="","",IFERROR(VLOOKUP($D148,'Catálogo'!$A:$B,2,FALSE),"⚠ Código no existe"))</f>
      </c>
      <c r="F148" s="21"/>
      <c r="G148" s="20"/>
      <c r="H148" s="22"/>
      <c r="I148" s="16">
        <f>IF($D148="","",IFERROR(VLOOKUP($D148,'Catálogo'!$A:$F,6,FALSE),0))</f>
      </c>
      <c r="J148" s="16">
        <f>IF($D148="","",$F148*$I148)</f>
      </c>
      <c r="K148" s="16">
        <f>IF($D148="","",'Config'!$B$11+'Config'!$B$12)</f>
      </c>
      <c r="L148" s="16">
        <f>IF($D148="","",$H148-$J148-$K148)</f>
      </c>
      <c r="M148" s="19">
        <f>IF($D148="","",$D148&amp;"|"&amp;$G148)</f>
      </c>
      <c r="N148" s="18">
        <f>IF($D148="","",IF($H148=0,0,$L148/$H148))</f>
      </c>
      <c r="O148" s="20"/>
    </row>
    <row r="149">
      <c r="A149" s="23"/>
      <c r="B149" s="20"/>
      <c r="C149" s="20"/>
      <c r="D149" s="20"/>
      <c r="E149" s="19">
        <f>IF($D149="","",IFERROR(VLOOKUP($D149,'Catálogo'!$A:$B,2,FALSE),"⚠ Código no existe"))</f>
      </c>
      <c r="F149" s="21"/>
      <c r="G149" s="20"/>
      <c r="H149" s="22"/>
      <c r="I149" s="16">
        <f>IF($D149="","",IFERROR(VLOOKUP($D149,'Catálogo'!$A:$F,6,FALSE),0))</f>
      </c>
      <c r="J149" s="16">
        <f>IF($D149="","",$F149*$I149)</f>
      </c>
      <c r="K149" s="16">
        <f>IF($D149="","",'Config'!$B$11+'Config'!$B$12)</f>
      </c>
      <c r="L149" s="16">
        <f>IF($D149="","",$H149-$J149-$K149)</f>
      </c>
      <c r="M149" s="19">
        <f>IF($D149="","",$D149&amp;"|"&amp;$G149)</f>
      </c>
      <c r="N149" s="18">
        <f>IF($D149="","",IF($H149=0,0,$L149/$H149))</f>
      </c>
      <c r="O149" s="20"/>
    </row>
    <row r="150">
      <c r="A150" s="23"/>
      <c r="B150" s="20"/>
      <c r="C150" s="20"/>
      <c r="D150" s="20"/>
      <c r="E150" s="19">
        <f>IF($D150="","",IFERROR(VLOOKUP($D150,'Catálogo'!$A:$B,2,FALSE),"⚠ Código no existe"))</f>
      </c>
      <c r="F150" s="21"/>
      <c r="G150" s="20"/>
      <c r="H150" s="22"/>
      <c r="I150" s="16">
        <f>IF($D150="","",IFERROR(VLOOKUP($D150,'Catálogo'!$A:$F,6,FALSE),0))</f>
      </c>
      <c r="J150" s="16">
        <f>IF($D150="","",$F150*$I150)</f>
      </c>
      <c r="K150" s="16">
        <f>IF($D150="","",'Config'!$B$11+'Config'!$B$12)</f>
      </c>
      <c r="L150" s="16">
        <f>IF($D150="","",$H150-$J150-$K150)</f>
      </c>
      <c r="M150" s="19">
        <f>IF($D150="","",$D150&amp;"|"&amp;$G150)</f>
      </c>
      <c r="N150" s="18">
        <f>IF($D150="","",IF($H150=0,0,$L150/$H150))</f>
      </c>
      <c r="O150" s="20"/>
    </row>
    <row r="151">
      <c r="A151" s="23"/>
      <c r="B151" s="20"/>
      <c r="C151" s="20"/>
      <c r="D151" s="20"/>
      <c r="E151" s="19">
        <f>IF($D151="","",IFERROR(VLOOKUP($D151,'Catálogo'!$A:$B,2,FALSE),"⚠ Código no existe"))</f>
      </c>
      <c r="F151" s="21"/>
      <c r="G151" s="20"/>
      <c r="H151" s="22"/>
      <c r="I151" s="16">
        <f>IF($D151="","",IFERROR(VLOOKUP($D151,'Catálogo'!$A:$F,6,FALSE),0))</f>
      </c>
      <c r="J151" s="16">
        <f>IF($D151="","",$F151*$I151)</f>
      </c>
      <c r="K151" s="16">
        <f>IF($D151="","",'Config'!$B$11+'Config'!$B$12)</f>
      </c>
      <c r="L151" s="16">
        <f>IF($D151="","",$H151-$J151-$K151)</f>
      </c>
      <c r="M151" s="19">
        <f>IF($D151="","",$D151&amp;"|"&amp;$G151)</f>
      </c>
      <c r="N151" s="18">
        <f>IF($D151="","",IF($H151=0,0,$L151/$H151))</f>
      </c>
      <c r="O151" s="20"/>
    </row>
    <row r="152">
      <c r="A152" s="23"/>
      <c r="B152" s="20"/>
      <c r="C152" s="20"/>
      <c r="D152" s="20"/>
      <c r="E152" s="19">
        <f>IF($D152="","",IFERROR(VLOOKUP($D152,'Catálogo'!$A:$B,2,FALSE),"⚠ Código no existe"))</f>
      </c>
      <c r="F152" s="21"/>
      <c r="G152" s="20"/>
      <c r="H152" s="22"/>
      <c r="I152" s="16">
        <f>IF($D152="","",IFERROR(VLOOKUP($D152,'Catálogo'!$A:$F,6,FALSE),0))</f>
      </c>
      <c r="J152" s="16">
        <f>IF($D152="","",$F152*$I152)</f>
      </c>
      <c r="K152" s="16">
        <f>IF($D152="","",'Config'!$B$11+'Config'!$B$12)</f>
      </c>
      <c r="L152" s="16">
        <f>IF($D152="","",$H152-$J152-$K152)</f>
      </c>
      <c r="M152" s="19">
        <f>IF($D152="","",$D152&amp;"|"&amp;$G152)</f>
      </c>
      <c r="N152" s="18">
        <f>IF($D152="","",IF($H152=0,0,$L152/$H152))</f>
      </c>
      <c r="O152" s="20"/>
    </row>
    <row r="153">
      <c r="A153" s="23"/>
      <c r="B153" s="20"/>
      <c r="C153" s="20"/>
      <c r="D153" s="20"/>
      <c r="E153" s="19">
        <f>IF($D153="","",IFERROR(VLOOKUP($D153,'Catálogo'!$A:$B,2,FALSE),"⚠ Código no existe"))</f>
      </c>
      <c r="F153" s="21"/>
      <c r="G153" s="20"/>
      <c r="H153" s="22"/>
      <c r="I153" s="16">
        <f>IF($D153="","",IFERROR(VLOOKUP($D153,'Catálogo'!$A:$F,6,FALSE),0))</f>
      </c>
      <c r="J153" s="16">
        <f>IF($D153="","",$F153*$I153)</f>
      </c>
      <c r="K153" s="16">
        <f>IF($D153="","",'Config'!$B$11+'Config'!$B$12)</f>
      </c>
      <c r="L153" s="16">
        <f>IF($D153="","",$H153-$J153-$K153)</f>
      </c>
      <c r="M153" s="19">
        <f>IF($D153="","",$D153&amp;"|"&amp;$G153)</f>
      </c>
      <c r="N153" s="18">
        <f>IF($D153="","",IF($H153=0,0,$L153/$H153))</f>
      </c>
      <c r="O153" s="20"/>
    </row>
    <row r="154">
      <c r="A154" s="23"/>
      <c r="B154" s="20"/>
      <c r="C154" s="20"/>
      <c r="D154" s="20"/>
      <c r="E154" s="19">
        <f>IF($D154="","",IFERROR(VLOOKUP($D154,'Catálogo'!$A:$B,2,FALSE),"⚠ Código no existe"))</f>
      </c>
      <c r="F154" s="21"/>
      <c r="G154" s="20"/>
      <c r="H154" s="22"/>
      <c r="I154" s="16">
        <f>IF($D154="","",IFERROR(VLOOKUP($D154,'Catálogo'!$A:$F,6,FALSE),0))</f>
      </c>
      <c r="J154" s="16">
        <f>IF($D154="","",$F154*$I154)</f>
      </c>
      <c r="K154" s="16">
        <f>IF($D154="","",'Config'!$B$11+'Config'!$B$12)</f>
      </c>
      <c r="L154" s="16">
        <f>IF($D154="","",$H154-$J154-$K154)</f>
      </c>
      <c r="M154" s="19">
        <f>IF($D154="","",$D154&amp;"|"&amp;$G154)</f>
      </c>
      <c r="N154" s="18">
        <f>IF($D154="","",IF($H154=0,0,$L154/$H154))</f>
      </c>
      <c r="O154" s="20"/>
    </row>
    <row r="155">
      <c r="A155" s="23"/>
      <c r="B155" s="20"/>
      <c r="C155" s="20"/>
      <c r="D155" s="20"/>
      <c r="E155" s="19">
        <f>IF($D155="","",IFERROR(VLOOKUP($D155,'Catálogo'!$A:$B,2,FALSE),"⚠ Código no existe"))</f>
      </c>
      <c r="F155" s="21"/>
      <c r="G155" s="20"/>
      <c r="H155" s="22"/>
      <c r="I155" s="16">
        <f>IF($D155="","",IFERROR(VLOOKUP($D155,'Catálogo'!$A:$F,6,FALSE),0))</f>
      </c>
      <c r="J155" s="16">
        <f>IF($D155="","",$F155*$I155)</f>
      </c>
      <c r="K155" s="16">
        <f>IF($D155="","",'Config'!$B$11+'Config'!$B$12)</f>
      </c>
      <c r="L155" s="16">
        <f>IF($D155="","",$H155-$J155-$K155)</f>
      </c>
      <c r="M155" s="19">
        <f>IF($D155="","",$D155&amp;"|"&amp;$G155)</f>
      </c>
      <c r="N155" s="18">
        <f>IF($D155="","",IF($H155=0,0,$L155/$H155))</f>
      </c>
      <c r="O155" s="20"/>
    </row>
    <row r="156">
      <c r="A156" s="23"/>
      <c r="B156" s="20"/>
      <c r="C156" s="20"/>
      <c r="D156" s="20"/>
      <c r="E156" s="19">
        <f>IF($D156="","",IFERROR(VLOOKUP($D156,'Catálogo'!$A:$B,2,FALSE),"⚠ Código no existe"))</f>
      </c>
      <c r="F156" s="21"/>
      <c r="G156" s="20"/>
      <c r="H156" s="22"/>
      <c r="I156" s="16">
        <f>IF($D156="","",IFERROR(VLOOKUP($D156,'Catálogo'!$A:$F,6,FALSE),0))</f>
      </c>
      <c r="J156" s="16">
        <f>IF($D156="","",$F156*$I156)</f>
      </c>
      <c r="K156" s="16">
        <f>IF($D156="","",'Config'!$B$11+'Config'!$B$12)</f>
      </c>
      <c r="L156" s="16">
        <f>IF($D156="","",$H156-$J156-$K156)</f>
      </c>
      <c r="M156" s="19">
        <f>IF($D156="","",$D156&amp;"|"&amp;$G156)</f>
      </c>
      <c r="N156" s="18">
        <f>IF($D156="","",IF($H156=0,0,$L156/$H156))</f>
      </c>
      <c r="O156" s="20"/>
    </row>
    <row r="157">
      <c r="A157" s="23"/>
      <c r="B157" s="20"/>
      <c r="C157" s="20"/>
      <c r="D157" s="20"/>
      <c r="E157" s="19">
        <f>IF($D157="","",IFERROR(VLOOKUP($D157,'Catálogo'!$A:$B,2,FALSE),"⚠ Código no existe"))</f>
      </c>
      <c r="F157" s="21"/>
      <c r="G157" s="20"/>
      <c r="H157" s="22"/>
      <c r="I157" s="16">
        <f>IF($D157="","",IFERROR(VLOOKUP($D157,'Catálogo'!$A:$F,6,FALSE),0))</f>
      </c>
      <c r="J157" s="16">
        <f>IF($D157="","",$F157*$I157)</f>
      </c>
      <c r="K157" s="16">
        <f>IF($D157="","",'Config'!$B$11+'Config'!$B$12)</f>
      </c>
      <c r="L157" s="16">
        <f>IF($D157="","",$H157-$J157-$K157)</f>
      </c>
      <c r="M157" s="19">
        <f>IF($D157="","",$D157&amp;"|"&amp;$G157)</f>
      </c>
      <c r="N157" s="18">
        <f>IF($D157="","",IF($H157=0,0,$L157/$H157))</f>
      </c>
      <c r="O157" s="20"/>
    </row>
    <row r="158">
      <c r="A158" s="23"/>
      <c r="B158" s="20"/>
      <c r="C158" s="20"/>
      <c r="D158" s="20"/>
      <c r="E158" s="19">
        <f>IF($D158="","",IFERROR(VLOOKUP($D158,'Catálogo'!$A:$B,2,FALSE),"⚠ Código no existe"))</f>
      </c>
      <c r="F158" s="21"/>
      <c r="G158" s="20"/>
      <c r="H158" s="22"/>
      <c r="I158" s="16">
        <f>IF($D158="","",IFERROR(VLOOKUP($D158,'Catálogo'!$A:$F,6,FALSE),0))</f>
      </c>
      <c r="J158" s="16">
        <f>IF($D158="","",$F158*$I158)</f>
      </c>
      <c r="K158" s="16">
        <f>IF($D158="","",'Config'!$B$11+'Config'!$B$12)</f>
      </c>
      <c r="L158" s="16">
        <f>IF($D158="","",$H158-$J158-$K158)</f>
      </c>
      <c r="M158" s="19">
        <f>IF($D158="","",$D158&amp;"|"&amp;$G158)</f>
      </c>
      <c r="N158" s="18">
        <f>IF($D158="","",IF($H158=0,0,$L158/$H158))</f>
      </c>
      <c r="O158" s="20"/>
    </row>
    <row r="159">
      <c r="A159" s="23"/>
      <c r="B159" s="20"/>
      <c r="C159" s="20"/>
      <c r="D159" s="20"/>
      <c r="E159" s="19">
        <f>IF($D159="","",IFERROR(VLOOKUP($D159,'Catálogo'!$A:$B,2,FALSE),"⚠ Código no existe"))</f>
      </c>
      <c r="F159" s="21"/>
      <c r="G159" s="20"/>
      <c r="H159" s="22"/>
      <c r="I159" s="16">
        <f>IF($D159="","",IFERROR(VLOOKUP($D159,'Catálogo'!$A:$F,6,FALSE),0))</f>
      </c>
      <c r="J159" s="16">
        <f>IF($D159="","",$F159*$I159)</f>
      </c>
      <c r="K159" s="16">
        <f>IF($D159="","",'Config'!$B$11+'Config'!$B$12)</f>
      </c>
      <c r="L159" s="16">
        <f>IF($D159="","",$H159-$J159-$K159)</f>
      </c>
      <c r="M159" s="19">
        <f>IF($D159="","",$D159&amp;"|"&amp;$G159)</f>
      </c>
      <c r="N159" s="18">
        <f>IF($D159="","",IF($H159=0,0,$L159/$H159))</f>
      </c>
      <c r="O159" s="20"/>
    </row>
    <row r="160">
      <c r="A160" s="23"/>
      <c r="B160" s="20"/>
      <c r="C160" s="20"/>
      <c r="D160" s="20"/>
      <c r="E160" s="19">
        <f>IF($D160="","",IFERROR(VLOOKUP($D160,'Catálogo'!$A:$B,2,FALSE),"⚠ Código no existe"))</f>
      </c>
      <c r="F160" s="21"/>
      <c r="G160" s="20"/>
      <c r="H160" s="22"/>
      <c r="I160" s="16">
        <f>IF($D160="","",IFERROR(VLOOKUP($D160,'Catálogo'!$A:$F,6,FALSE),0))</f>
      </c>
      <c r="J160" s="16">
        <f>IF($D160="","",$F160*$I160)</f>
      </c>
      <c r="K160" s="16">
        <f>IF($D160="","",'Config'!$B$11+'Config'!$B$12)</f>
      </c>
      <c r="L160" s="16">
        <f>IF($D160="","",$H160-$J160-$K160)</f>
      </c>
      <c r="M160" s="19">
        <f>IF($D160="","",$D160&amp;"|"&amp;$G160)</f>
      </c>
      <c r="N160" s="18">
        <f>IF($D160="","",IF($H160=0,0,$L160/$H160))</f>
      </c>
      <c r="O160" s="20"/>
    </row>
    <row r="161">
      <c r="A161" s="23"/>
      <c r="B161" s="20"/>
      <c r="C161" s="20"/>
      <c r="D161" s="20"/>
      <c r="E161" s="19">
        <f>IF($D161="","",IFERROR(VLOOKUP($D161,'Catálogo'!$A:$B,2,FALSE),"⚠ Código no existe"))</f>
      </c>
      <c r="F161" s="21"/>
      <c r="G161" s="20"/>
      <c r="H161" s="22"/>
      <c r="I161" s="16">
        <f>IF($D161="","",IFERROR(VLOOKUP($D161,'Catálogo'!$A:$F,6,FALSE),0))</f>
      </c>
      <c r="J161" s="16">
        <f>IF($D161="","",$F161*$I161)</f>
      </c>
      <c r="K161" s="16">
        <f>IF($D161="","",'Config'!$B$11+'Config'!$B$12)</f>
      </c>
      <c r="L161" s="16">
        <f>IF($D161="","",$H161-$J161-$K161)</f>
      </c>
      <c r="M161" s="19">
        <f>IF($D161="","",$D161&amp;"|"&amp;$G161)</f>
      </c>
      <c r="N161" s="18">
        <f>IF($D161="","",IF($H161=0,0,$L161/$H161))</f>
      </c>
      <c r="O161" s="20"/>
    </row>
    <row r="162">
      <c r="A162" s="23"/>
      <c r="B162" s="20"/>
      <c r="C162" s="20"/>
      <c r="D162" s="20"/>
      <c r="E162" s="19">
        <f>IF($D162="","",IFERROR(VLOOKUP($D162,'Catálogo'!$A:$B,2,FALSE),"⚠ Código no existe"))</f>
      </c>
      <c r="F162" s="21"/>
      <c r="G162" s="20"/>
      <c r="H162" s="22"/>
      <c r="I162" s="16">
        <f>IF($D162="","",IFERROR(VLOOKUP($D162,'Catálogo'!$A:$F,6,FALSE),0))</f>
      </c>
      <c r="J162" s="16">
        <f>IF($D162="","",$F162*$I162)</f>
      </c>
      <c r="K162" s="16">
        <f>IF($D162="","",'Config'!$B$11+'Config'!$B$12)</f>
      </c>
      <c r="L162" s="16">
        <f>IF($D162="","",$H162-$J162-$K162)</f>
      </c>
      <c r="M162" s="19">
        <f>IF($D162="","",$D162&amp;"|"&amp;$G162)</f>
      </c>
      <c r="N162" s="18">
        <f>IF($D162="","",IF($H162=0,0,$L162/$H162))</f>
      </c>
      <c r="O162" s="20"/>
    </row>
    <row r="163">
      <c r="A163" s="23"/>
      <c r="B163" s="20"/>
      <c r="C163" s="20"/>
      <c r="D163" s="20"/>
      <c r="E163" s="19">
        <f>IF($D163="","",IFERROR(VLOOKUP($D163,'Catálogo'!$A:$B,2,FALSE),"⚠ Código no existe"))</f>
      </c>
      <c r="F163" s="21"/>
      <c r="G163" s="20"/>
      <c r="H163" s="22"/>
      <c r="I163" s="16">
        <f>IF($D163="","",IFERROR(VLOOKUP($D163,'Catálogo'!$A:$F,6,FALSE),0))</f>
      </c>
      <c r="J163" s="16">
        <f>IF($D163="","",$F163*$I163)</f>
      </c>
      <c r="K163" s="16">
        <f>IF($D163="","",'Config'!$B$11+'Config'!$B$12)</f>
      </c>
      <c r="L163" s="16">
        <f>IF($D163="","",$H163-$J163-$K163)</f>
      </c>
      <c r="M163" s="19">
        <f>IF($D163="","",$D163&amp;"|"&amp;$G163)</f>
      </c>
      <c r="N163" s="18">
        <f>IF($D163="","",IF($H163=0,0,$L163/$H163))</f>
      </c>
      <c r="O163" s="20"/>
    </row>
    <row r="164">
      <c r="A164" s="23"/>
      <c r="B164" s="20"/>
      <c r="C164" s="20"/>
      <c r="D164" s="20"/>
      <c r="E164" s="19">
        <f>IF($D164="","",IFERROR(VLOOKUP($D164,'Catálogo'!$A:$B,2,FALSE),"⚠ Código no existe"))</f>
      </c>
      <c r="F164" s="21"/>
      <c r="G164" s="20"/>
      <c r="H164" s="22"/>
      <c r="I164" s="16">
        <f>IF($D164="","",IFERROR(VLOOKUP($D164,'Catálogo'!$A:$F,6,FALSE),0))</f>
      </c>
      <c r="J164" s="16">
        <f>IF($D164="","",$F164*$I164)</f>
      </c>
      <c r="K164" s="16">
        <f>IF($D164="","",'Config'!$B$11+'Config'!$B$12)</f>
      </c>
      <c r="L164" s="16">
        <f>IF($D164="","",$H164-$J164-$K164)</f>
      </c>
      <c r="M164" s="19">
        <f>IF($D164="","",$D164&amp;"|"&amp;$G164)</f>
      </c>
      <c r="N164" s="18">
        <f>IF($D164="","",IF($H164=0,0,$L164/$H164))</f>
      </c>
      <c r="O164" s="20"/>
    </row>
    <row r="165">
      <c r="A165" s="23"/>
      <c r="B165" s="20"/>
      <c r="C165" s="20"/>
      <c r="D165" s="20"/>
      <c r="E165" s="19">
        <f>IF($D165="","",IFERROR(VLOOKUP($D165,'Catálogo'!$A:$B,2,FALSE),"⚠ Código no existe"))</f>
      </c>
      <c r="F165" s="21"/>
      <c r="G165" s="20"/>
      <c r="H165" s="22"/>
      <c r="I165" s="16">
        <f>IF($D165="","",IFERROR(VLOOKUP($D165,'Catálogo'!$A:$F,6,FALSE),0))</f>
      </c>
      <c r="J165" s="16">
        <f>IF($D165="","",$F165*$I165)</f>
      </c>
      <c r="K165" s="16">
        <f>IF($D165="","",'Config'!$B$11+'Config'!$B$12)</f>
      </c>
      <c r="L165" s="16">
        <f>IF($D165="","",$H165-$J165-$K165)</f>
      </c>
      <c r="M165" s="19">
        <f>IF($D165="","",$D165&amp;"|"&amp;$G165)</f>
      </c>
      <c r="N165" s="18">
        <f>IF($D165="","",IF($H165=0,0,$L165/$H165))</f>
      </c>
      <c r="O165" s="20"/>
    </row>
    <row r="166">
      <c r="A166" s="23"/>
      <c r="B166" s="20"/>
      <c r="C166" s="20"/>
      <c r="D166" s="20"/>
      <c r="E166" s="19">
        <f>IF($D166="","",IFERROR(VLOOKUP($D166,'Catálogo'!$A:$B,2,FALSE),"⚠ Código no existe"))</f>
      </c>
      <c r="F166" s="21"/>
      <c r="G166" s="20"/>
      <c r="H166" s="22"/>
      <c r="I166" s="16">
        <f>IF($D166="","",IFERROR(VLOOKUP($D166,'Catálogo'!$A:$F,6,FALSE),0))</f>
      </c>
      <c r="J166" s="16">
        <f>IF($D166="","",$F166*$I166)</f>
      </c>
      <c r="K166" s="16">
        <f>IF($D166="","",'Config'!$B$11+'Config'!$B$12)</f>
      </c>
      <c r="L166" s="16">
        <f>IF($D166="","",$H166-$J166-$K166)</f>
      </c>
      <c r="M166" s="19">
        <f>IF($D166="","",$D166&amp;"|"&amp;$G166)</f>
      </c>
      <c r="N166" s="18">
        <f>IF($D166="","",IF($H166=0,0,$L166/$H166))</f>
      </c>
      <c r="O166" s="20"/>
    </row>
    <row r="167">
      <c r="A167" s="23"/>
      <c r="B167" s="20"/>
      <c r="C167" s="20"/>
      <c r="D167" s="20"/>
      <c r="E167" s="19">
        <f>IF($D167="","",IFERROR(VLOOKUP($D167,'Catálogo'!$A:$B,2,FALSE),"⚠ Código no existe"))</f>
      </c>
      <c r="F167" s="21"/>
      <c r="G167" s="20"/>
      <c r="H167" s="22"/>
      <c r="I167" s="16">
        <f>IF($D167="","",IFERROR(VLOOKUP($D167,'Catálogo'!$A:$F,6,FALSE),0))</f>
      </c>
      <c r="J167" s="16">
        <f>IF($D167="","",$F167*$I167)</f>
      </c>
      <c r="K167" s="16">
        <f>IF($D167="","",'Config'!$B$11+'Config'!$B$12)</f>
      </c>
      <c r="L167" s="16">
        <f>IF($D167="","",$H167-$J167-$K167)</f>
      </c>
      <c r="M167" s="19">
        <f>IF($D167="","",$D167&amp;"|"&amp;$G167)</f>
      </c>
      <c r="N167" s="18">
        <f>IF($D167="","",IF($H167=0,0,$L167/$H167))</f>
      </c>
      <c r="O167" s="20"/>
    </row>
    <row r="168">
      <c r="A168" s="23"/>
      <c r="B168" s="20"/>
      <c r="C168" s="20"/>
      <c r="D168" s="20"/>
      <c r="E168" s="19">
        <f>IF($D168="","",IFERROR(VLOOKUP($D168,'Catálogo'!$A:$B,2,FALSE),"⚠ Código no existe"))</f>
      </c>
      <c r="F168" s="21"/>
      <c r="G168" s="20"/>
      <c r="H168" s="22"/>
      <c r="I168" s="16">
        <f>IF($D168="","",IFERROR(VLOOKUP($D168,'Catálogo'!$A:$F,6,FALSE),0))</f>
      </c>
      <c r="J168" s="16">
        <f>IF($D168="","",$F168*$I168)</f>
      </c>
      <c r="K168" s="16">
        <f>IF($D168="","",'Config'!$B$11+'Config'!$B$12)</f>
      </c>
      <c r="L168" s="16">
        <f>IF($D168="","",$H168-$J168-$K168)</f>
      </c>
      <c r="M168" s="19">
        <f>IF($D168="","",$D168&amp;"|"&amp;$G168)</f>
      </c>
      <c r="N168" s="18">
        <f>IF($D168="","",IF($H168=0,0,$L168/$H168))</f>
      </c>
      <c r="O168" s="20"/>
    </row>
    <row r="169">
      <c r="A169" s="23"/>
      <c r="B169" s="20"/>
      <c r="C169" s="20"/>
      <c r="D169" s="20"/>
      <c r="E169" s="19">
        <f>IF($D169="","",IFERROR(VLOOKUP($D169,'Catálogo'!$A:$B,2,FALSE),"⚠ Código no existe"))</f>
      </c>
      <c r="F169" s="21"/>
      <c r="G169" s="20"/>
      <c r="H169" s="22"/>
      <c r="I169" s="16">
        <f>IF($D169="","",IFERROR(VLOOKUP($D169,'Catálogo'!$A:$F,6,FALSE),0))</f>
      </c>
      <c r="J169" s="16">
        <f>IF($D169="","",$F169*$I169)</f>
      </c>
      <c r="K169" s="16">
        <f>IF($D169="","",'Config'!$B$11+'Config'!$B$12)</f>
      </c>
      <c r="L169" s="16">
        <f>IF($D169="","",$H169-$J169-$K169)</f>
      </c>
      <c r="M169" s="19">
        <f>IF($D169="","",$D169&amp;"|"&amp;$G169)</f>
      </c>
      <c r="N169" s="18">
        <f>IF($D169="","",IF($H169=0,0,$L169/$H169))</f>
      </c>
      <c r="O169" s="20"/>
    </row>
    <row r="170">
      <c r="A170" s="23"/>
      <c r="B170" s="20"/>
      <c r="C170" s="20"/>
      <c r="D170" s="20"/>
      <c r="E170" s="19">
        <f>IF($D170="","",IFERROR(VLOOKUP($D170,'Catálogo'!$A:$B,2,FALSE),"⚠ Código no existe"))</f>
      </c>
      <c r="F170" s="21"/>
      <c r="G170" s="20"/>
      <c r="H170" s="22"/>
      <c r="I170" s="16">
        <f>IF($D170="","",IFERROR(VLOOKUP($D170,'Catálogo'!$A:$F,6,FALSE),0))</f>
      </c>
      <c r="J170" s="16">
        <f>IF($D170="","",$F170*$I170)</f>
      </c>
      <c r="K170" s="16">
        <f>IF($D170="","",'Config'!$B$11+'Config'!$B$12)</f>
      </c>
      <c r="L170" s="16">
        <f>IF($D170="","",$H170-$J170-$K170)</f>
      </c>
      <c r="M170" s="19">
        <f>IF($D170="","",$D170&amp;"|"&amp;$G170)</f>
      </c>
      <c r="N170" s="18">
        <f>IF($D170="","",IF($H170=0,0,$L170/$H170))</f>
      </c>
      <c r="O170" s="20"/>
    </row>
    <row r="171">
      <c r="A171" s="23"/>
      <c r="B171" s="20"/>
      <c r="C171" s="20"/>
      <c r="D171" s="20"/>
      <c r="E171" s="19">
        <f>IF($D171="","",IFERROR(VLOOKUP($D171,'Catálogo'!$A:$B,2,FALSE),"⚠ Código no existe"))</f>
      </c>
      <c r="F171" s="21"/>
      <c r="G171" s="20"/>
      <c r="H171" s="22"/>
      <c r="I171" s="16">
        <f>IF($D171="","",IFERROR(VLOOKUP($D171,'Catálogo'!$A:$F,6,FALSE),0))</f>
      </c>
      <c r="J171" s="16">
        <f>IF($D171="","",$F171*$I171)</f>
      </c>
      <c r="K171" s="16">
        <f>IF($D171="","",'Config'!$B$11+'Config'!$B$12)</f>
      </c>
      <c r="L171" s="16">
        <f>IF($D171="","",$H171-$J171-$K171)</f>
      </c>
      <c r="M171" s="19">
        <f>IF($D171="","",$D171&amp;"|"&amp;$G171)</f>
      </c>
      <c r="N171" s="18">
        <f>IF($D171="","",IF($H171=0,0,$L171/$H171))</f>
      </c>
      <c r="O171" s="20"/>
    </row>
    <row r="172">
      <c r="A172" s="23"/>
      <c r="B172" s="20"/>
      <c r="C172" s="20"/>
      <c r="D172" s="20"/>
      <c r="E172" s="19">
        <f>IF($D172="","",IFERROR(VLOOKUP($D172,'Catálogo'!$A:$B,2,FALSE),"⚠ Código no existe"))</f>
      </c>
      <c r="F172" s="21"/>
      <c r="G172" s="20"/>
      <c r="H172" s="22"/>
      <c r="I172" s="16">
        <f>IF($D172="","",IFERROR(VLOOKUP($D172,'Catálogo'!$A:$F,6,FALSE),0))</f>
      </c>
      <c r="J172" s="16">
        <f>IF($D172="","",$F172*$I172)</f>
      </c>
      <c r="K172" s="16">
        <f>IF($D172="","",'Config'!$B$11+'Config'!$B$12)</f>
      </c>
      <c r="L172" s="16">
        <f>IF($D172="","",$H172-$J172-$K172)</f>
      </c>
      <c r="M172" s="19">
        <f>IF($D172="","",$D172&amp;"|"&amp;$G172)</f>
      </c>
      <c r="N172" s="18">
        <f>IF($D172="","",IF($H172=0,0,$L172/$H172))</f>
      </c>
      <c r="O172" s="20"/>
    </row>
    <row r="173">
      <c r="A173" s="23"/>
      <c r="B173" s="20"/>
      <c r="C173" s="20"/>
      <c r="D173" s="20"/>
      <c r="E173" s="19">
        <f>IF($D173="","",IFERROR(VLOOKUP($D173,'Catálogo'!$A:$B,2,FALSE),"⚠ Código no existe"))</f>
      </c>
      <c r="F173" s="21"/>
      <c r="G173" s="20"/>
      <c r="H173" s="22"/>
      <c r="I173" s="16">
        <f>IF($D173="","",IFERROR(VLOOKUP($D173,'Catálogo'!$A:$F,6,FALSE),0))</f>
      </c>
      <c r="J173" s="16">
        <f>IF($D173="","",$F173*$I173)</f>
      </c>
      <c r="K173" s="16">
        <f>IF($D173="","",'Config'!$B$11+'Config'!$B$12)</f>
      </c>
      <c r="L173" s="16">
        <f>IF($D173="","",$H173-$J173-$K173)</f>
      </c>
      <c r="M173" s="19">
        <f>IF($D173="","",$D173&amp;"|"&amp;$G173)</f>
      </c>
      <c r="N173" s="18">
        <f>IF($D173="","",IF($H173=0,0,$L173/$H173))</f>
      </c>
      <c r="O173" s="20"/>
    </row>
    <row r="174">
      <c r="A174" s="23"/>
      <c r="B174" s="20"/>
      <c r="C174" s="20"/>
      <c r="D174" s="20"/>
      <c r="E174" s="19">
        <f>IF($D174="","",IFERROR(VLOOKUP($D174,'Catálogo'!$A:$B,2,FALSE),"⚠ Código no existe"))</f>
      </c>
      <c r="F174" s="21"/>
      <c r="G174" s="20"/>
      <c r="H174" s="22"/>
      <c r="I174" s="16">
        <f>IF($D174="","",IFERROR(VLOOKUP($D174,'Catálogo'!$A:$F,6,FALSE),0))</f>
      </c>
      <c r="J174" s="16">
        <f>IF($D174="","",$F174*$I174)</f>
      </c>
      <c r="K174" s="16">
        <f>IF($D174="","",'Config'!$B$11+'Config'!$B$12)</f>
      </c>
      <c r="L174" s="16">
        <f>IF($D174="","",$H174-$J174-$K174)</f>
      </c>
      <c r="M174" s="19">
        <f>IF($D174="","",$D174&amp;"|"&amp;$G174)</f>
      </c>
      <c r="N174" s="18">
        <f>IF($D174="","",IF($H174=0,0,$L174/$H174))</f>
      </c>
      <c r="O174" s="20"/>
    </row>
    <row r="175">
      <c r="A175" s="23"/>
      <c r="B175" s="20"/>
      <c r="C175" s="20"/>
      <c r="D175" s="20"/>
      <c r="E175" s="19">
        <f>IF($D175="","",IFERROR(VLOOKUP($D175,'Catálogo'!$A:$B,2,FALSE),"⚠ Código no existe"))</f>
      </c>
      <c r="F175" s="21"/>
      <c r="G175" s="20"/>
      <c r="H175" s="22"/>
      <c r="I175" s="16">
        <f>IF($D175="","",IFERROR(VLOOKUP($D175,'Catálogo'!$A:$F,6,FALSE),0))</f>
      </c>
      <c r="J175" s="16">
        <f>IF($D175="","",$F175*$I175)</f>
      </c>
      <c r="K175" s="16">
        <f>IF($D175="","",'Config'!$B$11+'Config'!$B$12)</f>
      </c>
      <c r="L175" s="16">
        <f>IF($D175="","",$H175-$J175-$K175)</f>
      </c>
      <c r="M175" s="19">
        <f>IF($D175="","",$D175&amp;"|"&amp;$G175)</f>
      </c>
      <c r="N175" s="18">
        <f>IF($D175="","",IF($H175=0,0,$L175/$H175))</f>
      </c>
      <c r="O175" s="20"/>
    </row>
    <row r="176">
      <c r="A176" s="23"/>
      <c r="B176" s="20"/>
      <c r="C176" s="20"/>
      <c r="D176" s="20"/>
      <c r="E176" s="19">
        <f>IF($D176="","",IFERROR(VLOOKUP($D176,'Catálogo'!$A:$B,2,FALSE),"⚠ Código no existe"))</f>
      </c>
      <c r="F176" s="21"/>
      <c r="G176" s="20"/>
      <c r="H176" s="22"/>
      <c r="I176" s="16">
        <f>IF($D176="","",IFERROR(VLOOKUP($D176,'Catálogo'!$A:$F,6,FALSE),0))</f>
      </c>
      <c r="J176" s="16">
        <f>IF($D176="","",$F176*$I176)</f>
      </c>
      <c r="K176" s="16">
        <f>IF($D176="","",'Config'!$B$11+'Config'!$B$12)</f>
      </c>
      <c r="L176" s="16">
        <f>IF($D176="","",$H176-$J176-$K176)</f>
      </c>
      <c r="M176" s="19">
        <f>IF($D176="","",$D176&amp;"|"&amp;$G176)</f>
      </c>
      <c r="N176" s="18">
        <f>IF($D176="","",IF($H176=0,0,$L176/$H176))</f>
      </c>
      <c r="O176" s="20"/>
    </row>
    <row r="177">
      <c r="A177" s="23"/>
      <c r="B177" s="20"/>
      <c r="C177" s="20"/>
      <c r="D177" s="20"/>
      <c r="E177" s="19">
        <f>IF($D177="","",IFERROR(VLOOKUP($D177,'Catálogo'!$A:$B,2,FALSE),"⚠ Código no existe"))</f>
      </c>
      <c r="F177" s="21"/>
      <c r="G177" s="20"/>
      <c r="H177" s="22"/>
      <c r="I177" s="16">
        <f>IF($D177="","",IFERROR(VLOOKUP($D177,'Catálogo'!$A:$F,6,FALSE),0))</f>
      </c>
      <c r="J177" s="16">
        <f>IF($D177="","",$F177*$I177)</f>
      </c>
      <c r="K177" s="16">
        <f>IF($D177="","",'Config'!$B$11+'Config'!$B$12)</f>
      </c>
      <c r="L177" s="16">
        <f>IF($D177="","",$H177-$J177-$K177)</f>
      </c>
      <c r="M177" s="19">
        <f>IF($D177="","",$D177&amp;"|"&amp;$G177)</f>
      </c>
      <c r="N177" s="18">
        <f>IF($D177="","",IF($H177=0,0,$L177/$H177))</f>
      </c>
      <c r="O177" s="20"/>
    </row>
    <row r="178">
      <c r="A178" s="23"/>
      <c r="B178" s="20"/>
      <c r="C178" s="20"/>
      <c r="D178" s="20"/>
      <c r="E178" s="19">
        <f>IF($D178="","",IFERROR(VLOOKUP($D178,'Catálogo'!$A:$B,2,FALSE),"⚠ Código no existe"))</f>
      </c>
      <c r="F178" s="21"/>
      <c r="G178" s="20"/>
      <c r="H178" s="22"/>
      <c r="I178" s="16">
        <f>IF($D178="","",IFERROR(VLOOKUP($D178,'Catálogo'!$A:$F,6,FALSE),0))</f>
      </c>
      <c r="J178" s="16">
        <f>IF($D178="","",$F178*$I178)</f>
      </c>
      <c r="K178" s="16">
        <f>IF($D178="","",'Config'!$B$11+'Config'!$B$12)</f>
      </c>
      <c r="L178" s="16">
        <f>IF($D178="","",$H178-$J178-$K178)</f>
      </c>
      <c r="M178" s="19">
        <f>IF($D178="","",$D178&amp;"|"&amp;$G178)</f>
      </c>
      <c r="N178" s="18">
        <f>IF($D178="","",IF($H178=0,0,$L178/$H178))</f>
      </c>
      <c r="O178" s="20"/>
    </row>
    <row r="179">
      <c r="A179" s="23"/>
      <c r="B179" s="20"/>
      <c r="C179" s="20"/>
      <c r="D179" s="20"/>
      <c r="E179" s="19">
        <f>IF($D179="","",IFERROR(VLOOKUP($D179,'Catálogo'!$A:$B,2,FALSE),"⚠ Código no existe"))</f>
      </c>
      <c r="F179" s="21"/>
      <c r="G179" s="20"/>
      <c r="H179" s="22"/>
      <c r="I179" s="16">
        <f>IF($D179="","",IFERROR(VLOOKUP($D179,'Catálogo'!$A:$F,6,FALSE),0))</f>
      </c>
      <c r="J179" s="16">
        <f>IF($D179="","",$F179*$I179)</f>
      </c>
      <c r="K179" s="16">
        <f>IF($D179="","",'Config'!$B$11+'Config'!$B$12)</f>
      </c>
      <c r="L179" s="16">
        <f>IF($D179="","",$H179-$J179-$K179)</f>
      </c>
      <c r="M179" s="19">
        <f>IF($D179="","",$D179&amp;"|"&amp;$G179)</f>
      </c>
      <c r="N179" s="18">
        <f>IF($D179="","",IF($H179=0,0,$L179/$H179))</f>
      </c>
      <c r="O179" s="20"/>
    </row>
    <row r="180">
      <c r="A180" s="23"/>
      <c r="B180" s="20"/>
      <c r="C180" s="20"/>
      <c r="D180" s="20"/>
      <c r="E180" s="19">
        <f>IF($D180="","",IFERROR(VLOOKUP($D180,'Catálogo'!$A:$B,2,FALSE),"⚠ Código no existe"))</f>
      </c>
      <c r="F180" s="21"/>
      <c r="G180" s="20"/>
      <c r="H180" s="22"/>
      <c r="I180" s="16">
        <f>IF($D180="","",IFERROR(VLOOKUP($D180,'Catálogo'!$A:$F,6,FALSE),0))</f>
      </c>
      <c r="J180" s="16">
        <f>IF($D180="","",$F180*$I180)</f>
      </c>
      <c r="K180" s="16">
        <f>IF($D180="","",'Config'!$B$11+'Config'!$B$12)</f>
      </c>
      <c r="L180" s="16">
        <f>IF($D180="","",$H180-$J180-$K180)</f>
      </c>
      <c r="M180" s="19">
        <f>IF($D180="","",$D180&amp;"|"&amp;$G180)</f>
      </c>
      <c r="N180" s="18">
        <f>IF($D180="","",IF($H180=0,0,$L180/$H180))</f>
      </c>
      <c r="O180" s="20"/>
    </row>
    <row r="181">
      <c r="A181" s="23"/>
      <c r="B181" s="20"/>
      <c r="C181" s="20"/>
      <c r="D181" s="20"/>
      <c r="E181" s="19">
        <f>IF($D181="","",IFERROR(VLOOKUP($D181,'Catálogo'!$A:$B,2,FALSE),"⚠ Código no existe"))</f>
      </c>
      <c r="F181" s="21"/>
      <c r="G181" s="20"/>
      <c r="H181" s="22"/>
      <c r="I181" s="16">
        <f>IF($D181="","",IFERROR(VLOOKUP($D181,'Catálogo'!$A:$F,6,FALSE),0))</f>
      </c>
      <c r="J181" s="16">
        <f>IF($D181="","",$F181*$I181)</f>
      </c>
      <c r="K181" s="16">
        <f>IF($D181="","",'Config'!$B$11+'Config'!$B$12)</f>
      </c>
      <c r="L181" s="16">
        <f>IF($D181="","",$H181-$J181-$K181)</f>
      </c>
      <c r="M181" s="19">
        <f>IF($D181="","",$D181&amp;"|"&amp;$G181)</f>
      </c>
      <c r="N181" s="18">
        <f>IF($D181="","",IF($H181=0,0,$L181/$H181))</f>
      </c>
      <c r="O181" s="20"/>
    </row>
    <row r="182">
      <c r="A182" s="23"/>
      <c r="B182" s="20"/>
      <c r="C182" s="20"/>
      <c r="D182" s="20"/>
      <c r="E182" s="19">
        <f>IF($D182="","",IFERROR(VLOOKUP($D182,'Catálogo'!$A:$B,2,FALSE),"⚠ Código no existe"))</f>
      </c>
      <c r="F182" s="21"/>
      <c r="G182" s="20"/>
      <c r="H182" s="22"/>
      <c r="I182" s="16">
        <f>IF($D182="","",IFERROR(VLOOKUP($D182,'Catálogo'!$A:$F,6,FALSE),0))</f>
      </c>
      <c r="J182" s="16">
        <f>IF($D182="","",$F182*$I182)</f>
      </c>
      <c r="K182" s="16">
        <f>IF($D182="","",'Config'!$B$11+'Config'!$B$12)</f>
      </c>
      <c r="L182" s="16">
        <f>IF($D182="","",$H182-$J182-$K182)</f>
      </c>
      <c r="M182" s="19">
        <f>IF($D182="","",$D182&amp;"|"&amp;$G182)</f>
      </c>
      <c r="N182" s="18">
        <f>IF($D182="","",IF($H182=0,0,$L182/$H182))</f>
      </c>
      <c r="O182" s="20"/>
    </row>
    <row r="183">
      <c r="A183" s="23"/>
      <c r="B183" s="20"/>
      <c r="C183" s="20"/>
      <c r="D183" s="20"/>
      <c r="E183" s="19">
        <f>IF($D183="","",IFERROR(VLOOKUP($D183,'Catálogo'!$A:$B,2,FALSE),"⚠ Código no existe"))</f>
      </c>
      <c r="F183" s="21"/>
      <c r="G183" s="20"/>
      <c r="H183" s="22"/>
      <c r="I183" s="16">
        <f>IF($D183="","",IFERROR(VLOOKUP($D183,'Catálogo'!$A:$F,6,FALSE),0))</f>
      </c>
      <c r="J183" s="16">
        <f>IF($D183="","",$F183*$I183)</f>
      </c>
      <c r="K183" s="16">
        <f>IF($D183="","",'Config'!$B$11+'Config'!$B$12)</f>
      </c>
      <c r="L183" s="16">
        <f>IF($D183="","",$H183-$J183-$K183)</f>
      </c>
      <c r="M183" s="19">
        <f>IF($D183="","",$D183&amp;"|"&amp;$G183)</f>
      </c>
      <c r="N183" s="18">
        <f>IF($D183="","",IF($H183=0,0,$L183/$H183))</f>
      </c>
      <c r="O183" s="20"/>
    </row>
    <row r="184">
      <c r="A184" s="23"/>
      <c r="B184" s="20"/>
      <c r="C184" s="20"/>
      <c r="D184" s="20"/>
      <c r="E184" s="19">
        <f>IF($D184="","",IFERROR(VLOOKUP($D184,'Catálogo'!$A:$B,2,FALSE),"⚠ Código no existe"))</f>
      </c>
      <c r="F184" s="21"/>
      <c r="G184" s="20"/>
      <c r="H184" s="22"/>
      <c r="I184" s="16">
        <f>IF($D184="","",IFERROR(VLOOKUP($D184,'Catálogo'!$A:$F,6,FALSE),0))</f>
      </c>
      <c r="J184" s="16">
        <f>IF($D184="","",$F184*$I184)</f>
      </c>
      <c r="K184" s="16">
        <f>IF($D184="","",'Config'!$B$11+'Config'!$B$12)</f>
      </c>
      <c r="L184" s="16">
        <f>IF($D184="","",$H184-$J184-$K184)</f>
      </c>
      <c r="M184" s="19">
        <f>IF($D184="","",$D184&amp;"|"&amp;$G184)</f>
      </c>
      <c r="N184" s="18">
        <f>IF($D184="","",IF($H184=0,0,$L184/$H184))</f>
      </c>
      <c r="O184" s="20"/>
    </row>
    <row r="185">
      <c r="A185" s="23"/>
      <c r="B185" s="20"/>
      <c r="C185" s="20"/>
      <c r="D185" s="20"/>
      <c r="E185" s="19">
        <f>IF($D185="","",IFERROR(VLOOKUP($D185,'Catálogo'!$A:$B,2,FALSE),"⚠ Código no existe"))</f>
      </c>
      <c r="F185" s="21"/>
      <c r="G185" s="20"/>
      <c r="H185" s="22"/>
      <c r="I185" s="16">
        <f>IF($D185="","",IFERROR(VLOOKUP($D185,'Catálogo'!$A:$F,6,FALSE),0))</f>
      </c>
      <c r="J185" s="16">
        <f>IF($D185="","",$F185*$I185)</f>
      </c>
      <c r="K185" s="16">
        <f>IF($D185="","",'Config'!$B$11+'Config'!$B$12)</f>
      </c>
      <c r="L185" s="16">
        <f>IF($D185="","",$H185-$J185-$K185)</f>
      </c>
      <c r="M185" s="19">
        <f>IF($D185="","",$D185&amp;"|"&amp;$G185)</f>
      </c>
      <c r="N185" s="18">
        <f>IF($D185="","",IF($H185=0,0,$L185/$H185))</f>
      </c>
      <c r="O185" s="20"/>
    </row>
    <row r="186">
      <c r="A186" s="23"/>
      <c r="B186" s="20"/>
      <c r="C186" s="20"/>
      <c r="D186" s="20"/>
      <c r="E186" s="19">
        <f>IF($D186="","",IFERROR(VLOOKUP($D186,'Catálogo'!$A:$B,2,FALSE),"⚠ Código no existe"))</f>
      </c>
      <c r="F186" s="21"/>
      <c r="G186" s="20"/>
      <c r="H186" s="22"/>
      <c r="I186" s="16">
        <f>IF($D186="","",IFERROR(VLOOKUP($D186,'Catálogo'!$A:$F,6,FALSE),0))</f>
      </c>
      <c r="J186" s="16">
        <f>IF($D186="","",$F186*$I186)</f>
      </c>
      <c r="K186" s="16">
        <f>IF($D186="","",'Config'!$B$11+'Config'!$B$12)</f>
      </c>
      <c r="L186" s="16">
        <f>IF($D186="","",$H186-$J186-$K186)</f>
      </c>
      <c r="M186" s="19">
        <f>IF($D186="","",$D186&amp;"|"&amp;$G186)</f>
      </c>
      <c r="N186" s="18">
        <f>IF($D186="","",IF($H186=0,0,$L186/$H186))</f>
      </c>
      <c r="O186" s="20"/>
    </row>
    <row r="187">
      <c r="A187" s="23"/>
      <c r="B187" s="20"/>
      <c r="C187" s="20"/>
      <c r="D187" s="20"/>
      <c r="E187" s="19">
        <f>IF($D187="","",IFERROR(VLOOKUP($D187,'Catálogo'!$A:$B,2,FALSE),"⚠ Código no existe"))</f>
      </c>
      <c r="F187" s="21"/>
      <c r="G187" s="20"/>
      <c r="H187" s="22"/>
      <c r="I187" s="16">
        <f>IF($D187="","",IFERROR(VLOOKUP($D187,'Catálogo'!$A:$F,6,FALSE),0))</f>
      </c>
      <c r="J187" s="16">
        <f>IF($D187="","",$F187*$I187)</f>
      </c>
      <c r="K187" s="16">
        <f>IF($D187="","",'Config'!$B$11+'Config'!$B$12)</f>
      </c>
      <c r="L187" s="16">
        <f>IF($D187="","",$H187-$J187-$K187)</f>
      </c>
      <c r="M187" s="19">
        <f>IF($D187="","",$D187&amp;"|"&amp;$G187)</f>
      </c>
      <c r="N187" s="18">
        <f>IF($D187="","",IF($H187=0,0,$L187/$H187))</f>
      </c>
      <c r="O187" s="20"/>
    </row>
    <row r="188">
      <c r="A188" s="23"/>
      <c r="B188" s="20"/>
      <c r="C188" s="20"/>
      <c r="D188" s="20"/>
      <c r="E188" s="19">
        <f>IF($D188="","",IFERROR(VLOOKUP($D188,'Catálogo'!$A:$B,2,FALSE),"⚠ Código no existe"))</f>
      </c>
      <c r="F188" s="21"/>
      <c r="G188" s="20"/>
      <c r="H188" s="22"/>
      <c r="I188" s="16">
        <f>IF($D188="","",IFERROR(VLOOKUP($D188,'Catálogo'!$A:$F,6,FALSE),0))</f>
      </c>
      <c r="J188" s="16">
        <f>IF($D188="","",$F188*$I188)</f>
      </c>
      <c r="K188" s="16">
        <f>IF($D188="","",'Config'!$B$11+'Config'!$B$12)</f>
      </c>
      <c r="L188" s="16">
        <f>IF($D188="","",$H188-$J188-$K188)</f>
      </c>
      <c r="M188" s="19">
        <f>IF($D188="","",$D188&amp;"|"&amp;$G188)</f>
      </c>
      <c r="N188" s="18">
        <f>IF($D188="","",IF($H188=0,0,$L188/$H188))</f>
      </c>
      <c r="O188" s="20"/>
    </row>
    <row r="189">
      <c r="A189" s="23"/>
      <c r="B189" s="20"/>
      <c r="C189" s="20"/>
      <c r="D189" s="20"/>
      <c r="E189" s="19">
        <f>IF($D189="","",IFERROR(VLOOKUP($D189,'Catálogo'!$A:$B,2,FALSE),"⚠ Código no existe"))</f>
      </c>
      <c r="F189" s="21"/>
      <c r="G189" s="20"/>
      <c r="H189" s="22"/>
      <c r="I189" s="16">
        <f>IF($D189="","",IFERROR(VLOOKUP($D189,'Catálogo'!$A:$F,6,FALSE),0))</f>
      </c>
      <c r="J189" s="16">
        <f>IF($D189="","",$F189*$I189)</f>
      </c>
      <c r="K189" s="16">
        <f>IF($D189="","",'Config'!$B$11+'Config'!$B$12)</f>
      </c>
      <c r="L189" s="16">
        <f>IF($D189="","",$H189-$J189-$K189)</f>
      </c>
      <c r="M189" s="19">
        <f>IF($D189="","",$D189&amp;"|"&amp;$G189)</f>
      </c>
      <c r="N189" s="18">
        <f>IF($D189="","",IF($H189=0,0,$L189/$H189))</f>
      </c>
      <c r="O189" s="20"/>
    </row>
    <row r="190">
      <c r="A190" s="23"/>
      <c r="B190" s="20"/>
      <c r="C190" s="20"/>
      <c r="D190" s="20"/>
      <c r="E190" s="19">
        <f>IF($D190="","",IFERROR(VLOOKUP($D190,'Catálogo'!$A:$B,2,FALSE),"⚠ Código no existe"))</f>
      </c>
      <c r="F190" s="21"/>
      <c r="G190" s="20"/>
      <c r="H190" s="22"/>
      <c r="I190" s="16">
        <f>IF($D190="","",IFERROR(VLOOKUP($D190,'Catálogo'!$A:$F,6,FALSE),0))</f>
      </c>
      <c r="J190" s="16">
        <f>IF($D190="","",$F190*$I190)</f>
      </c>
      <c r="K190" s="16">
        <f>IF($D190="","",'Config'!$B$11+'Config'!$B$12)</f>
      </c>
      <c r="L190" s="16">
        <f>IF($D190="","",$H190-$J190-$K190)</f>
      </c>
      <c r="M190" s="19">
        <f>IF($D190="","",$D190&amp;"|"&amp;$G190)</f>
      </c>
      <c r="N190" s="18">
        <f>IF($D190="","",IF($H190=0,0,$L190/$H190))</f>
      </c>
      <c r="O190" s="20"/>
    </row>
    <row r="191">
      <c r="A191" s="23"/>
      <c r="B191" s="20"/>
      <c r="C191" s="20"/>
      <c r="D191" s="20"/>
      <c r="E191" s="19">
        <f>IF($D191="","",IFERROR(VLOOKUP($D191,'Catálogo'!$A:$B,2,FALSE),"⚠ Código no existe"))</f>
      </c>
      <c r="F191" s="21"/>
      <c r="G191" s="20"/>
      <c r="H191" s="22"/>
      <c r="I191" s="16">
        <f>IF($D191="","",IFERROR(VLOOKUP($D191,'Catálogo'!$A:$F,6,FALSE),0))</f>
      </c>
      <c r="J191" s="16">
        <f>IF($D191="","",$F191*$I191)</f>
      </c>
      <c r="K191" s="16">
        <f>IF($D191="","",'Config'!$B$11+'Config'!$B$12)</f>
      </c>
      <c r="L191" s="16">
        <f>IF($D191="","",$H191-$J191-$K191)</f>
      </c>
      <c r="M191" s="19">
        <f>IF($D191="","",$D191&amp;"|"&amp;$G191)</f>
      </c>
      <c r="N191" s="18">
        <f>IF($D191="","",IF($H191=0,0,$L191/$H191))</f>
      </c>
      <c r="O191" s="20"/>
    </row>
    <row r="192">
      <c r="A192" s="23"/>
      <c r="B192" s="20"/>
      <c r="C192" s="20"/>
      <c r="D192" s="20"/>
      <c r="E192" s="19">
        <f>IF($D192="","",IFERROR(VLOOKUP($D192,'Catálogo'!$A:$B,2,FALSE),"⚠ Código no existe"))</f>
      </c>
      <c r="F192" s="21"/>
      <c r="G192" s="20"/>
      <c r="H192" s="22"/>
      <c r="I192" s="16">
        <f>IF($D192="","",IFERROR(VLOOKUP($D192,'Catálogo'!$A:$F,6,FALSE),0))</f>
      </c>
      <c r="J192" s="16">
        <f>IF($D192="","",$F192*$I192)</f>
      </c>
      <c r="K192" s="16">
        <f>IF($D192="","",'Config'!$B$11+'Config'!$B$12)</f>
      </c>
      <c r="L192" s="16">
        <f>IF($D192="","",$H192-$J192-$K192)</f>
      </c>
      <c r="M192" s="19">
        <f>IF($D192="","",$D192&amp;"|"&amp;$G192)</f>
      </c>
      <c r="N192" s="18">
        <f>IF($D192="","",IF($H192=0,0,$L192/$H192))</f>
      </c>
      <c r="O192" s="20"/>
    </row>
    <row r="193">
      <c r="A193" s="23"/>
      <c r="B193" s="20"/>
      <c r="C193" s="20"/>
      <c r="D193" s="20"/>
      <c r="E193" s="19">
        <f>IF($D193="","",IFERROR(VLOOKUP($D193,'Catálogo'!$A:$B,2,FALSE),"⚠ Código no existe"))</f>
      </c>
      <c r="F193" s="21"/>
      <c r="G193" s="20"/>
      <c r="H193" s="22"/>
      <c r="I193" s="16">
        <f>IF($D193="","",IFERROR(VLOOKUP($D193,'Catálogo'!$A:$F,6,FALSE),0))</f>
      </c>
      <c r="J193" s="16">
        <f>IF($D193="","",$F193*$I193)</f>
      </c>
      <c r="K193" s="16">
        <f>IF($D193="","",'Config'!$B$11+'Config'!$B$12)</f>
      </c>
      <c r="L193" s="16">
        <f>IF($D193="","",$H193-$J193-$K193)</f>
      </c>
      <c r="M193" s="19">
        <f>IF($D193="","",$D193&amp;"|"&amp;$G193)</f>
      </c>
      <c r="N193" s="18">
        <f>IF($D193="","",IF($H193=0,0,$L193/$H193))</f>
      </c>
      <c r="O193" s="20"/>
    </row>
    <row r="194">
      <c r="A194" s="23"/>
      <c r="B194" s="20"/>
      <c r="C194" s="20"/>
      <c r="D194" s="20"/>
      <c r="E194" s="19">
        <f>IF($D194="","",IFERROR(VLOOKUP($D194,'Catálogo'!$A:$B,2,FALSE),"⚠ Código no existe"))</f>
      </c>
      <c r="F194" s="21"/>
      <c r="G194" s="20"/>
      <c r="H194" s="22"/>
      <c r="I194" s="16">
        <f>IF($D194="","",IFERROR(VLOOKUP($D194,'Catálogo'!$A:$F,6,FALSE),0))</f>
      </c>
      <c r="J194" s="16">
        <f>IF($D194="","",$F194*$I194)</f>
      </c>
      <c r="K194" s="16">
        <f>IF($D194="","",'Config'!$B$11+'Config'!$B$12)</f>
      </c>
      <c r="L194" s="16">
        <f>IF($D194="","",$H194-$J194-$K194)</f>
      </c>
      <c r="M194" s="19">
        <f>IF($D194="","",$D194&amp;"|"&amp;$G194)</f>
      </c>
      <c r="N194" s="18">
        <f>IF($D194="","",IF($H194=0,0,$L194/$H194))</f>
      </c>
      <c r="O194" s="20"/>
    </row>
    <row r="195">
      <c r="A195" s="23"/>
      <c r="B195" s="20"/>
      <c r="C195" s="20"/>
      <c r="D195" s="20"/>
      <c r="E195" s="19">
        <f>IF($D195="","",IFERROR(VLOOKUP($D195,'Catálogo'!$A:$B,2,FALSE),"⚠ Código no existe"))</f>
      </c>
      <c r="F195" s="21"/>
      <c r="G195" s="20"/>
      <c r="H195" s="22"/>
      <c r="I195" s="16">
        <f>IF($D195="","",IFERROR(VLOOKUP($D195,'Catálogo'!$A:$F,6,FALSE),0))</f>
      </c>
      <c r="J195" s="16">
        <f>IF($D195="","",$F195*$I195)</f>
      </c>
      <c r="K195" s="16">
        <f>IF($D195="","",'Config'!$B$11+'Config'!$B$12)</f>
      </c>
      <c r="L195" s="16">
        <f>IF($D195="","",$H195-$J195-$K195)</f>
      </c>
      <c r="M195" s="19">
        <f>IF($D195="","",$D195&amp;"|"&amp;$G195)</f>
      </c>
      <c r="N195" s="18">
        <f>IF($D195="","",IF($H195=0,0,$L195/$H195))</f>
      </c>
      <c r="O195" s="20"/>
    </row>
    <row r="196">
      <c r="A196" s="23"/>
      <c r="B196" s="20"/>
      <c r="C196" s="20"/>
      <c r="D196" s="20"/>
      <c r="E196" s="19">
        <f>IF($D196="","",IFERROR(VLOOKUP($D196,'Catálogo'!$A:$B,2,FALSE),"⚠ Código no existe"))</f>
      </c>
      <c r="F196" s="21"/>
      <c r="G196" s="20"/>
      <c r="H196" s="22"/>
      <c r="I196" s="16">
        <f>IF($D196="","",IFERROR(VLOOKUP($D196,'Catálogo'!$A:$F,6,FALSE),0))</f>
      </c>
      <c r="J196" s="16">
        <f>IF($D196="","",$F196*$I196)</f>
      </c>
      <c r="K196" s="16">
        <f>IF($D196="","",'Config'!$B$11+'Config'!$B$12)</f>
      </c>
      <c r="L196" s="16">
        <f>IF($D196="","",$H196-$J196-$K196)</f>
      </c>
      <c r="M196" s="19">
        <f>IF($D196="","",$D196&amp;"|"&amp;$G196)</f>
      </c>
      <c r="N196" s="18">
        <f>IF($D196="","",IF($H196=0,0,$L196/$H196))</f>
      </c>
      <c r="O196" s="20"/>
    </row>
    <row r="197">
      <c r="A197" s="23"/>
      <c r="B197" s="20"/>
      <c r="C197" s="20"/>
      <c r="D197" s="20"/>
      <c r="E197" s="19">
        <f>IF($D197="","",IFERROR(VLOOKUP($D197,'Catálogo'!$A:$B,2,FALSE),"⚠ Código no existe"))</f>
      </c>
      <c r="F197" s="21"/>
      <c r="G197" s="20"/>
      <c r="H197" s="22"/>
      <c r="I197" s="16">
        <f>IF($D197="","",IFERROR(VLOOKUP($D197,'Catálogo'!$A:$F,6,FALSE),0))</f>
      </c>
      <c r="J197" s="16">
        <f>IF($D197="","",$F197*$I197)</f>
      </c>
      <c r="K197" s="16">
        <f>IF($D197="","",'Config'!$B$11+'Config'!$B$12)</f>
      </c>
      <c r="L197" s="16">
        <f>IF($D197="","",$H197-$J197-$K197)</f>
      </c>
      <c r="M197" s="19">
        <f>IF($D197="","",$D197&amp;"|"&amp;$G197)</f>
      </c>
      <c r="N197" s="18">
        <f>IF($D197="","",IF($H197=0,0,$L197/$H197))</f>
      </c>
      <c r="O197" s="20"/>
    </row>
    <row r="198">
      <c r="A198" s="23"/>
      <c r="B198" s="20"/>
      <c r="C198" s="20"/>
      <c r="D198" s="20"/>
      <c r="E198" s="19">
        <f>IF($D198="","",IFERROR(VLOOKUP($D198,'Catálogo'!$A:$B,2,FALSE),"⚠ Código no existe"))</f>
      </c>
      <c r="F198" s="21"/>
      <c r="G198" s="20"/>
      <c r="H198" s="22"/>
      <c r="I198" s="16">
        <f>IF($D198="","",IFERROR(VLOOKUP($D198,'Catálogo'!$A:$F,6,FALSE),0))</f>
      </c>
      <c r="J198" s="16">
        <f>IF($D198="","",$F198*$I198)</f>
      </c>
      <c r="K198" s="16">
        <f>IF($D198="","",'Config'!$B$11+'Config'!$B$12)</f>
      </c>
      <c r="L198" s="16">
        <f>IF($D198="","",$H198-$J198-$K198)</f>
      </c>
      <c r="M198" s="19">
        <f>IF($D198="","",$D198&amp;"|"&amp;$G198)</f>
      </c>
      <c r="N198" s="18">
        <f>IF($D198="","",IF($H198=0,0,$L198/$H198))</f>
      </c>
      <c r="O198" s="20"/>
    </row>
    <row r="199">
      <c r="A199" s="23"/>
      <c r="B199" s="20"/>
      <c r="C199" s="20"/>
      <c r="D199" s="20"/>
      <c r="E199" s="19">
        <f>IF($D199="","",IFERROR(VLOOKUP($D199,'Catálogo'!$A:$B,2,FALSE),"⚠ Código no existe"))</f>
      </c>
      <c r="F199" s="21"/>
      <c r="G199" s="20"/>
      <c r="H199" s="22"/>
      <c r="I199" s="16">
        <f>IF($D199="","",IFERROR(VLOOKUP($D199,'Catálogo'!$A:$F,6,FALSE),0))</f>
      </c>
      <c r="J199" s="16">
        <f>IF($D199="","",$F199*$I199)</f>
      </c>
      <c r="K199" s="16">
        <f>IF($D199="","",'Config'!$B$11+'Config'!$B$12)</f>
      </c>
      <c r="L199" s="16">
        <f>IF($D199="","",$H199-$J199-$K199)</f>
      </c>
      <c r="M199" s="19">
        <f>IF($D199="","",$D199&amp;"|"&amp;$G199)</f>
      </c>
      <c r="N199" s="18">
        <f>IF($D199="","",IF($H199=0,0,$L199/$H199))</f>
      </c>
      <c r="O199" s="20"/>
    </row>
    <row r="200">
      <c r="A200" s="23"/>
      <c r="B200" s="20"/>
      <c r="C200" s="20"/>
      <c r="D200" s="20"/>
      <c r="E200" s="19">
        <f>IF($D200="","",IFERROR(VLOOKUP($D200,'Catálogo'!$A:$B,2,FALSE),"⚠ Código no existe"))</f>
      </c>
      <c r="F200" s="21"/>
      <c r="G200" s="20"/>
      <c r="H200" s="22"/>
      <c r="I200" s="16">
        <f>IF($D200="","",IFERROR(VLOOKUP($D200,'Catálogo'!$A:$F,6,FALSE),0))</f>
      </c>
      <c r="J200" s="16">
        <f>IF($D200="","",$F200*$I200)</f>
      </c>
      <c r="K200" s="16">
        <f>IF($D200="","",'Config'!$B$11+'Config'!$B$12)</f>
      </c>
      <c r="L200" s="16">
        <f>IF($D200="","",$H200-$J200-$K200)</f>
      </c>
      <c r="M200" s="19">
        <f>IF($D200="","",$D200&amp;"|"&amp;$G200)</f>
      </c>
      <c r="N200" s="18">
        <f>IF($D200="","",IF($H200=0,0,$L200/$H200))</f>
      </c>
      <c r="O200" s="20"/>
    </row>
    <row r="201">
      <c r="A201" s="23"/>
      <c r="B201" s="20"/>
      <c r="C201" s="20"/>
      <c r="D201" s="20"/>
      <c r="E201" s="19">
        <f>IF($D201="","",IFERROR(VLOOKUP($D201,'Catálogo'!$A:$B,2,FALSE),"⚠ Código no existe"))</f>
      </c>
      <c r="F201" s="21"/>
      <c r="G201" s="20"/>
      <c r="H201" s="22"/>
      <c r="I201" s="16">
        <f>IF($D201="","",IFERROR(VLOOKUP($D201,'Catálogo'!$A:$F,6,FALSE),0))</f>
      </c>
      <c r="J201" s="16">
        <f>IF($D201="","",$F201*$I201)</f>
      </c>
      <c r="K201" s="16">
        <f>IF($D201="","",'Config'!$B$11+'Config'!$B$12)</f>
      </c>
      <c r="L201" s="16">
        <f>IF($D201="","",$H201-$J201-$K201)</f>
      </c>
      <c r="M201" s="19">
        <f>IF($D201="","",$D201&amp;"|"&amp;$G201)</f>
      </c>
      <c r="N201" s="18">
        <f>IF($D201="","",IF($H201=0,0,$L201/$H201))</f>
      </c>
      <c r="O201" s="20"/>
    </row>
    <row r="202">
      <c r="A202" s="23"/>
      <c r="B202" s="20"/>
      <c r="C202" s="20"/>
      <c r="D202" s="20"/>
      <c r="E202" s="19">
        <f>IF($D202="","",IFERROR(VLOOKUP($D202,'Catálogo'!$A:$B,2,FALSE),"⚠ Código no existe"))</f>
      </c>
      <c r="F202" s="21"/>
      <c r="G202" s="20"/>
      <c r="H202" s="22"/>
      <c r="I202" s="16">
        <f>IF($D202="","",IFERROR(VLOOKUP($D202,'Catálogo'!$A:$F,6,FALSE),0))</f>
      </c>
      <c r="J202" s="16">
        <f>IF($D202="","",$F202*$I202)</f>
      </c>
      <c r="K202" s="16">
        <f>IF($D202="","",'Config'!$B$11+'Config'!$B$12)</f>
      </c>
      <c r="L202" s="16">
        <f>IF($D202="","",$H202-$J202-$K202)</f>
      </c>
      <c r="M202" s="19">
        <f>IF($D202="","",$D202&amp;"|"&amp;$G202)</f>
      </c>
      <c r="N202" s="18">
        <f>IF($D202="","",IF($H202=0,0,$L202/$H202))</f>
      </c>
      <c r="O202" s="20"/>
    </row>
    <row r="203">
      <c r="A203" s="23"/>
      <c r="B203" s="20"/>
      <c r="C203" s="20"/>
      <c r="D203" s="20"/>
      <c r="E203" s="19">
        <f>IF($D203="","",IFERROR(VLOOKUP($D203,'Catálogo'!$A:$B,2,FALSE),"⚠ Código no existe"))</f>
      </c>
      <c r="F203" s="21"/>
      <c r="G203" s="20"/>
      <c r="H203" s="22"/>
      <c r="I203" s="16">
        <f>IF($D203="","",IFERROR(VLOOKUP($D203,'Catálogo'!$A:$F,6,FALSE),0))</f>
      </c>
      <c r="J203" s="16">
        <f>IF($D203="","",$F203*$I203)</f>
      </c>
      <c r="K203" s="16">
        <f>IF($D203="","",'Config'!$B$11+'Config'!$B$12)</f>
      </c>
      <c r="L203" s="16">
        <f>IF($D203="","",$H203-$J203-$K203)</f>
      </c>
      <c r="M203" s="19">
        <f>IF($D203="","",$D203&amp;"|"&amp;$G203)</f>
      </c>
      <c r="N203" s="18">
        <f>IF($D203="","",IF($H203=0,0,$L203/$H203))</f>
      </c>
      <c r="O203" s="20"/>
    </row>
    <row r="204">
      <c r="A204" s="23"/>
      <c r="B204" s="20"/>
      <c r="C204" s="20"/>
      <c r="D204" s="20"/>
      <c r="E204" s="19">
        <f>IF($D204="","",IFERROR(VLOOKUP($D204,'Catálogo'!$A:$B,2,FALSE),"⚠ Código no existe"))</f>
      </c>
      <c r="F204" s="21"/>
      <c r="G204" s="20"/>
      <c r="H204" s="22"/>
      <c r="I204" s="16">
        <f>IF($D204="","",IFERROR(VLOOKUP($D204,'Catálogo'!$A:$F,6,FALSE),0))</f>
      </c>
      <c r="J204" s="16">
        <f>IF($D204="","",$F204*$I204)</f>
      </c>
      <c r="K204" s="16">
        <f>IF($D204="","",'Config'!$B$11+'Config'!$B$12)</f>
      </c>
      <c r="L204" s="16">
        <f>IF($D204="","",$H204-$J204-$K204)</f>
      </c>
      <c r="M204" s="19">
        <f>IF($D204="","",$D204&amp;"|"&amp;$G204)</f>
      </c>
      <c r="N204" s="18">
        <f>IF($D204="","",IF($H204=0,0,$L204/$H204))</f>
      </c>
      <c r="O204" s="20"/>
    </row>
    <row r="205">
      <c r="A205" s="23"/>
      <c r="B205" s="20"/>
      <c r="C205" s="20"/>
      <c r="D205" s="20"/>
      <c r="E205" s="19">
        <f>IF($D205="","",IFERROR(VLOOKUP($D205,'Catálogo'!$A:$B,2,FALSE),"⚠ Código no existe"))</f>
      </c>
      <c r="F205" s="21"/>
      <c r="G205" s="20"/>
      <c r="H205" s="22"/>
      <c r="I205" s="16">
        <f>IF($D205="","",IFERROR(VLOOKUP($D205,'Catálogo'!$A:$F,6,FALSE),0))</f>
      </c>
      <c r="J205" s="16">
        <f>IF($D205="","",$F205*$I205)</f>
      </c>
      <c r="K205" s="16">
        <f>IF($D205="","",'Config'!$B$11+'Config'!$B$12)</f>
      </c>
      <c r="L205" s="16">
        <f>IF($D205="","",$H205-$J205-$K205)</f>
      </c>
      <c r="M205" s="19">
        <f>IF($D205="","",$D205&amp;"|"&amp;$G205)</f>
      </c>
      <c r="N205" s="18">
        <f>IF($D205="","",IF($H205=0,0,$L205/$H205))</f>
      </c>
      <c r="O205" s="20"/>
    </row>
    <row r="206">
      <c r="A206" s="23"/>
      <c r="B206" s="20"/>
      <c r="C206" s="20"/>
      <c r="D206" s="20"/>
      <c r="E206" s="19">
        <f>IF($D206="","",IFERROR(VLOOKUP($D206,'Catálogo'!$A:$B,2,FALSE),"⚠ Código no existe"))</f>
      </c>
      <c r="F206" s="21"/>
      <c r="G206" s="20"/>
      <c r="H206" s="22"/>
      <c r="I206" s="16">
        <f>IF($D206="","",IFERROR(VLOOKUP($D206,'Catálogo'!$A:$F,6,FALSE),0))</f>
      </c>
      <c r="J206" s="16">
        <f>IF($D206="","",$F206*$I206)</f>
      </c>
      <c r="K206" s="16">
        <f>IF($D206="","",'Config'!$B$11+'Config'!$B$12)</f>
      </c>
      <c r="L206" s="16">
        <f>IF($D206="","",$H206-$J206-$K206)</f>
      </c>
      <c r="M206" s="19">
        <f>IF($D206="","",$D206&amp;"|"&amp;$G206)</f>
      </c>
      <c r="N206" s="18">
        <f>IF($D206="","",IF($H206=0,0,$L206/$H206))</f>
      </c>
      <c r="O206" s="20"/>
    </row>
    <row r="207">
      <c r="A207" s="23"/>
      <c r="B207" s="20"/>
      <c r="C207" s="20"/>
      <c r="D207" s="20"/>
      <c r="E207" s="19">
        <f>IF($D207="","",IFERROR(VLOOKUP($D207,'Catálogo'!$A:$B,2,FALSE),"⚠ Código no existe"))</f>
      </c>
      <c r="F207" s="21"/>
      <c r="G207" s="20"/>
      <c r="H207" s="22"/>
      <c r="I207" s="16">
        <f>IF($D207="","",IFERROR(VLOOKUP($D207,'Catálogo'!$A:$F,6,FALSE),0))</f>
      </c>
      <c r="J207" s="16">
        <f>IF($D207="","",$F207*$I207)</f>
      </c>
      <c r="K207" s="16">
        <f>IF($D207="","",'Config'!$B$11+'Config'!$B$12)</f>
      </c>
      <c r="L207" s="16">
        <f>IF($D207="","",$H207-$J207-$K207)</f>
      </c>
      <c r="M207" s="19">
        <f>IF($D207="","",$D207&amp;"|"&amp;$G207)</f>
      </c>
      <c r="N207" s="18">
        <f>IF($D207="","",IF($H207=0,0,$L207/$H207))</f>
      </c>
      <c r="O207" s="20"/>
    </row>
    <row r="208">
      <c r="A208" s="23"/>
      <c r="B208" s="20"/>
      <c r="C208" s="20"/>
      <c r="D208" s="20"/>
      <c r="E208" s="19">
        <f>IF($D208="","",IFERROR(VLOOKUP($D208,'Catálogo'!$A:$B,2,FALSE),"⚠ Código no existe"))</f>
      </c>
      <c r="F208" s="21"/>
      <c r="G208" s="20"/>
      <c r="H208" s="22"/>
      <c r="I208" s="16">
        <f>IF($D208="","",IFERROR(VLOOKUP($D208,'Catálogo'!$A:$F,6,FALSE),0))</f>
      </c>
      <c r="J208" s="16">
        <f>IF($D208="","",$F208*$I208)</f>
      </c>
      <c r="K208" s="16">
        <f>IF($D208="","",'Config'!$B$11+'Config'!$B$12)</f>
      </c>
      <c r="L208" s="16">
        <f>IF($D208="","",$H208-$J208-$K208)</f>
      </c>
      <c r="M208" s="19">
        <f>IF($D208="","",$D208&amp;"|"&amp;$G208)</f>
      </c>
      <c r="N208" s="18">
        <f>IF($D208="","",IF($H208=0,0,$L208/$H208))</f>
      </c>
      <c r="O208" s="20"/>
    </row>
    <row r="209">
      <c r="A209" s="23"/>
      <c r="B209" s="20"/>
      <c r="C209" s="20"/>
      <c r="D209" s="20"/>
      <c r="E209" s="19">
        <f>IF($D209="","",IFERROR(VLOOKUP($D209,'Catálogo'!$A:$B,2,FALSE),"⚠ Código no existe"))</f>
      </c>
      <c r="F209" s="21"/>
      <c r="G209" s="20"/>
      <c r="H209" s="22"/>
      <c r="I209" s="16">
        <f>IF($D209="","",IFERROR(VLOOKUP($D209,'Catálogo'!$A:$F,6,FALSE),0))</f>
      </c>
      <c r="J209" s="16">
        <f>IF($D209="","",$F209*$I209)</f>
      </c>
      <c r="K209" s="16">
        <f>IF($D209="","",'Config'!$B$11+'Config'!$B$12)</f>
      </c>
      <c r="L209" s="16">
        <f>IF($D209="","",$H209-$J209-$K209)</f>
      </c>
      <c r="M209" s="19">
        <f>IF($D209="","",$D209&amp;"|"&amp;$G209)</f>
      </c>
      <c r="N209" s="18">
        <f>IF($D209="","",IF($H209=0,0,$L209/$H209))</f>
      </c>
      <c r="O209" s="20"/>
    </row>
    <row r="210">
      <c r="A210" s="23"/>
      <c r="B210" s="20"/>
      <c r="C210" s="20"/>
      <c r="D210" s="20"/>
      <c r="E210" s="19">
        <f>IF($D210="","",IFERROR(VLOOKUP($D210,'Catálogo'!$A:$B,2,FALSE),"⚠ Código no existe"))</f>
      </c>
      <c r="F210" s="21"/>
      <c r="G210" s="20"/>
      <c r="H210" s="22"/>
      <c r="I210" s="16">
        <f>IF($D210="","",IFERROR(VLOOKUP($D210,'Catálogo'!$A:$F,6,FALSE),0))</f>
      </c>
      <c r="J210" s="16">
        <f>IF($D210="","",$F210*$I210)</f>
      </c>
      <c r="K210" s="16">
        <f>IF($D210="","",'Config'!$B$11+'Config'!$B$12)</f>
      </c>
      <c r="L210" s="16">
        <f>IF($D210="","",$H210-$J210-$K210)</f>
      </c>
      <c r="M210" s="19">
        <f>IF($D210="","",$D210&amp;"|"&amp;$G210)</f>
      </c>
      <c r="N210" s="18">
        <f>IF($D210="","",IF($H210=0,0,$L210/$H210))</f>
      </c>
      <c r="O210" s="20"/>
    </row>
    <row r="211">
      <c r="A211" s="23"/>
      <c r="B211" s="20"/>
      <c r="C211" s="20"/>
      <c r="D211" s="20"/>
      <c r="E211" s="19">
        <f>IF($D211="","",IFERROR(VLOOKUP($D211,'Catálogo'!$A:$B,2,FALSE),"⚠ Código no existe"))</f>
      </c>
      <c r="F211" s="21"/>
      <c r="G211" s="20"/>
      <c r="H211" s="22"/>
      <c r="I211" s="16">
        <f>IF($D211="","",IFERROR(VLOOKUP($D211,'Catálogo'!$A:$F,6,FALSE),0))</f>
      </c>
      <c r="J211" s="16">
        <f>IF($D211="","",$F211*$I211)</f>
      </c>
      <c r="K211" s="16">
        <f>IF($D211="","",'Config'!$B$11+'Config'!$B$12)</f>
      </c>
      <c r="L211" s="16">
        <f>IF($D211="","",$H211-$J211-$K211)</f>
      </c>
      <c r="M211" s="19">
        <f>IF($D211="","",$D211&amp;"|"&amp;$G211)</f>
      </c>
      <c r="N211" s="18">
        <f>IF($D211="","",IF($H211=0,0,$L211/$H211))</f>
      </c>
      <c r="O211" s="20"/>
    </row>
    <row r="212">
      <c r="A212" s="23"/>
      <c r="B212" s="20"/>
      <c r="C212" s="20"/>
      <c r="D212" s="20"/>
      <c r="E212" s="19">
        <f>IF($D212="","",IFERROR(VLOOKUP($D212,'Catálogo'!$A:$B,2,FALSE),"⚠ Código no existe"))</f>
      </c>
      <c r="F212" s="21"/>
      <c r="G212" s="20"/>
      <c r="H212" s="22"/>
      <c r="I212" s="16">
        <f>IF($D212="","",IFERROR(VLOOKUP($D212,'Catálogo'!$A:$F,6,FALSE),0))</f>
      </c>
      <c r="J212" s="16">
        <f>IF($D212="","",$F212*$I212)</f>
      </c>
      <c r="K212" s="16">
        <f>IF($D212="","",'Config'!$B$11+'Config'!$B$12)</f>
      </c>
      <c r="L212" s="16">
        <f>IF($D212="","",$H212-$J212-$K212)</f>
      </c>
      <c r="M212" s="19">
        <f>IF($D212="","",$D212&amp;"|"&amp;$G212)</f>
      </c>
      <c r="N212" s="18">
        <f>IF($D212="","",IF($H212=0,0,$L212/$H212))</f>
      </c>
      <c r="O212" s="20"/>
    </row>
    <row r="213">
      <c r="A213" s="23"/>
      <c r="B213" s="20"/>
      <c r="C213" s="20"/>
      <c r="D213" s="20"/>
      <c r="E213" s="19">
        <f>IF($D213="","",IFERROR(VLOOKUP($D213,'Catálogo'!$A:$B,2,FALSE),"⚠ Código no existe"))</f>
      </c>
      <c r="F213" s="21"/>
      <c r="G213" s="20"/>
      <c r="H213" s="22"/>
      <c r="I213" s="16">
        <f>IF($D213="","",IFERROR(VLOOKUP($D213,'Catálogo'!$A:$F,6,FALSE),0))</f>
      </c>
      <c r="J213" s="16">
        <f>IF($D213="","",$F213*$I213)</f>
      </c>
      <c r="K213" s="16">
        <f>IF($D213="","",'Config'!$B$11+'Config'!$B$12)</f>
      </c>
      <c r="L213" s="16">
        <f>IF($D213="","",$H213-$J213-$K213)</f>
      </c>
      <c r="M213" s="19">
        <f>IF($D213="","",$D213&amp;"|"&amp;$G213)</f>
      </c>
      <c r="N213" s="18">
        <f>IF($D213="","",IF($H213=0,0,$L213/$H213))</f>
      </c>
      <c r="O213" s="20"/>
    </row>
    <row r="214">
      <c r="A214" s="23"/>
      <c r="B214" s="20"/>
      <c r="C214" s="20"/>
      <c r="D214" s="20"/>
      <c r="E214" s="19">
        <f>IF($D214="","",IFERROR(VLOOKUP($D214,'Catálogo'!$A:$B,2,FALSE),"⚠ Código no existe"))</f>
      </c>
      <c r="F214" s="21"/>
      <c r="G214" s="20"/>
      <c r="H214" s="22"/>
      <c r="I214" s="16">
        <f>IF($D214="","",IFERROR(VLOOKUP($D214,'Catálogo'!$A:$F,6,FALSE),0))</f>
      </c>
      <c r="J214" s="16">
        <f>IF($D214="","",$F214*$I214)</f>
      </c>
      <c r="K214" s="16">
        <f>IF($D214="","",'Config'!$B$11+'Config'!$B$12)</f>
      </c>
      <c r="L214" s="16">
        <f>IF($D214="","",$H214-$J214-$K214)</f>
      </c>
      <c r="M214" s="19">
        <f>IF($D214="","",$D214&amp;"|"&amp;$G214)</f>
      </c>
      <c r="N214" s="18">
        <f>IF($D214="","",IF($H214=0,0,$L214/$H214))</f>
      </c>
      <c r="O214" s="20"/>
    </row>
    <row r="215">
      <c r="A215" s="23"/>
      <c r="B215" s="20"/>
      <c r="C215" s="20"/>
      <c r="D215" s="20"/>
      <c r="E215" s="19">
        <f>IF($D215="","",IFERROR(VLOOKUP($D215,'Catálogo'!$A:$B,2,FALSE),"⚠ Código no existe"))</f>
      </c>
      <c r="F215" s="21"/>
      <c r="G215" s="20"/>
      <c r="H215" s="22"/>
      <c r="I215" s="16">
        <f>IF($D215="","",IFERROR(VLOOKUP($D215,'Catálogo'!$A:$F,6,FALSE),0))</f>
      </c>
      <c r="J215" s="16">
        <f>IF($D215="","",$F215*$I215)</f>
      </c>
      <c r="K215" s="16">
        <f>IF($D215="","",'Config'!$B$11+'Config'!$B$12)</f>
      </c>
      <c r="L215" s="16">
        <f>IF($D215="","",$H215-$J215-$K215)</f>
      </c>
      <c r="M215" s="19">
        <f>IF($D215="","",$D215&amp;"|"&amp;$G215)</f>
      </c>
      <c r="N215" s="18">
        <f>IF($D215="","",IF($H215=0,0,$L215/$H215))</f>
      </c>
      <c r="O215" s="20"/>
    </row>
    <row r="216">
      <c r="A216" s="23"/>
      <c r="B216" s="20"/>
      <c r="C216" s="20"/>
      <c r="D216" s="20"/>
      <c r="E216" s="19">
        <f>IF($D216="","",IFERROR(VLOOKUP($D216,'Catálogo'!$A:$B,2,FALSE),"⚠ Código no existe"))</f>
      </c>
      <c r="F216" s="21"/>
      <c r="G216" s="20"/>
      <c r="H216" s="22"/>
      <c r="I216" s="16">
        <f>IF($D216="","",IFERROR(VLOOKUP($D216,'Catálogo'!$A:$F,6,FALSE),0))</f>
      </c>
      <c r="J216" s="16">
        <f>IF($D216="","",$F216*$I216)</f>
      </c>
      <c r="K216" s="16">
        <f>IF($D216="","",'Config'!$B$11+'Config'!$B$12)</f>
      </c>
      <c r="L216" s="16">
        <f>IF($D216="","",$H216-$J216-$K216)</f>
      </c>
      <c r="M216" s="19">
        <f>IF($D216="","",$D216&amp;"|"&amp;$G216)</f>
      </c>
      <c r="N216" s="18">
        <f>IF($D216="","",IF($H216=0,0,$L216/$H216))</f>
      </c>
      <c r="O216" s="20"/>
    </row>
    <row r="217">
      <c r="A217" s="23"/>
      <c r="B217" s="20"/>
      <c r="C217" s="20"/>
      <c r="D217" s="20"/>
      <c r="E217" s="19">
        <f>IF($D217="","",IFERROR(VLOOKUP($D217,'Catálogo'!$A:$B,2,FALSE),"⚠ Código no existe"))</f>
      </c>
      <c r="F217" s="21"/>
      <c r="G217" s="20"/>
      <c r="H217" s="22"/>
      <c r="I217" s="16">
        <f>IF($D217="","",IFERROR(VLOOKUP($D217,'Catálogo'!$A:$F,6,FALSE),0))</f>
      </c>
      <c r="J217" s="16">
        <f>IF($D217="","",$F217*$I217)</f>
      </c>
      <c r="K217" s="16">
        <f>IF($D217="","",'Config'!$B$11+'Config'!$B$12)</f>
      </c>
      <c r="L217" s="16">
        <f>IF($D217="","",$H217-$J217-$K217)</f>
      </c>
      <c r="M217" s="19">
        <f>IF($D217="","",$D217&amp;"|"&amp;$G217)</f>
      </c>
      <c r="N217" s="18">
        <f>IF($D217="","",IF($H217=0,0,$L217/$H217))</f>
      </c>
      <c r="O217" s="20"/>
    </row>
    <row r="218">
      <c r="A218" s="23"/>
      <c r="B218" s="20"/>
      <c r="C218" s="20"/>
      <c r="D218" s="20"/>
      <c r="E218" s="19">
        <f>IF($D218="","",IFERROR(VLOOKUP($D218,'Catálogo'!$A:$B,2,FALSE),"⚠ Código no existe"))</f>
      </c>
      <c r="F218" s="21"/>
      <c r="G218" s="20"/>
      <c r="H218" s="22"/>
      <c r="I218" s="16">
        <f>IF($D218="","",IFERROR(VLOOKUP($D218,'Catálogo'!$A:$F,6,FALSE),0))</f>
      </c>
      <c r="J218" s="16">
        <f>IF($D218="","",$F218*$I218)</f>
      </c>
      <c r="K218" s="16">
        <f>IF($D218="","",'Config'!$B$11+'Config'!$B$12)</f>
      </c>
      <c r="L218" s="16">
        <f>IF($D218="","",$H218-$J218-$K218)</f>
      </c>
      <c r="M218" s="19">
        <f>IF($D218="","",$D218&amp;"|"&amp;$G218)</f>
      </c>
      <c r="N218" s="18">
        <f>IF($D218="","",IF($H218=0,0,$L218/$H218))</f>
      </c>
      <c r="O218" s="20"/>
    </row>
    <row r="219">
      <c r="A219" s="23"/>
      <c r="B219" s="20"/>
      <c r="C219" s="20"/>
      <c r="D219" s="20"/>
      <c r="E219" s="19">
        <f>IF($D219="","",IFERROR(VLOOKUP($D219,'Catálogo'!$A:$B,2,FALSE),"⚠ Código no existe"))</f>
      </c>
      <c r="F219" s="21"/>
      <c r="G219" s="20"/>
      <c r="H219" s="22"/>
      <c r="I219" s="16">
        <f>IF($D219="","",IFERROR(VLOOKUP($D219,'Catálogo'!$A:$F,6,FALSE),0))</f>
      </c>
      <c r="J219" s="16">
        <f>IF($D219="","",$F219*$I219)</f>
      </c>
      <c r="K219" s="16">
        <f>IF($D219="","",'Config'!$B$11+'Config'!$B$12)</f>
      </c>
      <c r="L219" s="16">
        <f>IF($D219="","",$H219-$J219-$K219)</f>
      </c>
      <c r="M219" s="19">
        <f>IF($D219="","",$D219&amp;"|"&amp;$G219)</f>
      </c>
      <c r="N219" s="18">
        <f>IF($D219="","",IF($H219=0,0,$L219/$H219))</f>
      </c>
      <c r="O219" s="20"/>
    </row>
    <row r="220">
      <c r="A220" s="23"/>
      <c r="B220" s="20"/>
      <c r="C220" s="20"/>
      <c r="D220" s="20"/>
      <c r="E220" s="19">
        <f>IF($D220="","",IFERROR(VLOOKUP($D220,'Catálogo'!$A:$B,2,FALSE),"⚠ Código no existe"))</f>
      </c>
      <c r="F220" s="21"/>
      <c r="G220" s="20"/>
      <c r="H220" s="22"/>
      <c r="I220" s="16">
        <f>IF($D220="","",IFERROR(VLOOKUP($D220,'Catálogo'!$A:$F,6,FALSE),0))</f>
      </c>
      <c r="J220" s="16">
        <f>IF($D220="","",$F220*$I220)</f>
      </c>
      <c r="K220" s="16">
        <f>IF($D220="","",'Config'!$B$11+'Config'!$B$12)</f>
      </c>
      <c r="L220" s="16">
        <f>IF($D220="","",$H220-$J220-$K220)</f>
      </c>
      <c r="M220" s="19">
        <f>IF($D220="","",$D220&amp;"|"&amp;$G220)</f>
      </c>
      <c r="N220" s="18">
        <f>IF($D220="","",IF($H220=0,0,$L220/$H220))</f>
      </c>
      <c r="O220" s="20"/>
    </row>
    <row r="221">
      <c r="A221" s="23"/>
      <c r="B221" s="20"/>
      <c r="C221" s="20"/>
      <c r="D221" s="20"/>
      <c r="E221" s="19">
        <f>IF($D221="","",IFERROR(VLOOKUP($D221,'Catálogo'!$A:$B,2,FALSE),"⚠ Código no existe"))</f>
      </c>
      <c r="F221" s="21"/>
      <c r="G221" s="20"/>
      <c r="H221" s="22"/>
      <c r="I221" s="16">
        <f>IF($D221="","",IFERROR(VLOOKUP($D221,'Catálogo'!$A:$F,6,FALSE),0))</f>
      </c>
      <c r="J221" s="16">
        <f>IF($D221="","",$F221*$I221)</f>
      </c>
      <c r="K221" s="16">
        <f>IF($D221="","",'Config'!$B$11+'Config'!$B$12)</f>
      </c>
      <c r="L221" s="16">
        <f>IF($D221="","",$H221-$J221-$K221)</f>
      </c>
      <c r="M221" s="19">
        <f>IF($D221="","",$D221&amp;"|"&amp;$G221)</f>
      </c>
      <c r="N221" s="18">
        <f>IF($D221="","",IF($H221=0,0,$L221/$H221))</f>
      </c>
      <c r="O221" s="20"/>
    </row>
    <row r="222">
      <c r="A222" s="23"/>
      <c r="B222" s="20"/>
      <c r="C222" s="20"/>
      <c r="D222" s="20"/>
      <c r="E222" s="19">
        <f>IF($D222="","",IFERROR(VLOOKUP($D222,'Catálogo'!$A:$B,2,FALSE),"⚠ Código no existe"))</f>
      </c>
      <c r="F222" s="21"/>
      <c r="G222" s="20"/>
      <c r="H222" s="22"/>
      <c r="I222" s="16">
        <f>IF($D222="","",IFERROR(VLOOKUP($D222,'Catálogo'!$A:$F,6,FALSE),0))</f>
      </c>
      <c r="J222" s="16">
        <f>IF($D222="","",$F222*$I222)</f>
      </c>
      <c r="K222" s="16">
        <f>IF($D222="","",'Config'!$B$11+'Config'!$B$12)</f>
      </c>
      <c r="L222" s="16">
        <f>IF($D222="","",$H222-$J222-$K222)</f>
      </c>
      <c r="M222" s="19">
        <f>IF($D222="","",$D222&amp;"|"&amp;$G222)</f>
      </c>
      <c r="N222" s="18">
        <f>IF($D222="","",IF($H222=0,0,$L222/$H222))</f>
      </c>
      <c r="O222" s="20"/>
    </row>
    <row r="223">
      <c r="A223" s="23"/>
      <c r="B223" s="20"/>
      <c r="C223" s="20"/>
      <c r="D223" s="20"/>
      <c r="E223" s="19">
        <f>IF($D223="","",IFERROR(VLOOKUP($D223,'Catálogo'!$A:$B,2,FALSE),"⚠ Código no existe"))</f>
      </c>
      <c r="F223" s="21"/>
      <c r="G223" s="20"/>
      <c r="H223" s="22"/>
      <c r="I223" s="16">
        <f>IF($D223="","",IFERROR(VLOOKUP($D223,'Catálogo'!$A:$F,6,FALSE),0))</f>
      </c>
      <c r="J223" s="16">
        <f>IF($D223="","",$F223*$I223)</f>
      </c>
      <c r="K223" s="16">
        <f>IF($D223="","",'Config'!$B$11+'Config'!$B$12)</f>
      </c>
      <c r="L223" s="16">
        <f>IF($D223="","",$H223-$J223-$K223)</f>
      </c>
      <c r="M223" s="19">
        <f>IF($D223="","",$D223&amp;"|"&amp;$G223)</f>
      </c>
      <c r="N223" s="18">
        <f>IF($D223="","",IF($H223=0,0,$L223/$H223))</f>
      </c>
      <c r="O223" s="20"/>
    </row>
    <row r="224">
      <c r="A224" s="23"/>
      <c r="B224" s="20"/>
      <c r="C224" s="20"/>
      <c r="D224" s="20"/>
      <c r="E224" s="19">
        <f>IF($D224="","",IFERROR(VLOOKUP($D224,'Catálogo'!$A:$B,2,FALSE),"⚠ Código no existe"))</f>
      </c>
      <c r="F224" s="21"/>
      <c r="G224" s="20"/>
      <c r="H224" s="22"/>
      <c r="I224" s="16">
        <f>IF($D224="","",IFERROR(VLOOKUP($D224,'Catálogo'!$A:$F,6,FALSE),0))</f>
      </c>
      <c r="J224" s="16">
        <f>IF($D224="","",$F224*$I224)</f>
      </c>
      <c r="K224" s="16">
        <f>IF($D224="","",'Config'!$B$11+'Config'!$B$12)</f>
      </c>
      <c r="L224" s="16">
        <f>IF($D224="","",$H224-$J224-$K224)</f>
      </c>
      <c r="M224" s="19">
        <f>IF($D224="","",$D224&amp;"|"&amp;$G224)</f>
      </c>
      <c r="N224" s="18">
        <f>IF($D224="","",IF($H224=0,0,$L224/$H224))</f>
      </c>
      <c r="O224" s="20"/>
    </row>
    <row r="225">
      <c r="A225" s="23"/>
      <c r="B225" s="20"/>
      <c r="C225" s="20"/>
      <c r="D225" s="20"/>
      <c r="E225" s="19">
        <f>IF($D225="","",IFERROR(VLOOKUP($D225,'Catálogo'!$A:$B,2,FALSE),"⚠ Código no existe"))</f>
      </c>
      <c r="F225" s="21"/>
      <c r="G225" s="20"/>
      <c r="H225" s="22"/>
      <c r="I225" s="16">
        <f>IF($D225="","",IFERROR(VLOOKUP($D225,'Catálogo'!$A:$F,6,FALSE),0))</f>
      </c>
      <c r="J225" s="16">
        <f>IF($D225="","",$F225*$I225)</f>
      </c>
      <c r="K225" s="16">
        <f>IF($D225="","",'Config'!$B$11+'Config'!$B$12)</f>
      </c>
      <c r="L225" s="16">
        <f>IF($D225="","",$H225-$J225-$K225)</f>
      </c>
      <c r="M225" s="19">
        <f>IF($D225="","",$D225&amp;"|"&amp;$G225)</f>
      </c>
      <c r="N225" s="18">
        <f>IF($D225="","",IF($H225=0,0,$L225/$H225))</f>
      </c>
      <c r="O225" s="20"/>
    </row>
    <row r="226">
      <c r="A226" s="23"/>
      <c r="B226" s="20"/>
      <c r="C226" s="20"/>
      <c r="D226" s="20"/>
      <c r="E226" s="19">
        <f>IF($D226="","",IFERROR(VLOOKUP($D226,'Catálogo'!$A:$B,2,FALSE),"⚠ Código no existe"))</f>
      </c>
      <c r="F226" s="21"/>
      <c r="G226" s="20"/>
      <c r="H226" s="22"/>
      <c r="I226" s="16">
        <f>IF($D226="","",IFERROR(VLOOKUP($D226,'Catálogo'!$A:$F,6,FALSE),0))</f>
      </c>
      <c r="J226" s="16">
        <f>IF($D226="","",$F226*$I226)</f>
      </c>
      <c r="K226" s="16">
        <f>IF($D226="","",'Config'!$B$11+'Config'!$B$12)</f>
      </c>
      <c r="L226" s="16">
        <f>IF($D226="","",$H226-$J226-$K226)</f>
      </c>
      <c r="M226" s="19">
        <f>IF($D226="","",$D226&amp;"|"&amp;$G226)</f>
      </c>
      <c r="N226" s="18">
        <f>IF($D226="","",IF($H226=0,0,$L226/$H226))</f>
      </c>
      <c r="O226" s="20"/>
    </row>
    <row r="227">
      <c r="A227" s="23"/>
      <c r="B227" s="20"/>
      <c r="C227" s="20"/>
      <c r="D227" s="20"/>
      <c r="E227" s="19">
        <f>IF($D227="","",IFERROR(VLOOKUP($D227,'Catálogo'!$A:$B,2,FALSE),"⚠ Código no existe"))</f>
      </c>
      <c r="F227" s="21"/>
      <c r="G227" s="20"/>
      <c r="H227" s="22"/>
      <c r="I227" s="16">
        <f>IF($D227="","",IFERROR(VLOOKUP($D227,'Catálogo'!$A:$F,6,FALSE),0))</f>
      </c>
      <c r="J227" s="16">
        <f>IF($D227="","",$F227*$I227)</f>
      </c>
      <c r="K227" s="16">
        <f>IF($D227="","",'Config'!$B$11+'Config'!$B$12)</f>
      </c>
      <c r="L227" s="16">
        <f>IF($D227="","",$H227-$J227-$K227)</f>
      </c>
      <c r="M227" s="19">
        <f>IF($D227="","",$D227&amp;"|"&amp;$G227)</f>
      </c>
      <c r="N227" s="18">
        <f>IF($D227="","",IF($H227=0,0,$L227/$H227))</f>
      </c>
      <c r="O227" s="20"/>
    </row>
    <row r="228">
      <c r="A228" s="23"/>
      <c r="B228" s="20"/>
      <c r="C228" s="20"/>
      <c r="D228" s="20"/>
      <c r="E228" s="19">
        <f>IF($D228="","",IFERROR(VLOOKUP($D228,'Catálogo'!$A:$B,2,FALSE),"⚠ Código no existe"))</f>
      </c>
      <c r="F228" s="21"/>
      <c r="G228" s="20"/>
      <c r="H228" s="22"/>
      <c r="I228" s="16">
        <f>IF($D228="","",IFERROR(VLOOKUP($D228,'Catálogo'!$A:$F,6,FALSE),0))</f>
      </c>
      <c r="J228" s="16">
        <f>IF($D228="","",$F228*$I228)</f>
      </c>
      <c r="K228" s="16">
        <f>IF($D228="","",'Config'!$B$11+'Config'!$B$12)</f>
      </c>
      <c r="L228" s="16">
        <f>IF($D228="","",$H228-$J228-$K228)</f>
      </c>
      <c r="M228" s="19">
        <f>IF($D228="","",$D228&amp;"|"&amp;$G228)</f>
      </c>
      <c r="N228" s="18">
        <f>IF($D228="","",IF($H228=0,0,$L228/$H228))</f>
      </c>
      <c r="O228" s="20"/>
    </row>
    <row r="229">
      <c r="A229" s="23"/>
      <c r="B229" s="20"/>
      <c r="C229" s="20"/>
      <c r="D229" s="20"/>
      <c r="E229" s="19">
        <f>IF($D229="","",IFERROR(VLOOKUP($D229,'Catálogo'!$A:$B,2,FALSE),"⚠ Código no existe"))</f>
      </c>
      <c r="F229" s="21"/>
      <c r="G229" s="20"/>
      <c r="H229" s="22"/>
      <c r="I229" s="16">
        <f>IF($D229="","",IFERROR(VLOOKUP($D229,'Catálogo'!$A:$F,6,FALSE),0))</f>
      </c>
      <c r="J229" s="16">
        <f>IF($D229="","",$F229*$I229)</f>
      </c>
      <c r="K229" s="16">
        <f>IF($D229="","",'Config'!$B$11+'Config'!$B$12)</f>
      </c>
      <c r="L229" s="16">
        <f>IF($D229="","",$H229-$J229-$K229)</f>
      </c>
      <c r="M229" s="19">
        <f>IF($D229="","",$D229&amp;"|"&amp;$G229)</f>
      </c>
      <c r="N229" s="18">
        <f>IF($D229="","",IF($H229=0,0,$L229/$H229))</f>
      </c>
      <c r="O229" s="20"/>
    </row>
    <row r="230">
      <c r="A230" s="23"/>
      <c r="B230" s="20"/>
      <c r="C230" s="20"/>
      <c r="D230" s="20"/>
      <c r="E230" s="19">
        <f>IF($D230="","",IFERROR(VLOOKUP($D230,'Catálogo'!$A:$B,2,FALSE),"⚠ Código no existe"))</f>
      </c>
      <c r="F230" s="21"/>
      <c r="G230" s="20"/>
      <c r="H230" s="22"/>
      <c r="I230" s="16">
        <f>IF($D230="","",IFERROR(VLOOKUP($D230,'Catálogo'!$A:$F,6,FALSE),0))</f>
      </c>
      <c r="J230" s="16">
        <f>IF($D230="","",$F230*$I230)</f>
      </c>
      <c r="K230" s="16">
        <f>IF($D230="","",'Config'!$B$11+'Config'!$B$12)</f>
      </c>
      <c r="L230" s="16">
        <f>IF($D230="","",$H230-$J230-$K230)</f>
      </c>
      <c r="M230" s="19">
        <f>IF($D230="","",$D230&amp;"|"&amp;$G230)</f>
      </c>
      <c r="N230" s="18">
        <f>IF($D230="","",IF($H230=0,0,$L230/$H230))</f>
      </c>
      <c r="O230" s="20"/>
    </row>
    <row r="231">
      <c r="A231" s="23"/>
      <c r="B231" s="20"/>
      <c r="C231" s="20"/>
      <c r="D231" s="20"/>
      <c r="E231" s="19">
        <f>IF($D231="","",IFERROR(VLOOKUP($D231,'Catálogo'!$A:$B,2,FALSE),"⚠ Código no existe"))</f>
      </c>
      <c r="F231" s="21"/>
      <c r="G231" s="20"/>
      <c r="H231" s="22"/>
      <c r="I231" s="16">
        <f>IF($D231="","",IFERROR(VLOOKUP($D231,'Catálogo'!$A:$F,6,FALSE),0))</f>
      </c>
      <c r="J231" s="16">
        <f>IF($D231="","",$F231*$I231)</f>
      </c>
      <c r="K231" s="16">
        <f>IF($D231="","",'Config'!$B$11+'Config'!$B$12)</f>
      </c>
      <c r="L231" s="16">
        <f>IF($D231="","",$H231-$J231-$K231)</f>
      </c>
      <c r="M231" s="19">
        <f>IF($D231="","",$D231&amp;"|"&amp;$G231)</f>
      </c>
      <c r="N231" s="18">
        <f>IF($D231="","",IF($H231=0,0,$L231/$H231))</f>
      </c>
      <c r="O231" s="20"/>
    </row>
    <row r="232">
      <c r="A232" s="23"/>
      <c r="B232" s="20"/>
      <c r="C232" s="20"/>
      <c r="D232" s="20"/>
      <c r="E232" s="19">
        <f>IF($D232="","",IFERROR(VLOOKUP($D232,'Catálogo'!$A:$B,2,FALSE),"⚠ Código no existe"))</f>
      </c>
      <c r="F232" s="21"/>
      <c r="G232" s="20"/>
      <c r="H232" s="22"/>
      <c r="I232" s="16">
        <f>IF($D232="","",IFERROR(VLOOKUP($D232,'Catálogo'!$A:$F,6,FALSE),0))</f>
      </c>
      <c r="J232" s="16">
        <f>IF($D232="","",$F232*$I232)</f>
      </c>
      <c r="K232" s="16">
        <f>IF($D232="","",'Config'!$B$11+'Config'!$B$12)</f>
      </c>
      <c r="L232" s="16">
        <f>IF($D232="","",$H232-$J232-$K232)</f>
      </c>
      <c r="M232" s="19">
        <f>IF($D232="","",$D232&amp;"|"&amp;$G232)</f>
      </c>
      <c r="N232" s="18">
        <f>IF($D232="","",IF($H232=0,0,$L232/$H232))</f>
      </c>
      <c r="O232" s="20"/>
    </row>
    <row r="233">
      <c r="A233" s="23"/>
      <c r="B233" s="20"/>
      <c r="C233" s="20"/>
      <c r="D233" s="20"/>
      <c r="E233" s="19">
        <f>IF($D233="","",IFERROR(VLOOKUP($D233,'Catálogo'!$A:$B,2,FALSE),"⚠ Código no existe"))</f>
      </c>
      <c r="F233" s="21"/>
      <c r="G233" s="20"/>
      <c r="H233" s="22"/>
      <c r="I233" s="16">
        <f>IF($D233="","",IFERROR(VLOOKUP($D233,'Catálogo'!$A:$F,6,FALSE),0))</f>
      </c>
      <c r="J233" s="16">
        <f>IF($D233="","",$F233*$I233)</f>
      </c>
      <c r="K233" s="16">
        <f>IF($D233="","",'Config'!$B$11+'Config'!$B$12)</f>
      </c>
      <c r="L233" s="16">
        <f>IF($D233="","",$H233-$J233-$K233)</f>
      </c>
      <c r="M233" s="19">
        <f>IF($D233="","",$D233&amp;"|"&amp;$G233)</f>
      </c>
      <c r="N233" s="18">
        <f>IF($D233="","",IF($H233=0,0,$L233/$H233))</f>
      </c>
      <c r="O233" s="20"/>
    </row>
    <row r="234">
      <c r="A234" s="23"/>
      <c r="B234" s="20"/>
      <c r="C234" s="20"/>
      <c r="D234" s="20"/>
      <c r="E234" s="19">
        <f>IF($D234="","",IFERROR(VLOOKUP($D234,'Catálogo'!$A:$B,2,FALSE),"⚠ Código no existe"))</f>
      </c>
      <c r="F234" s="21"/>
      <c r="G234" s="20"/>
      <c r="H234" s="22"/>
      <c r="I234" s="16">
        <f>IF($D234="","",IFERROR(VLOOKUP($D234,'Catálogo'!$A:$F,6,FALSE),0))</f>
      </c>
      <c r="J234" s="16">
        <f>IF($D234="","",$F234*$I234)</f>
      </c>
      <c r="K234" s="16">
        <f>IF($D234="","",'Config'!$B$11+'Config'!$B$12)</f>
      </c>
      <c r="L234" s="16">
        <f>IF($D234="","",$H234-$J234-$K234)</f>
      </c>
      <c r="M234" s="19">
        <f>IF($D234="","",$D234&amp;"|"&amp;$G234)</f>
      </c>
      <c r="N234" s="18">
        <f>IF($D234="","",IF($H234=0,0,$L234/$H234))</f>
      </c>
      <c r="O234" s="20"/>
    </row>
    <row r="235">
      <c r="A235" s="23"/>
      <c r="B235" s="20"/>
      <c r="C235" s="20"/>
      <c r="D235" s="20"/>
      <c r="E235" s="19">
        <f>IF($D235="","",IFERROR(VLOOKUP($D235,'Catálogo'!$A:$B,2,FALSE),"⚠ Código no existe"))</f>
      </c>
      <c r="F235" s="21"/>
      <c r="G235" s="20"/>
      <c r="H235" s="22"/>
      <c r="I235" s="16">
        <f>IF($D235="","",IFERROR(VLOOKUP($D235,'Catálogo'!$A:$F,6,FALSE),0))</f>
      </c>
      <c r="J235" s="16">
        <f>IF($D235="","",$F235*$I235)</f>
      </c>
      <c r="K235" s="16">
        <f>IF($D235="","",'Config'!$B$11+'Config'!$B$12)</f>
      </c>
      <c r="L235" s="16">
        <f>IF($D235="","",$H235-$J235-$K235)</f>
      </c>
      <c r="M235" s="19">
        <f>IF($D235="","",$D235&amp;"|"&amp;$G235)</f>
      </c>
      <c r="N235" s="18">
        <f>IF($D235="","",IF($H235=0,0,$L235/$H235))</f>
      </c>
      <c r="O235" s="20"/>
    </row>
    <row r="236">
      <c r="A236" s="23"/>
      <c r="B236" s="20"/>
      <c r="C236" s="20"/>
      <c r="D236" s="20"/>
      <c r="E236" s="19">
        <f>IF($D236="","",IFERROR(VLOOKUP($D236,'Catálogo'!$A:$B,2,FALSE),"⚠ Código no existe"))</f>
      </c>
      <c r="F236" s="21"/>
      <c r="G236" s="20"/>
      <c r="H236" s="22"/>
      <c r="I236" s="16">
        <f>IF($D236="","",IFERROR(VLOOKUP($D236,'Catálogo'!$A:$F,6,FALSE),0))</f>
      </c>
      <c r="J236" s="16">
        <f>IF($D236="","",$F236*$I236)</f>
      </c>
      <c r="K236" s="16">
        <f>IF($D236="","",'Config'!$B$11+'Config'!$B$12)</f>
      </c>
      <c r="L236" s="16">
        <f>IF($D236="","",$H236-$J236-$K236)</f>
      </c>
      <c r="M236" s="19">
        <f>IF($D236="","",$D236&amp;"|"&amp;$G236)</f>
      </c>
      <c r="N236" s="18">
        <f>IF($D236="","",IF($H236=0,0,$L236/$H236))</f>
      </c>
      <c r="O236" s="20"/>
    </row>
    <row r="237">
      <c r="A237" s="23"/>
      <c r="B237" s="20"/>
      <c r="C237" s="20"/>
      <c r="D237" s="20"/>
      <c r="E237" s="19">
        <f>IF($D237="","",IFERROR(VLOOKUP($D237,'Catálogo'!$A:$B,2,FALSE),"⚠ Código no existe"))</f>
      </c>
      <c r="F237" s="21"/>
      <c r="G237" s="20"/>
      <c r="H237" s="22"/>
      <c r="I237" s="16">
        <f>IF($D237="","",IFERROR(VLOOKUP($D237,'Catálogo'!$A:$F,6,FALSE),0))</f>
      </c>
      <c r="J237" s="16">
        <f>IF($D237="","",$F237*$I237)</f>
      </c>
      <c r="K237" s="16">
        <f>IF($D237="","",'Config'!$B$11+'Config'!$B$12)</f>
      </c>
      <c r="L237" s="16">
        <f>IF($D237="","",$H237-$J237-$K237)</f>
      </c>
      <c r="M237" s="19">
        <f>IF($D237="","",$D237&amp;"|"&amp;$G237)</f>
      </c>
      <c r="N237" s="18">
        <f>IF($D237="","",IF($H237=0,0,$L237/$H237))</f>
      </c>
      <c r="O237" s="20"/>
    </row>
    <row r="238">
      <c r="A238" s="23"/>
      <c r="B238" s="20"/>
      <c r="C238" s="20"/>
      <c r="D238" s="20"/>
      <c r="E238" s="19">
        <f>IF($D238="","",IFERROR(VLOOKUP($D238,'Catálogo'!$A:$B,2,FALSE),"⚠ Código no existe"))</f>
      </c>
      <c r="F238" s="21"/>
      <c r="G238" s="20"/>
      <c r="H238" s="22"/>
      <c r="I238" s="16">
        <f>IF($D238="","",IFERROR(VLOOKUP($D238,'Catálogo'!$A:$F,6,FALSE),0))</f>
      </c>
      <c r="J238" s="16">
        <f>IF($D238="","",$F238*$I238)</f>
      </c>
      <c r="K238" s="16">
        <f>IF($D238="","",'Config'!$B$11+'Config'!$B$12)</f>
      </c>
      <c r="L238" s="16">
        <f>IF($D238="","",$H238-$J238-$K238)</f>
      </c>
      <c r="M238" s="19">
        <f>IF($D238="","",$D238&amp;"|"&amp;$G238)</f>
      </c>
      <c r="N238" s="18">
        <f>IF($D238="","",IF($H238=0,0,$L238/$H238))</f>
      </c>
      <c r="O238" s="20"/>
    </row>
    <row r="239">
      <c r="A239" s="23"/>
      <c r="B239" s="20"/>
      <c r="C239" s="20"/>
      <c r="D239" s="20"/>
      <c r="E239" s="19">
        <f>IF($D239="","",IFERROR(VLOOKUP($D239,'Catálogo'!$A:$B,2,FALSE),"⚠ Código no existe"))</f>
      </c>
      <c r="F239" s="21"/>
      <c r="G239" s="20"/>
      <c r="H239" s="22"/>
      <c r="I239" s="16">
        <f>IF($D239="","",IFERROR(VLOOKUP($D239,'Catálogo'!$A:$F,6,FALSE),0))</f>
      </c>
      <c r="J239" s="16">
        <f>IF($D239="","",$F239*$I239)</f>
      </c>
      <c r="K239" s="16">
        <f>IF($D239="","",'Config'!$B$11+'Config'!$B$12)</f>
      </c>
      <c r="L239" s="16">
        <f>IF($D239="","",$H239-$J239-$K239)</f>
      </c>
      <c r="M239" s="19">
        <f>IF($D239="","",$D239&amp;"|"&amp;$G239)</f>
      </c>
      <c r="N239" s="18">
        <f>IF($D239="","",IF($H239=0,0,$L239/$H239))</f>
      </c>
      <c r="O239" s="20"/>
    </row>
    <row r="240">
      <c r="A240" s="23"/>
      <c r="B240" s="20"/>
      <c r="C240" s="20"/>
      <c r="D240" s="20"/>
      <c r="E240" s="19">
        <f>IF($D240="","",IFERROR(VLOOKUP($D240,'Catálogo'!$A:$B,2,FALSE),"⚠ Código no existe"))</f>
      </c>
      <c r="F240" s="21"/>
      <c r="G240" s="20"/>
      <c r="H240" s="22"/>
      <c r="I240" s="16">
        <f>IF($D240="","",IFERROR(VLOOKUP($D240,'Catálogo'!$A:$F,6,FALSE),0))</f>
      </c>
      <c r="J240" s="16">
        <f>IF($D240="","",$F240*$I240)</f>
      </c>
      <c r="K240" s="16">
        <f>IF($D240="","",'Config'!$B$11+'Config'!$B$12)</f>
      </c>
      <c r="L240" s="16">
        <f>IF($D240="","",$H240-$J240-$K240)</f>
      </c>
      <c r="M240" s="19">
        <f>IF($D240="","",$D240&amp;"|"&amp;$G240)</f>
      </c>
      <c r="N240" s="18">
        <f>IF($D240="","",IF($H240=0,0,$L240/$H240))</f>
      </c>
      <c r="O240" s="20"/>
    </row>
    <row r="241">
      <c r="A241" s="23"/>
      <c r="B241" s="20"/>
      <c r="C241" s="20"/>
      <c r="D241" s="20"/>
      <c r="E241" s="19">
        <f>IF($D241="","",IFERROR(VLOOKUP($D241,'Catálogo'!$A:$B,2,FALSE),"⚠ Código no existe"))</f>
      </c>
      <c r="F241" s="21"/>
      <c r="G241" s="20"/>
      <c r="H241" s="22"/>
      <c r="I241" s="16">
        <f>IF($D241="","",IFERROR(VLOOKUP($D241,'Catálogo'!$A:$F,6,FALSE),0))</f>
      </c>
      <c r="J241" s="16">
        <f>IF($D241="","",$F241*$I241)</f>
      </c>
      <c r="K241" s="16">
        <f>IF($D241="","",'Config'!$B$11+'Config'!$B$12)</f>
      </c>
      <c r="L241" s="16">
        <f>IF($D241="","",$H241-$J241-$K241)</f>
      </c>
      <c r="M241" s="19">
        <f>IF($D241="","",$D241&amp;"|"&amp;$G241)</f>
      </c>
      <c r="N241" s="18">
        <f>IF($D241="","",IF($H241=0,0,$L241/$H241))</f>
      </c>
      <c r="O241" s="20"/>
    </row>
    <row r="242">
      <c r="A242" s="23"/>
      <c r="B242" s="20"/>
      <c r="C242" s="20"/>
      <c r="D242" s="20"/>
      <c r="E242" s="19">
        <f>IF($D242="","",IFERROR(VLOOKUP($D242,'Catálogo'!$A:$B,2,FALSE),"⚠ Código no existe"))</f>
      </c>
      <c r="F242" s="21"/>
      <c r="G242" s="20"/>
      <c r="H242" s="22"/>
      <c r="I242" s="16">
        <f>IF($D242="","",IFERROR(VLOOKUP($D242,'Catálogo'!$A:$F,6,FALSE),0))</f>
      </c>
      <c r="J242" s="16">
        <f>IF($D242="","",$F242*$I242)</f>
      </c>
      <c r="K242" s="16">
        <f>IF($D242="","",'Config'!$B$11+'Config'!$B$12)</f>
      </c>
      <c r="L242" s="16">
        <f>IF($D242="","",$H242-$J242-$K242)</f>
      </c>
      <c r="M242" s="19">
        <f>IF($D242="","",$D242&amp;"|"&amp;$G242)</f>
      </c>
      <c r="N242" s="18">
        <f>IF($D242="","",IF($H242=0,0,$L242/$H242))</f>
      </c>
      <c r="O242" s="20"/>
    </row>
    <row r="243">
      <c r="A243" s="23"/>
      <c r="B243" s="20"/>
      <c r="C243" s="20"/>
      <c r="D243" s="20"/>
      <c r="E243" s="19">
        <f>IF($D243="","",IFERROR(VLOOKUP($D243,'Catálogo'!$A:$B,2,FALSE),"⚠ Código no existe"))</f>
      </c>
      <c r="F243" s="21"/>
      <c r="G243" s="20"/>
      <c r="H243" s="22"/>
      <c r="I243" s="16">
        <f>IF($D243="","",IFERROR(VLOOKUP($D243,'Catálogo'!$A:$F,6,FALSE),0))</f>
      </c>
      <c r="J243" s="16">
        <f>IF($D243="","",$F243*$I243)</f>
      </c>
      <c r="K243" s="16">
        <f>IF($D243="","",'Config'!$B$11+'Config'!$B$12)</f>
      </c>
      <c r="L243" s="16">
        <f>IF($D243="","",$H243-$J243-$K243)</f>
      </c>
      <c r="M243" s="19">
        <f>IF($D243="","",$D243&amp;"|"&amp;$G243)</f>
      </c>
      <c r="N243" s="18">
        <f>IF($D243="","",IF($H243=0,0,$L243/$H243))</f>
      </c>
      <c r="O243" s="20"/>
    </row>
    <row r="244">
      <c r="A244" s="23"/>
      <c r="B244" s="20"/>
      <c r="C244" s="20"/>
      <c r="D244" s="20"/>
      <c r="E244" s="19">
        <f>IF($D244="","",IFERROR(VLOOKUP($D244,'Catálogo'!$A:$B,2,FALSE),"⚠ Código no existe"))</f>
      </c>
      <c r="F244" s="21"/>
      <c r="G244" s="20"/>
      <c r="H244" s="22"/>
      <c r="I244" s="16">
        <f>IF($D244="","",IFERROR(VLOOKUP($D244,'Catálogo'!$A:$F,6,FALSE),0))</f>
      </c>
      <c r="J244" s="16">
        <f>IF($D244="","",$F244*$I244)</f>
      </c>
      <c r="K244" s="16">
        <f>IF($D244="","",'Config'!$B$11+'Config'!$B$12)</f>
      </c>
      <c r="L244" s="16">
        <f>IF($D244="","",$H244-$J244-$K244)</f>
      </c>
      <c r="M244" s="19">
        <f>IF($D244="","",$D244&amp;"|"&amp;$G244)</f>
      </c>
      <c r="N244" s="18">
        <f>IF($D244="","",IF($H244=0,0,$L244/$H244))</f>
      </c>
      <c r="O244" s="20"/>
    </row>
    <row r="245">
      <c r="A245" s="23"/>
      <c r="B245" s="20"/>
      <c r="C245" s="20"/>
      <c r="D245" s="20"/>
      <c r="E245" s="19">
        <f>IF($D245="","",IFERROR(VLOOKUP($D245,'Catálogo'!$A:$B,2,FALSE),"⚠ Código no existe"))</f>
      </c>
      <c r="F245" s="21"/>
      <c r="G245" s="20"/>
      <c r="H245" s="22"/>
      <c r="I245" s="16">
        <f>IF($D245="","",IFERROR(VLOOKUP($D245,'Catálogo'!$A:$F,6,FALSE),0))</f>
      </c>
      <c r="J245" s="16">
        <f>IF($D245="","",$F245*$I245)</f>
      </c>
      <c r="K245" s="16">
        <f>IF($D245="","",'Config'!$B$11+'Config'!$B$12)</f>
      </c>
      <c r="L245" s="16">
        <f>IF($D245="","",$H245-$J245-$K245)</f>
      </c>
      <c r="M245" s="19">
        <f>IF($D245="","",$D245&amp;"|"&amp;$G245)</f>
      </c>
      <c r="N245" s="18">
        <f>IF($D245="","",IF($H245=0,0,$L245/$H245))</f>
      </c>
      <c r="O245" s="20"/>
    </row>
    <row r="246">
      <c r="A246" s="23"/>
      <c r="B246" s="20"/>
      <c r="C246" s="20"/>
      <c r="D246" s="20"/>
      <c r="E246" s="19">
        <f>IF($D246="","",IFERROR(VLOOKUP($D246,'Catálogo'!$A:$B,2,FALSE),"⚠ Código no existe"))</f>
      </c>
      <c r="F246" s="21"/>
      <c r="G246" s="20"/>
      <c r="H246" s="22"/>
      <c r="I246" s="16">
        <f>IF($D246="","",IFERROR(VLOOKUP($D246,'Catálogo'!$A:$F,6,FALSE),0))</f>
      </c>
      <c r="J246" s="16">
        <f>IF($D246="","",$F246*$I246)</f>
      </c>
      <c r="K246" s="16">
        <f>IF($D246="","",'Config'!$B$11+'Config'!$B$12)</f>
      </c>
      <c r="L246" s="16">
        <f>IF($D246="","",$H246-$J246-$K246)</f>
      </c>
      <c r="M246" s="19">
        <f>IF($D246="","",$D246&amp;"|"&amp;$G246)</f>
      </c>
      <c r="N246" s="18">
        <f>IF($D246="","",IF($H246=0,0,$L246/$H246))</f>
      </c>
      <c r="O246" s="20"/>
    </row>
    <row r="247">
      <c r="A247" s="23"/>
      <c r="B247" s="20"/>
      <c r="C247" s="20"/>
      <c r="D247" s="20"/>
      <c r="E247" s="19">
        <f>IF($D247="","",IFERROR(VLOOKUP($D247,'Catálogo'!$A:$B,2,FALSE),"⚠ Código no existe"))</f>
      </c>
      <c r="F247" s="21"/>
      <c r="G247" s="20"/>
      <c r="H247" s="22"/>
      <c r="I247" s="16">
        <f>IF($D247="","",IFERROR(VLOOKUP($D247,'Catálogo'!$A:$F,6,FALSE),0))</f>
      </c>
      <c r="J247" s="16">
        <f>IF($D247="","",$F247*$I247)</f>
      </c>
      <c r="K247" s="16">
        <f>IF($D247="","",'Config'!$B$11+'Config'!$B$12)</f>
      </c>
      <c r="L247" s="16">
        <f>IF($D247="","",$H247-$J247-$K247)</f>
      </c>
      <c r="M247" s="19">
        <f>IF($D247="","",$D247&amp;"|"&amp;$G247)</f>
      </c>
      <c r="N247" s="18">
        <f>IF($D247="","",IF($H247=0,0,$L247/$H247))</f>
      </c>
      <c r="O247" s="20"/>
    </row>
    <row r="248">
      <c r="A248" s="23"/>
      <c r="B248" s="20"/>
      <c r="C248" s="20"/>
      <c r="D248" s="20"/>
      <c r="E248" s="19">
        <f>IF($D248="","",IFERROR(VLOOKUP($D248,'Catálogo'!$A:$B,2,FALSE),"⚠ Código no existe"))</f>
      </c>
      <c r="F248" s="21"/>
      <c r="G248" s="20"/>
      <c r="H248" s="22"/>
      <c r="I248" s="16">
        <f>IF($D248="","",IFERROR(VLOOKUP($D248,'Catálogo'!$A:$F,6,FALSE),0))</f>
      </c>
      <c r="J248" s="16">
        <f>IF($D248="","",$F248*$I248)</f>
      </c>
      <c r="K248" s="16">
        <f>IF($D248="","",'Config'!$B$11+'Config'!$B$12)</f>
      </c>
      <c r="L248" s="16">
        <f>IF($D248="","",$H248-$J248-$K248)</f>
      </c>
      <c r="M248" s="19">
        <f>IF($D248="","",$D248&amp;"|"&amp;$G248)</f>
      </c>
      <c r="N248" s="18">
        <f>IF($D248="","",IF($H248=0,0,$L248/$H248))</f>
      </c>
      <c r="O248" s="20"/>
    </row>
    <row r="249">
      <c r="A249" s="23"/>
      <c r="B249" s="20"/>
      <c r="C249" s="20"/>
      <c r="D249" s="20"/>
      <c r="E249" s="19">
        <f>IF($D249="","",IFERROR(VLOOKUP($D249,'Catálogo'!$A:$B,2,FALSE),"⚠ Código no existe"))</f>
      </c>
      <c r="F249" s="21"/>
      <c r="G249" s="20"/>
      <c r="H249" s="22"/>
      <c r="I249" s="16">
        <f>IF($D249="","",IFERROR(VLOOKUP($D249,'Catálogo'!$A:$F,6,FALSE),0))</f>
      </c>
      <c r="J249" s="16">
        <f>IF($D249="","",$F249*$I249)</f>
      </c>
      <c r="K249" s="16">
        <f>IF($D249="","",'Config'!$B$11+'Config'!$B$12)</f>
      </c>
      <c r="L249" s="16">
        <f>IF($D249="","",$H249-$J249-$K249)</f>
      </c>
      <c r="M249" s="19">
        <f>IF($D249="","",$D249&amp;"|"&amp;$G249)</f>
      </c>
      <c r="N249" s="18">
        <f>IF($D249="","",IF($H249=0,0,$L249/$H249))</f>
      </c>
      <c r="O249" s="20"/>
    </row>
    <row r="250">
      <c r="A250" s="23"/>
      <c r="B250" s="20"/>
      <c r="C250" s="20"/>
      <c r="D250" s="20"/>
      <c r="E250" s="19">
        <f>IF($D250="","",IFERROR(VLOOKUP($D250,'Catálogo'!$A:$B,2,FALSE),"⚠ Código no existe"))</f>
      </c>
      <c r="F250" s="21"/>
      <c r="G250" s="20"/>
      <c r="H250" s="22"/>
      <c r="I250" s="16">
        <f>IF($D250="","",IFERROR(VLOOKUP($D250,'Catálogo'!$A:$F,6,FALSE),0))</f>
      </c>
      <c r="J250" s="16">
        <f>IF($D250="","",$F250*$I250)</f>
      </c>
      <c r="K250" s="16">
        <f>IF($D250="","",'Config'!$B$11+'Config'!$B$12)</f>
      </c>
      <c r="L250" s="16">
        <f>IF($D250="","",$H250-$J250-$K250)</f>
      </c>
      <c r="M250" s="19">
        <f>IF($D250="","",$D250&amp;"|"&amp;$G250)</f>
      </c>
      <c r="N250" s="18">
        <f>IF($D250="","",IF($H250=0,0,$L250/$H250))</f>
      </c>
      <c r="O250" s="20"/>
    </row>
    <row r="251">
      <c r="A251" s="23"/>
      <c r="B251" s="20"/>
      <c r="C251" s="20"/>
      <c r="D251" s="20"/>
      <c r="E251" s="19">
        <f>IF($D251="","",IFERROR(VLOOKUP($D251,'Catálogo'!$A:$B,2,FALSE),"⚠ Código no existe"))</f>
      </c>
      <c r="F251" s="21"/>
      <c r="G251" s="20"/>
      <c r="H251" s="22"/>
      <c r="I251" s="16">
        <f>IF($D251="","",IFERROR(VLOOKUP($D251,'Catálogo'!$A:$F,6,FALSE),0))</f>
      </c>
      <c r="J251" s="16">
        <f>IF($D251="","",$F251*$I251)</f>
      </c>
      <c r="K251" s="16">
        <f>IF($D251="","",'Config'!$B$11+'Config'!$B$12)</f>
      </c>
      <c r="L251" s="16">
        <f>IF($D251="","",$H251-$J251-$K251)</f>
      </c>
      <c r="M251" s="19">
        <f>IF($D251="","",$D251&amp;"|"&amp;$G251)</f>
      </c>
      <c r="N251" s="18">
        <f>IF($D251="","",IF($H251=0,0,$L251/$H251))</f>
      </c>
      <c r="O251" s="20"/>
    </row>
    <row r="252">
      <c r="A252" s="23"/>
      <c r="B252" s="20"/>
      <c r="C252" s="20"/>
      <c r="D252" s="20"/>
      <c r="E252" s="19">
        <f>IF($D252="","",IFERROR(VLOOKUP($D252,'Catálogo'!$A:$B,2,FALSE),"⚠ Código no existe"))</f>
      </c>
      <c r="F252" s="21"/>
      <c r="G252" s="20"/>
      <c r="H252" s="22"/>
      <c r="I252" s="16">
        <f>IF($D252="","",IFERROR(VLOOKUP($D252,'Catálogo'!$A:$F,6,FALSE),0))</f>
      </c>
      <c r="J252" s="16">
        <f>IF($D252="","",$F252*$I252)</f>
      </c>
      <c r="K252" s="16">
        <f>IF($D252="","",'Config'!$B$11+'Config'!$B$12)</f>
      </c>
      <c r="L252" s="16">
        <f>IF($D252="","",$H252-$J252-$K252)</f>
      </c>
      <c r="M252" s="19">
        <f>IF($D252="","",$D252&amp;"|"&amp;$G252)</f>
      </c>
      <c r="N252" s="18">
        <f>IF($D252="","",IF($H252=0,0,$L252/$H252))</f>
      </c>
      <c r="O252" s="20"/>
    </row>
    <row r="253">
      <c r="A253" s="23"/>
      <c r="B253" s="20"/>
      <c r="C253" s="20"/>
      <c r="D253" s="20"/>
      <c r="E253" s="19">
        <f>IF($D253="","",IFERROR(VLOOKUP($D253,'Catálogo'!$A:$B,2,FALSE),"⚠ Código no existe"))</f>
      </c>
      <c r="F253" s="21"/>
      <c r="G253" s="20"/>
      <c r="H253" s="22"/>
      <c r="I253" s="16">
        <f>IF($D253="","",IFERROR(VLOOKUP($D253,'Catálogo'!$A:$F,6,FALSE),0))</f>
      </c>
      <c r="J253" s="16">
        <f>IF($D253="","",$F253*$I253)</f>
      </c>
      <c r="K253" s="16">
        <f>IF($D253="","",'Config'!$B$11+'Config'!$B$12)</f>
      </c>
      <c r="L253" s="16">
        <f>IF($D253="","",$H253-$J253-$K253)</f>
      </c>
      <c r="M253" s="19">
        <f>IF($D253="","",$D253&amp;"|"&amp;$G253)</f>
      </c>
      <c r="N253" s="18">
        <f>IF($D253="","",IF($H253=0,0,$L253/$H253))</f>
      </c>
      <c r="O253" s="20"/>
    </row>
    <row r="254">
      <c r="A254" s="23"/>
      <c r="B254" s="20"/>
      <c r="C254" s="20"/>
      <c r="D254" s="20"/>
      <c r="E254" s="19">
        <f>IF($D254="","",IFERROR(VLOOKUP($D254,'Catálogo'!$A:$B,2,FALSE),"⚠ Código no existe"))</f>
      </c>
      <c r="F254" s="21"/>
      <c r="G254" s="20"/>
      <c r="H254" s="22"/>
      <c r="I254" s="16">
        <f>IF($D254="","",IFERROR(VLOOKUP($D254,'Catálogo'!$A:$F,6,FALSE),0))</f>
      </c>
      <c r="J254" s="16">
        <f>IF($D254="","",$F254*$I254)</f>
      </c>
      <c r="K254" s="16">
        <f>IF($D254="","",'Config'!$B$11+'Config'!$B$12)</f>
      </c>
      <c r="L254" s="16">
        <f>IF($D254="","",$H254-$J254-$K254)</f>
      </c>
      <c r="M254" s="19">
        <f>IF($D254="","",$D254&amp;"|"&amp;$G254)</f>
      </c>
      <c r="N254" s="18">
        <f>IF($D254="","",IF($H254=0,0,$L254/$H254))</f>
      </c>
      <c r="O254" s="20"/>
    </row>
    <row r="255">
      <c r="A255" s="23"/>
      <c r="B255" s="20"/>
      <c r="C255" s="20"/>
      <c r="D255" s="20"/>
      <c r="E255" s="19">
        <f>IF($D255="","",IFERROR(VLOOKUP($D255,'Catálogo'!$A:$B,2,FALSE),"⚠ Código no existe"))</f>
      </c>
      <c r="F255" s="21"/>
      <c r="G255" s="20"/>
      <c r="H255" s="22"/>
      <c r="I255" s="16">
        <f>IF($D255="","",IFERROR(VLOOKUP($D255,'Catálogo'!$A:$F,6,FALSE),0))</f>
      </c>
      <c r="J255" s="16">
        <f>IF($D255="","",$F255*$I255)</f>
      </c>
      <c r="K255" s="16">
        <f>IF($D255="","",'Config'!$B$11+'Config'!$B$12)</f>
      </c>
      <c r="L255" s="16">
        <f>IF($D255="","",$H255-$J255-$K255)</f>
      </c>
      <c r="M255" s="19">
        <f>IF($D255="","",$D255&amp;"|"&amp;$G255)</f>
      </c>
      <c r="N255" s="18">
        <f>IF($D255="","",IF($H255=0,0,$L255/$H255))</f>
      </c>
      <c r="O255" s="20"/>
    </row>
    <row r="256">
      <c r="A256" s="23"/>
      <c r="B256" s="20"/>
      <c r="C256" s="20"/>
      <c r="D256" s="20"/>
      <c r="E256" s="19">
        <f>IF($D256="","",IFERROR(VLOOKUP($D256,'Catálogo'!$A:$B,2,FALSE),"⚠ Código no existe"))</f>
      </c>
      <c r="F256" s="21"/>
      <c r="G256" s="20"/>
      <c r="H256" s="22"/>
      <c r="I256" s="16">
        <f>IF($D256="","",IFERROR(VLOOKUP($D256,'Catálogo'!$A:$F,6,FALSE),0))</f>
      </c>
      <c r="J256" s="16">
        <f>IF($D256="","",$F256*$I256)</f>
      </c>
      <c r="K256" s="16">
        <f>IF($D256="","",'Config'!$B$11+'Config'!$B$12)</f>
      </c>
      <c r="L256" s="16">
        <f>IF($D256="","",$H256-$J256-$K256)</f>
      </c>
      <c r="M256" s="19">
        <f>IF($D256="","",$D256&amp;"|"&amp;$G256)</f>
      </c>
      <c r="N256" s="18">
        <f>IF($D256="","",IF($H256=0,0,$L256/$H256))</f>
      </c>
      <c r="O256" s="20"/>
    </row>
    <row r="257">
      <c r="A257" s="23"/>
      <c r="B257" s="20"/>
      <c r="C257" s="20"/>
      <c r="D257" s="20"/>
      <c r="E257" s="19">
        <f>IF($D257="","",IFERROR(VLOOKUP($D257,'Catálogo'!$A:$B,2,FALSE),"⚠ Código no existe"))</f>
      </c>
      <c r="F257" s="21"/>
      <c r="G257" s="20"/>
      <c r="H257" s="22"/>
      <c r="I257" s="16">
        <f>IF($D257="","",IFERROR(VLOOKUP($D257,'Catálogo'!$A:$F,6,FALSE),0))</f>
      </c>
      <c r="J257" s="16">
        <f>IF($D257="","",$F257*$I257)</f>
      </c>
      <c r="K257" s="16">
        <f>IF($D257="","",'Config'!$B$11+'Config'!$B$12)</f>
      </c>
      <c r="L257" s="16">
        <f>IF($D257="","",$H257-$J257-$K257)</f>
      </c>
      <c r="M257" s="19">
        <f>IF($D257="","",$D257&amp;"|"&amp;$G257)</f>
      </c>
      <c r="N257" s="18">
        <f>IF($D257="","",IF($H257=0,0,$L257/$H257))</f>
      </c>
      <c r="O257" s="20"/>
    </row>
    <row r="258">
      <c r="A258" s="23"/>
      <c r="B258" s="20"/>
      <c r="C258" s="20"/>
      <c r="D258" s="20"/>
      <c r="E258" s="19">
        <f>IF($D258="","",IFERROR(VLOOKUP($D258,'Catálogo'!$A:$B,2,FALSE),"⚠ Código no existe"))</f>
      </c>
      <c r="F258" s="21"/>
      <c r="G258" s="20"/>
      <c r="H258" s="22"/>
      <c r="I258" s="16">
        <f>IF($D258="","",IFERROR(VLOOKUP($D258,'Catálogo'!$A:$F,6,FALSE),0))</f>
      </c>
      <c r="J258" s="16">
        <f>IF($D258="","",$F258*$I258)</f>
      </c>
      <c r="K258" s="16">
        <f>IF($D258="","",'Config'!$B$11+'Config'!$B$12)</f>
      </c>
      <c r="L258" s="16">
        <f>IF($D258="","",$H258-$J258-$K258)</f>
      </c>
      <c r="M258" s="19">
        <f>IF($D258="","",$D258&amp;"|"&amp;$G258)</f>
      </c>
      <c r="N258" s="18">
        <f>IF($D258="","",IF($H258=0,0,$L258/$H258))</f>
      </c>
      <c r="O258" s="20"/>
    </row>
    <row r="259">
      <c r="A259" s="23"/>
      <c r="B259" s="20"/>
      <c r="C259" s="20"/>
      <c r="D259" s="20"/>
      <c r="E259" s="19">
        <f>IF($D259="","",IFERROR(VLOOKUP($D259,'Catálogo'!$A:$B,2,FALSE),"⚠ Código no existe"))</f>
      </c>
      <c r="F259" s="21"/>
      <c r="G259" s="20"/>
      <c r="H259" s="22"/>
      <c r="I259" s="16">
        <f>IF($D259="","",IFERROR(VLOOKUP($D259,'Catálogo'!$A:$F,6,FALSE),0))</f>
      </c>
      <c r="J259" s="16">
        <f>IF($D259="","",$F259*$I259)</f>
      </c>
      <c r="K259" s="16">
        <f>IF($D259="","",'Config'!$B$11+'Config'!$B$12)</f>
      </c>
      <c r="L259" s="16">
        <f>IF($D259="","",$H259-$J259-$K259)</f>
      </c>
      <c r="M259" s="19">
        <f>IF($D259="","",$D259&amp;"|"&amp;$G259)</f>
      </c>
      <c r="N259" s="18">
        <f>IF($D259="","",IF($H259=0,0,$L259/$H259))</f>
      </c>
      <c r="O259" s="20"/>
    </row>
    <row r="260">
      <c r="A260" s="23"/>
      <c r="B260" s="20"/>
      <c r="C260" s="20"/>
      <c r="D260" s="20"/>
      <c r="E260" s="19">
        <f>IF($D260="","",IFERROR(VLOOKUP($D260,'Catálogo'!$A:$B,2,FALSE),"⚠ Código no existe"))</f>
      </c>
      <c r="F260" s="21"/>
      <c r="G260" s="20"/>
      <c r="H260" s="22"/>
      <c r="I260" s="16">
        <f>IF($D260="","",IFERROR(VLOOKUP($D260,'Catálogo'!$A:$F,6,FALSE),0))</f>
      </c>
      <c r="J260" s="16">
        <f>IF($D260="","",$F260*$I260)</f>
      </c>
      <c r="K260" s="16">
        <f>IF($D260="","",'Config'!$B$11+'Config'!$B$12)</f>
      </c>
      <c r="L260" s="16">
        <f>IF($D260="","",$H260-$J260-$K260)</f>
      </c>
      <c r="M260" s="19">
        <f>IF($D260="","",$D260&amp;"|"&amp;$G260)</f>
      </c>
      <c r="N260" s="18">
        <f>IF($D260="","",IF($H260=0,0,$L260/$H260))</f>
      </c>
      <c r="O260" s="20"/>
    </row>
    <row r="261">
      <c r="A261" s="23"/>
      <c r="B261" s="20"/>
      <c r="C261" s="20"/>
      <c r="D261" s="20"/>
      <c r="E261" s="19">
        <f>IF($D261="","",IFERROR(VLOOKUP($D261,'Catálogo'!$A:$B,2,FALSE),"⚠ Código no existe"))</f>
      </c>
      <c r="F261" s="21"/>
      <c r="G261" s="20"/>
      <c r="H261" s="22"/>
      <c r="I261" s="16">
        <f>IF($D261="","",IFERROR(VLOOKUP($D261,'Catálogo'!$A:$F,6,FALSE),0))</f>
      </c>
      <c r="J261" s="16">
        <f>IF($D261="","",$F261*$I261)</f>
      </c>
      <c r="K261" s="16">
        <f>IF($D261="","",'Config'!$B$11+'Config'!$B$12)</f>
      </c>
      <c r="L261" s="16">
        <f>IF($D261="","",$H261-$J261-$K261)</f>
      </c>
      <c r="M261" s="19">
        <f>IF($D261="","",$D261&amp;"|"&amp;$G261)</f>
      </c>
      <c r="N261" s="18">
        <f>IF($D261="","",IF($H261=0,0,$L261/$H261))</f>
      </c>
      <c r="O261" s="20"/>
    </row>
    <row r="262">
      <c r="A262" s="23"/>
      <c r="B262" s="20"/>
      <c r="C262" s="20"/>
      <c r="D262" s="20"/>
      <c r="E262" s="19">
        <f>IF($D262="","",IFERROR(VLOOKUP($D262,'Catálogo'!$A:$B,2,FALSE),"⚠ Código no existe"))</f>
      </c>
      <c r="F262" s="21"/>
      <c r="G262" s="20"/>
      <c r="H262" s="22"/>
      <c r="I262" s="16">
        <f>IF($D262="","",IFERROR(VLOOKUP($D262,'Catálogo'!$A:$F,6,FALSE),0))</f>
      </c>
      <c r="J262" s="16">
        <f>IF($D262="","",$F262*$I262)</f>
      </c>
      <c r="K262" s="16">
        <f>IF($D262="","",'Config'!$B$11+'Config'!$B$12)</f>
      </c>
      <c r="L262" s="16">
        <f>IF($D262="","",$H262-$J262-$K262)</f>
      </c>
      <c r="M262" s="19">
        <f>IF($D262="","",$D262&amp;"|"&amp;$G262)</f>
      </c>
      <c r="N262" s="18">
        <f>IF($D262="","",IF($H262=0,0,$L262/$H262))</f>
      </c>
      <c r="O262" s="20"/>
    </row>
    <row r="263">
      <c r="A263" s="23"/>
      <c r="B263" s="20"/>
      <c r="C263" s="20"/>
      <c r="D263" s="20"/>
      <c r="E263" s="19">
        <f>IF($D263="","",IFERROR(VLOOKUP($D263,'Catálogo'!$A:$B,2,FALSE),"⚠ Código no existe"))</f>
      </c>
      <c r="F263" s="21"/>
      <c r="G263" s="20"/>
      <c r="H263" s="22"/>
      <c r="I263" s="16">
        <f>IF($D263="","",IFERROR(VLOOKUP($D263,'Catálogo'!$A:$F,6,FALSE),0))</f>
      </c>
      <c r="J263" s="16">
        <f>IF($D263="","",$F263*$I263)</f>
      </c>
      <c r="K263" s="16">
        <f>IF($D263="","",'Config'!$B$11+'Config'!$B$12)</f>
      </c>
      <c r="L263" s="16">
        <f>IF($D263="","",$H263-$J263-$K263)</f>
      </c>
      <c r="M263" s="19">
        <f>IF($D263="","",$D263&amp;"|"&amp;$G263)</f>
      </c>
      <c r="N263" s="18">
        <f>IF($D263="","",IF($H263=0,0,$L263/$H263))</f>
      </c>
      <c r="O263" s="20"/>
    </row>
    <row r="264">
      <c r="A264" s="23"/>
      <c r="B264" s="20"/>
      <c r="C264" s="20"/>
      <c r="D264" s="20"/>
      <c r="E264" s="19">
        <f>IF($D264="","",IFERROR(VLOOKUP($D264,'Catálogo'!$A:$B,2,FALSE),"⚠ Código no existe"))</f>
      </c>
      <c r="F264" s="21"/>
      <c r="G264" s="20"/>
      <c r="H264" s="22"/>
      <c r="I264" s="16">
        <f>IF($D264="","",IFERROR(VLOOKUP($D264,'Catálogo'!$A:$F,6,FALSE),0))</f>
      </c>
      <c r="J264" s="16">
        <f>IF($D264="","",$F264*$I264)</f>
      </c>
      <c r="K264" s="16">
        <f>IF($D264="","",'Config'!$B$11+'Config'!$B$12)</f>
      </c>
      <c r="L264" s="16">
        <f>IF($D264="","",$H264-$J264-$K264)</f>
      </c>
      <c r="M264" s="19">
        <f>IF($D264="","",$D264&amp;"|"&amp;$G264)</f>
      </c>
      <c r="N264" s="18">
        <f>IF($D264="","",IF($H264=0,0,$L264/$H264))</f>
      </c>
      <c r="O264" s="20"/>
    </row>
    <row r="265">
      <c r="A265" s="23"/>
      <c r="B265" s="20"/>
      <c r="C265" s="20"/>
      <c r="D265" s="20"/>
      <c r="E265" s="19">
        <f>IF($D265="","",IFERROR(VLOOKUP($D265,'Catálogo'!$A:$B,2,FALSE),"⚠ Código no existe"))</f>
      </c>
      <c r="F265" s="21"/>
      <c r="G265" s="20"/>
      <c r="H265" s="22"/>
      <c r="I265" s="16">
        <f>IF($D265="","",IFERROR(VLOOKUP($D265,'Catálogo'!$A:$F,6,FALSE),0))</f>
      </c>
      <c r="J265" s="16">
        <f>IF($D265="","",$F265*$I265)</f>
      </c>
      <c r="K265" s="16">
        <f>IF($D265="","",'Config'!$B$11+'Config'!$B$12)</f>
      </c>
      <c r="L265" s="16">
        <f>IF($D265="","",$H265-$J265-$K265)</f>
      </c>
      <c r="M265" s="19">
        <f>IF($D265="","",$D265&amp;"|"&amp;$G265)</f>
      </c>
      <c r="N265" s="18">
        <f>IF($D265="","",IF($H265=0,0,$L265/$H265))</f>
      </c>
      <c r="O265" s="20"/>
    </row>
    <row r="266">
      <c r="A266" s="23"/>
      <c r="B266" s="20"/>
      <c r="C266" s="20"/>
      <c r="D266" s="20"/>
      <c r="E266" s="19">
        <f>IF($D266="","",IFERROR(VLOOKUP($D266,'Catálogo'!$A:$B,2,FALSE),"⚠ Código no existe"))</f>
      </c>
      <c r="F266" s="21"/>
      <c r="G266" s="20"/>
      <c r="H266" s="22"/>
      <c r="I266" s="16">
        <f>IF($D266="","",IFERROR(VLOOKUP($D266,'Catálogo'!$A:$F,6,FALSE),0))</f>
      </c>
      <c r="J266" s="16">
        <f>IF($D266="","",$F266*$I266)</f>
      </c>
      <c r="K266" s="16">
        <f>IF($D266="","",'Config'!$B$11+'Config'!$B$12)</f>
      </c>
      <c r="L266" s="16">
        <f>IF($D266="","",$H266-$J266-$K266)</f>
      </c>
      <c r="M266" s="19">
        <f>IF($D266="","",$D266&amp;"|"&amp;$G266)</f>
      </c>
      <c r="N266" s="18">
        <f>IF($D266="","",IF($H266=0,0,$L266/$H266))</f>
      </c>
      <c r="O266" s="20"/>
    </row>
    <row r="267">
      <c r="A267" s="23"/>
      <c r="B267" s="20"/>
      <c r="C267" s="20"/>
      <c r="D267" s="20"/>
      <c r="E267" s="19">
        <f>IF($D267="","",IFERROR(VLOOKUP($D267,'Catálogo'!$A:$B,2,FALSE),"⚠ Código no existe"))</f>
      </c>
      <c r="F267" s="21"/>
      <c r="G267" s="20"/>
      <c r="H267" s="22"/>
      <c r="I267" s="16">
        <f>IF($D267="","",IFERROR(VLOOKUP($D267,'Catálogo'!$A:$F,6,FALSE),0))</f>
      </c>
      <c r="J267" s="16">
        <f>IF($D267="","",$F267*$I267)</f>
      </c>
      <c r="K267" s="16">
        <f>IF($D267="","",'Config'!$B$11+'Config'!$B$12)</f>
      </c>
      <c r="L267" s="16">
        <f>IF($D267="","",$H267-$J267-$K267)</f>
      </c>
      <c r="M267" s="19">
        <f>IF($D267="","",$D267&amp;"|"&amp;$G267)</f>
      </c>
      <c r="N267" s="18">
        <f>IF($D267="","",IF($H267=0,0,$L267/$H267))</f>
      </c>
      <c r="O267" s="20"/>
    </row>
    <row r="268">
      <c r="A268" s="23"/>
      <c r="B268" s="20"/>
      <c r="C268" s="20"/>
      <c r="D268" s="20"/>
      <c r="E268" s="19">
        <f>IF($D268="","",IFERROR(VLOOKUP($D268,'Catálogo'!$A:$B,2,FALSE),"⚠ Código no existe"))</f>
      </c>
      <c r="F268" s="21"/>
      <c r="G268" s="20"/>
      <c r="H268" s="22"/>
      <c r="I268" s="16">
        <f>IF($D268="","",IFERROR(VLOOKUP($D268,'Catálogo'!$A:$F,6,FALSE),0))</f>
      </c>
      <c r="J268" s="16">
        <f>IF($D268="","",$F268*$I268)</f>
      </c>
      <c r="K268" s="16">
        <f>IF($D268="","",'Config'!$B$11+'Config'!$B$12)</f>
      </c>
      <c r="L268" s="16">
        <f>IF($D268="","",$H268-$J268-$K268)</f>
      </c>
      <c r="M268" s="19">
        <f>IF($D268="","",$D268&amp;"|"&amp;$G268)</f>
      </c>
      <c r="N268" s="18">
        <f>IF($D268="","",IF($H268=0,0,$L268/$H268))</f>
      </c>
      <c r="O268" s="20"/>
    </row>
    <row r="269">
      <c r="A269" s="23"/>
      <c r="B269" s="20"/>
      <c r="C269" s="20"/>
      <c r="D269" s="20"/>
      <c r="E269" s="19">
        <f>IF($D269="","",IFERROR(VLOOKUP($D269,'Catálogo'!$A:$B,2,FALSE),"⚠ Código no existe"))</f>
      </c>
      <c r="F269" s="21"/>
      <c r="G269" s="20"/>
      <c r="H269" s="22"/>
      <c r="I269" s="16">
        <f>IF($D269="","",IFERROR(VLOOKUP($D269,'Catálogo'!$A:$F,6,FALSE),0))</f>
      </c>
      <c r="J269" s="16">
        <f>IF($D269="","",$F269*$I269)</f>
      </c>
      <c r="K269" s="16">
        <f>IF($D269="","",'Config'!$B$11+'Config'!$B$12)</f>
      </c>
      <c r="L269" s="16">
        <f>IF($D269="","",$H269-$J269-$K269)</f>
      </c>
      <c r="M269" s="19">
        <f>IF($D269="","",$D269&amp;"|"&amp;$G269)</f>
      </c>
      <c r="N269" s="18">
        <f>IF($D269="","",IF($H269=0,0,$L269/$H269))</f>
      </c>
      <c r="O269" s="20"/>
    </row>
    <row r="270">
      <c r="A270" s="23"/>
      <c r="B270" s="20"/>
      <c r="C270" s="20"/>
      <c r="D270" s="20"/>
      <c r="E270" s="19">
        <f>IF($D270="","",IFERROR(VLOOKUP($D270,'Catálogo'!$A:$B,2,FALSE),"⚠ Código no existe"))</f>
      </c>
      <c r="F270" s="21"/>
      <c r="G270" s="20"/>
      <c r="H270" s="22"/>
      <c r="I270" s="16">
        <f>IF($D270="","",IFERROR(VLOOKUP($D270,'Catálogo'!$A:$F,6,FALSE),0))</f>
      </c>
      <c r="J270" s="16">
        <f>IF($D270="","",$F270*$I270)</f>
      </c>
      <c r="K270" s="16">
        <f>IF($D270="","",'Config'!$B$11+'Config'!$B$12)</f>
      </c>
      <c r="L270" s="16">
        <f>IF($D270="","",$H270-$J270-$K270)</f>
      </c>
      <c r="M270" s="19">
        <f>IF($D270="","",$D270&amp;"|"&amp;$G270)</f>
      </c>
      <c r="N270" s="18">
        <f>IF($D270="","",IF($H270=0,0,$L270/$H270))</f>
      </c>
      <c r="O270" s="20"/>
    </row>
    <row r="271">
      <c r="A271" s="23"/>
      <c r="B271" s="20"/>
      <c r="C271" s="20"/>
      <c r="D271" s="20"/>
      <c r="E271" s="19">
        <f>IF($D271="","",IFERROR(VLOOKUP($D271,'Catálogo'!$A:$B,2,FALSE),"⚠ Código no existe"))</f>
      </c>
      <c r="F271" s="21"/>
      <c r="G271" s="20"/>
      <c r="H271" s="22"/>
      <c r="I271" s="16">
        <f>IF($D271="","",IFERROR(VLOOKUP($D271,'Catálogo'!$A:$F,6,FALSE),0))</f>
      </c>
      <c r="J271" s="16">
        <f>IF($D271="","",$F271*$I271)</f>
      </c>
      <c r="K271" s="16">
        <f>IF($D271="","",'Config'!$B$11+'Config'!$B$12)</f>
      </c>
      <c r="L271" s="16">
        <f>IF($D271="","",$H271-$J271-$K271)</f>
      </c>
      <c r="M271" s="19">
        <f>IF($D271="","",$D271&amp;"|"&amp;$G271)</f>
      </c>
      <c r="N271" s="18">
        <f>IF($D271="","",IF($H271=0,0,$L271/$H271))</f>
      </c>
      <c r="O271" s="20"/>
    </row>
    <row r="272">
      <c r="A272" s="23"/>
      <c r="B272" s="20"/>
      <c r="C272" s="20"/>
      <c r="D272" s="20"/>
      <c r="E272" s="19">
        <f>IF($D272="","",IFERROR(VLOOKUP($D272,'Catálogo'!$A:$B,2,FALSE),"⚠ Código no existe"))</f>
      </c>
      <c r="F272" s="21"/>
      <c r="G272" s="20"/>
      <c r="H272" s="22"/>
      <c r="I272" s="16">
        <f>IF($D272="","",IFERROR(VLOOKUP($D272,'Catálogo'!$A:$F,6,FALSE),0))</f>
      </c>
      <c r="J272" s="16">
        <f>IF($D272="","",$F272*$I272)</f>
      </c>
      <c r="K272" s="16">
        <f>IF($D272="","",'Config'!$B$11+'Config'!$B$12)</f>
      </c>
      <c r="L272" s="16">
        <f>IF($D272="","",$H272-$J272-$K272)</f>
      </c>
      <c r="M272" s="19">
        <f>IF($D272="","",$D272&amp;"|"&amp;$G272)</f>
      </c>
      <c r="N272" s="18">
        <f>IF($D272="","",IF($H272=0,0,$L272/$H272))</f>
      </c>
      <c r="O272" s="20"/>
    </row>
    <row r="273">
      <c r="A273" s="23"/>
      <c r="B273" s="20"/>
      <c r="C273" s="20"/>
      <c r="D273" s="20"/>
      <c r="E273" s="19">
        <f>IF($D273="","",IFERROR(VLOOKUP($D273,'Catálogo'!$A:$B,2,FALSE),"⚠ Código no existe"))</f>
      </c>
      <c r="F273" s="21"/>
      <c r="G273" s="20"/>
      <c r="H273" s="22"/>
      <c r="I273" s="16">
        <f>IF($D273="","",IFERROR(VLOOKUP($D273,'Catálogo'!$A:$F,6,FALSE),0))</f>
      </c>
      <c r="J273" s="16">
        <f>IF($D273="","",$F273*$I273)</f>
      </c>
      <c r="K273" s="16">
        <f>IF($D273="","",'Config'!$B$11+'Config'!$B$12)</f>
      </c>
      <c r="L273" s="16">
        <f>IF($D273="","",$H273-$J273-$K273)</f>
      </c>
      <c r="M273" s="19">
        <f>IF($D273="","",$D273&amp;"|"&amp;$G273)</f>
      </c>
      <c r="N273" s="18">
        <f>IF($D273="","",IF($H273=0,0,$L273/$H273))</f>
      </c>
      <c r="O273" s="20"/>
    </row>
    <row r="274">
      <c r="A274" s="23"/>
      <c r="B274" s="20"/>
      <c r="C274" s="20"/>
      <c r="D274" s="20"/>
      <c r="E274" s="19">
        <f>IF($D274="","",IFERROR(VLOOKUP($D274,'Catálogo'!$A:$B,2,FALSE),"⚠ Código no existe"))</f>
      </c>
      <c r="F274" s="21"/>
      <c r="G274" s="20"/>
      <c r="H274" s="22"/>
      <c r="I274" s="16">
        <f>IF($D274="","",IFERROR(VLOOKUP($D274,'Catálogo'!$A:$F,6,FALSE),0))</f>
      </c>
      <c r="J274" s="16">
        <f>IF($D274="","",$F274*$I274)</f>
      </c>
      <c r="K274" s="16">
        <f>IF($D274="","",'Config'!$B$11+'Config'!$B$12)</f>
      </c>
      <c r="L274" s="16">
        <f>IF($D274="","",$H274-$J274-$K274)</f>
      </c>
      <c r="M274" s="19">
        <f>IF($D274="","",$D274&amp;"|"&amp;$G274)</f>
      </c>
      <c r="N274" s="18">
        <f>IF($D274="","",IF($H274=0,0,$L274/$H274))</f>
      </c>
      <c r="O274" s="20"/>
    </row>
    <row r="275">
      <c r="A275" s="23"/>
      <c r="B275" s="20"/>
      <c r="C275" s="20"/>
      <c r="D275" s="20"/>
      <c r="E275" s="19">
        <f>IF($D275="","",IFERROR(VLOOKUP($D275,'Catálogo'!$A:$B,2,FALSE),"⚠ Código no existe"))</f>
      </c>
      <c r="F275" s="21"/>
      <c r="G275" s="20"/>
      <c r="H275" s="22"/>
      <c r="I275" s="16">
        <f>IF($D275="","",IFERROR(VLOOKUP($D275,'Catálogo'!$A:$F,6,FALSE),0))</f>
      </c>
      <c r="J275" s="16">
        <f>IF($D275="","",$F275*$I275)</f>
      </c>
      <c r="K275" s="16">
        <f>IF($D275="","",'Config'!$B$11+'Config'!$B$12)</f>
      </c>
      <c r="L275" s="16">
        <f>IF($D275="","",$H275-$J275-$K275)</f>
      </c>
      <c r="M275" s="19">
        <f>IF($D275="","",$D275&amp;"|"&amp;$G275)</f>
      </c>
      <c r="N275" s="18">
        <f>IF($D275="","",IF($H275=0,0,$L275/$H275))</f>
      </c>
      <c r="O275" s="20"/>
    </row>
    <row r="276">
      <c r="A276" s="23"/>
      <c r="B276" s="20"/>
      <c r="C276" s="20"/>
      <c r="D276" s="20"/>
      <c r="E276" s="19">
        <f>IF($D276="","",IFERROR(VLOOKUP($D276,'Catálogo'!$A:$B,2,FALSE),"⚠ Código no existe"))</f>
      </c>
      <c r="F276" s="21"/>
      <c r="G276" s="20"/>
      <c r="H276" s="22"/>
      <c r="I276" s="16">
        <f>IF($D276="","",IFERROR(VLOOKUP($D276,'Catálogo'!$A:$F,6,FALSE),0))</f>
      </c>
      <c r="J276" s="16">
        <f>IF($D276="","",$F276*$I276)</f>
      </c>
      <c r="K276" s="16">
        <f>IF($D276="","",'Config'!$B$11+'Config'!$B$12)</f>
      </c>
      <c r="L276" s="16">
        <f>IF($D276="","",$H276-$J276-$K276)</f>
      </c>
      <c r="M276" s="19">
        <f>IF($D276="","",$D276&amp;"|"&amp;$G276)</f>
      </c>
      <c r="N276" s="18">
        <f>IF($D276="","",IF($H276=0,0,$L276/$H276))</f>
      </c>
      <c r="O276" s="20"/>
    </row>
    <row r="277">
      <c r="A277" s="23"/>
      <c r="B277" s="20"/>
      <c r="C277" s="20"/>
      <c r="D277" s="20"/>
      <c r="E277" s="19">
        <f>IF($D277="","",IFERROR(VLOOKUP($D277,'Catálogo'!$A:$B,2,FALSE),"⚠ Código no existe"))</f>
      </c>
      <c r="F277" s="21"/>
      <c r="G277" s="20"/>
      <c r="H277" s="22"/>
      <c r="I277" s="16">
        <f>IF($D277="","",IFERROR(VLOOKUP($D277,'Catálogo'!$A:$F,6,FALSE),0))</f>
      </c>
      <c r="J277" s="16">
        <f>IF($D277="","",$F277*$I277)</f>
      </c>
      <c r="K277" s="16">
        <f>IF($D277="","",'Config'!$B$11+'Config'!$B$12)</f>
      </c>
      <c r="L277" s="16">
        <f>IF($D277="","",$H277-$J277-$K277)</f>
      </c>
      <c r="M277" s="19">
        <f>IF($D277="","",$D277&amp;"|"&amp;$G277)</f>
      </c>
      <c r="N277" s="18">
        <f>IF($D277="","",IF($H277=0,0,$L277/$H277))</f>
      </c>
      <c r="O277" s="20"/>
    </row>
    <row r="278">
      <c r="A278" s="23"/>
      <c r="B278" s="20"/>
      <c r="C278" s="20"/>
      <c r="D278" s="20"/>
      <c r="E278" s="19">
        <f>IF($D278="","",IFERROR(VLOOKUP($D278,'Catálogo'!$A:$B,2,FALSE),"⚠ Código no existe"))</f>
      </c>
      <c r="F278" s="21"/>
      <c r="G278" s="20"/>
      <c r="H278" s="22"/>
      <c r="I278" s="16">
        <f>IF($D278="","",IFERROR(VLOOKUP($D278,'Catálogo'!$A:$F,6,FALSE),0))</f>
      </c>
      <c r="J278" s="16">
        <f>IF($D278="","",$F278*$I278)</f>
      </c>
      <c r="K278" s="16">
        <f>IF($D278="","",'Config'!$B$11+'Config'!$B$12)</f>
      </c>
      <c r="L278" s="16">
        <f>IF($D278="","",$H278-$J278-$K278)</f>
      </c>
      <c r="M278" s="19">
        <f>IF($D278="","",$D278&amp;"|"&amp;$G278)</f>
      </c>
      <c r="N278" s="18">
        <f>IF($D278="","",IF($H278=0,0,$L278/$H278))</f>
      </c>
      <c r="O278" s="20"/>
    </row>
    <row r="279">
      <c r="A279" s="23"/>
      <c r="B279" s="20"/>
      <c r="C279" s="20"/>
      <c r="D279" s="20"/>
      <c r="E279" s="19">
        <f>IF($D279="","",IFERROR(VLOOKUP($D279,'Catálogo'!$A:$B,2,FALSE),"⚠ Código no existe"))</f>
      </c>
      <c r="F279" s="21"/>
      <c r="G279" s="20"/>
      <c r="H279" s="22"/>
      <c r="I279" s="16">
        <f>IF($D279="","",IFERROR(VLOOKUP($D279,'Catálogo'!$A:$F,6,FALSE),0))</f>
      </c>
      <c r="J279" s="16">
        <f>IF($D279="","",$F279*$I279)</f>
      </c>
      <c r="K279" s="16">
        <f>IF($D279="","",'Config'!$B$11+'Config'!$B$12)</f>
      </c>
      <c r="L279" s="16">
        <f>IF($D279="","",$H279-$J279-$K279)</f>
      </c>
      <c r="M279" s="19">
        <f>IF($D279="","",$D279&amp;"|"&amp;$G279)</f>
      </c>
      <c r="N279" s="18">
        <f>IF($D279="","",IF($H279=0,0,$L279/$H279))</f>
      </c>
      <c r="O279" s="20"/>
    </row>
    <row r="280">
      <c r="A280" s="23"/>
      <c r="B280" s="20"/>
      <c r="C280" s="20"/>
      <c r="D280" s="20"/>
      <c r="E280" s="19">
        <f>IF($D280="","",IFERROR(VLOOKUP($D280,'Catálogo'!$A:$B,2,FALSE),"⚠ Código no existe"))</f>
      </c>
      <c r="F280" s="21"/>
      <c r="G280" s="20"/>
      <c r="H280" s="22"/>
      <c r="I280" s="16">
        <f>IF($D280="","",IFERROR(VLOOKUP($D280,'Catálogo'!$A:$F,6,FALSE),0))</f>
      </c>
      <c r="J280" s="16">
        <f>IF($D280="","",$F280*$I280)</f>
      </c>
      <c r="K280" s="16">
        <f>IF($D280="","",'Config'!$B$11+'Config'!$B$12)</f>
      </c>
      <c r="L280" s="16">
        <f>IF($D280="","",$H280-$J280-$K280)</f>
      </c>
      <c r="M280" s="19">
        <f>IF($D280="","",$D280&amp;"|"&amp;$G280)</f>
      </c>
      <c r="N280" s="18">
        <f>IF($D280="","",IF($H280=0,0,$L280/$H280))</f>
      </c>
      <c r="O280" s="20"/>
    </row>
    <row r="281">
      <c r="A281" s="23"/>
      <c r="B281" s="20"/>
      <c r="C281" s="20"/>
      <c r="D281" s="20"/>
      <c r="E281" s="19">
        <f>IF($D281="","",IFERROR(VLOOKUP($D281,'Catálogo'!$A:$B,2,FALSE),"⚠ Código no existe"))</f>
      </c>
      <c r="F281" s="21"/>
      <c r="G281" s="20"/>
      <c r="H281" s="22"/>
      <c r="I281" s="16">
        <f>IF($D281="","",IFERROR(VLOOKUP($D281,'Catálogo'!$A:$F,6,FALSE),0))</f>
      </c>
      <c r="J281" s="16">
        <f>IF($D281="","",$F281*$I281)</f>
      </c>
      <c r="K281" s="16">
        <f>IF($D281="","",'Config'!$B$11+'Config'!$B$12)</f>
      </c>
      <c r="L281" s="16">
        <f>IF($D281="","",$H281-$J281-$K281)</f>
      </c>
      <c r="M281" s="19">
        <f>IF($D281="","",$D281&amp;"|"&amp;$G281)</f>
      </c>
      <c r="N281" s="18">
        <f>IF($D281="","",IF($H281=0,0,$L281/$H281))</f>
      </c>
      <c r="O281" s="20"/>
    </row>
    <row r="282">
      <c r="A282" s="23"/>
      <c r="B282" s="20"/>
      <c r="C282" s="20"/>
      <c r="D282" s="20"/>
      <c r="E282" s="19">
        <f>IF($D282="","",IFERROR(VLOOKUP($D282,'Catálogo'!$A:$B,2,FALSE),"⚠ Código no existe"))</f>
      </c>
      <c r="F282" s="21"/>
      <c r="G282" s="20"/>
      <c r="H282" s="22"/>
      <c r="I282" s="16">
        <f>IF($D282="","",IFERROR(VLOOKUP($D282,'Catálogo'!$A:$F,6,FALSE),0))</f>
      </c>
      <c r="J282" s="16">
        <f>IF($D282="","",$F282*$I282)</f>
      </c>
      <c r="K282" s="16">
        <f>IF($D282="","",'Config'!$B$11+'Config'!$B$12)</f>
      </c>
      <c r="L282" s="16">
        <f>IF($D282="","",$H282-$J282-$K282)</f>
      </c>
      <c r="M282" s="19">
        <f>IF($D282="","",$D282&amp;"|"&amp;$G282)</f>
      </c>
      <c r="N282" s="18">
        <f>IF($D282="","",IF($H282=0,0,$L282/$H282))</f>
      </c>
      <c r="O282" s="20"/>
    </row>
    <row r="283">
      <c r="A283" s="23"/>
      <c r="B283" s="20"/>
      <c r="C283" s="20"/>
      <c r="D283" s="20"/>
      <c r="E283" s="19">
        <f>IF($D283="","",IFERROR(VLOOKUP($D283,'Catálogo'!$A:$B,2,FALSE),"⚠ Código no existe"))</f>
      </c>
      <c r="F283" s="21"/>
      <c r="G283" s="20"/>
      <c r="H283" s="22"/>
      <c r="I283" s="16">
        <f>IF($D283="","",IFERROR(VLOOKUP($D283,'Catálogo'!$A:$F,6,FALSE),0))</f>
      </c>
      <c r="J283" s="16">
        <f>IF($D283="","",$F283*$I283)</f>
      </c>
      <c r="K283" s="16">
        <f>IF($D283="","",'Config'!$B$11+'Config'!$B$12)</f>
      </c>
      <c r="L283" s="16">
        <f>IF($D283="","",$H283-$J283-$K283)</f>
      </c>
      <c r="M283" s="19">
        <f>IF($D283="","",$D283&amp;"|"&amp;$G283)</f>
      </c>
      <c r="N283" s="18">
        <f>IF($D283="","",IF($H283=0,0,$L283/$H283))</f>
      </c>
      <c r="O283" s="20"/>
    </row>
    <row r="284">
      <c r="A284" s="23"/>
      <c r="B284" s="20"/>
      <c r="C284" s="20"/>
      <c r="D284" s="20"/>
      <c r="E284" s="19">
        <f>IF($D284="","",IFERROR(VLOOKUP($D284,'Catálogo'!$A:$B,2,FALSE),"⚠ Código no existe"))</f>
      </c>
      <c r="F284" s="21"/>
      <c r="G284" s="20"/>
      <c r="H284" s="22"/>
      <c r="I284" s="16">
        <f>IF($D284="","",IFERROR(VLOOKUP($D284,'Catálogo'!$A:$F,6,FALSE),0))</f>
      </c>
      <c r="J284" s="16">
        <f>IF($D284="","",$F284*$I284)</f>
      </c>
      <c r="K284" s="16">
        <f>IF($D284="","",'Config'!$B$11+'Config'!$B$12)</f>
      </c>
      <c r="L284" s="16">
        <f>IF($D284="","",$H284-$J284-$K284)</f>
      </c>
      <c r="M284" s="19">
        <f>IF($D284="","",$D284&amp;"|"&amp;$G284)</f>
      </c>
      <c r="N284" s="18">
        <f>IF($D284="","",IF($H284=0,0,$L284/$H284))</f>
      </c>
      <c r="O284" s="20"/>
    </row>
    <row r="285">
      <c r="A285" s="23"/>
      <c r="B285" s="20"/>
      <c r="C285" s="20"/>
      <c r="D285" s="20"/>
      <c r="E285" s="19">
        <f>IF($D285="","",IFERROR(VLOOKUP($D285,'Catálogo'!$A:$B,2,FALSE),"⚠ Código no existe"))</f>
      </c>
      <c r="F285" s="21"/>
      <c r="G285" s="20"/>
      <c r="H285" s="22"/>
      <c r="I285" s="16">
        <f>IF($D285="","",IFERROR(VLOOKUP($D285,'Catálogo'!$A:$F,6,FALSE),0))</f>
      </c>
      <c r="J285" s="16">
        <f>IF($D285="","",$F285*$I285)</f>
      </c>
      <c r="K285" s="16">
        <f>IF($D285="","",'Config'!$B$11+'Config'!$B$12)</f>
      </c>
      <c r="L285" s="16">
        <f>IF($D285="","",$H285-$J285-$K285)</f>
      </c>
      <c r="M285" s="19">
        <f>IF($D285="","",$D285&amp;"|"&amp;$G285)</f>
      </c>
      <c r="N285" s="18">
        <f>IF($D285="","",IF($H285=0,0,$L285/$H285))</f>
      </c>
      <c r="O285" s="20"/>
    </row>
    <row r="286">
      <c r="A286" s="23"/>
      <c r="B286" s="20"/>
      <c r="C286" s="20"/>
      <c r="D286" s="20"/>
      <c r="E286" s="19">
        <f>IF($D286="","",IFERROR(VLOOKUP($D286,'Catálogo'!$A:$B,2,FALSE),"⚠ Código no existe"))</f>
      </c>
      <c r="F286" s="21"/>
      <c r="G286" s="20"/>
      <c r="H286" s="22"/>
      <c r="I286" s="16">
        <f>IF($D286="","",IFERROR(VLOOKUP($D286,'Catálogo'!$A:$F,6,FALSE),0))</f>
      </c>
      <c r="J286" s="16">
        <f>IF($D286="","",$F286*$I286)</f>
      </c>
      <c r="K286" s="16">
        <f>IF($D286="","",'Config'!$B$11+'Config'!$B$12)</f>
      </c>
      <c r="L286" s="16">
        <f>IF($D286="","",$H286-$J286-$K286)</f>
      </c>
      <c r="M286" s="19">
        <f>IF($D286="","",$D286&amp;"|"&amp;$G286)</f>
      </c>
      <c r="N286" s="18">
        <f>IF($D286="","",IF($H286=0,0,$L286/$H286))</f>
      </c>
      <c r="O286" s="20"/>
    </row>
    <row r="287">
      <c r="A287" s="23"/>
      <c r="B287" s="20"/>
      <c r="C287" s="20"/>
      <c r="D287" s="20"/>
      <c r="E287" s="19">
        <f>IF($D287="","",IFERROR(VLOOKUP($D287,'Catálogo'!$A:$B,2,FALSE),"⚠ Código no existe"))</f>
      </c>
      <c r="F287" s="21"/>
      <c r="G287" s="20"/>
      <c r="H287" s="22"/>
      <c r="I287" s="16">
        <f>IF($D287="","",IFERROR(VLOOKUP($D287,'Catálogo'!$A:$F,6,FALSE),0))</f>
      </c>
      <c r="J287" s="16">
        <f>IF($D287="","",$F287*$I287)</f>
      </c>
      <c r="K287" s="16">
        <f>IF($D287="","",'Config'!$B$11+'Config'!$B$12)</f>
      </c>
      <c r="L287" s="16">
        <f>IF($D287="","",$H287-$J287-$K287)</f>
      </c>
      <c r="M287" s="19">
        <f>IF($D287="","",$D287&amp;"|"&amp;$G287)</f>
      </c>
      <c r="N287" s="18">
        <f>IF($D287="","",IF($H287=0,0,$L287/$H287))</f>
      </c>
      <c r="O287" s="20"/>
    </row>
    <row r="288">
      <c r="A288" s="23"/>
      <c r="B288" s="20"/>
      <c r="C288" s="20"/>
      <c r="D288" s="20"/>
      <c r="E288" s="19">
        <f>IF($D288="","",IFERROR(VLOOKUP($D288,'Catálogo'!$A:$B,2,FALSE),"⚠ Código no existe"))</f>
      </c>
      <c r="F288" s="21"/>
      <c r="G288" s="20"/>
      <c r="H288" s="22"/>
      <c r="I288" s="16">
        <f>IF($D288="","",IFERROR(VLOOKUP($D288,'Catálogo'!$A:$F,6,FALSE),0))</f>
      </c>
      <c r="J288" s="16">
        <f>IF($D288="","",$F288*$I288)</f>
      </c>
      <c r="K288" s="16">
        <f>IF($D288="","",'Config'!$B$11+'Config'!$B$12)</f>
      </c>
      <c r="L288" s="16">
        <f>IF($D288="","",$H288-$J288-$K288)</f>
      </c>
      <c r="M288" s="19">
        <f>IF($D288="","",$D288&amp;"|"&amp;$G288)</f>
      </c>
      <c r="N288" s="18">
        <f>IF($D288="","",IF($H288=0,0,$L288/$H288))</f>
      </c>
      <c r="O288" s="20"/>
    </row>
    <row r="289">
      <c r="A289" s="23"/>
      <c r="B289" s="20"/>
      <c r="C289" s="20"/>
      <c r="D289" s="20"/>
      <c r="E289" s="19">
        <f>IF($D289="","",IFERROR(VLOOKUP($D289,'Catálogo'!$A:$B,2,FALSE),"⚠ Código no existe"))</f>
      </c>
      <c r="F289" s="21"/>
      <c r="G289" s="20"/>
      <c r="H289" s="22"/>
      <c r="I289" s="16">
        <f>IF($D289="","",IFERROR(VLOOKUP($D289,'Catálogo'!$A:$F,6,FALSE),0))</f>
      </c>
      <c r="J289" s="16">
        <f>IF($D289="","",$F289*$I289)</f>
      </c>
      <c r="K289" s="16">
        <f>IF($D289="","",'Config'!$B$11+'Config'!$B$12)</f>
      </c>
      <c r="L289" s="16">
        <f>IF($D289="","",$H289-$J289-$K289)</f>
      </c>
      <c r="M289" s="19">
        <f>IF($D289="","",$D289&amp;"|"&amp;$G289)</f>
      </c>
      <c r="N289" s="18">
        <f>IF($D289="","",IF($H289=0,0,$L289/$H289))</f>
      </c>
      <c r="O289" s="20"/>
    </row>
    <row r="290">
      <c r="A290" s="23"/>
      <c r="B290" s="20"/>
      <c r="C290" s="20"/>
      <c r="D290" s="20"/>
      <c r="E290" s="19">
        <f>IF($D290="","",IFERROR(VLOOKUP($D290,'Catálogo'!$A:$B,2,FALSE),"⚠ Código no existe"))</f>
      </c>
      <c r="F290" s="21"/>
      <c r="G290" s="20"/>
      <c r="H290" s="22"/>
      <c r="I290" s="16">
        <f>IF($D290="","",IFERROR(VLOOKUP($D290,'Catálogo'!$A:$F,6,FALSE),0))</f>
      </c>
      <c r="J290" s="16">
        <f>IF($D290="","",$F290*$I290)</f>
      </c>
      <c r="K290" s="16">
        <f>IF($D290="","",'Config'!$B$11+'Config'!$B$12)</f>
      </c>
      <c r="L290" s="16">
        <f>IF($D290="","",$H290-$J290-$K290)</f>
      </c>
      <c r="M290" s="19">
        <f>IF($D290="","",$D290&amp;"|"&amp;$G290)</f>
      </c>
      <c r="N290" s="18">
        <f>IF($D290="","",IF($H290=0,0,$L290/$H290))</f>
      </c>
      <c r="O290" s="20"/>
    </row>
    <row r="291">
      <c r="A291" s="23"/>
      <c r="B291" s="20"/>
      <c r="C291" s="20"/>
      <c r="D291" s="20"/>
      <c r="E291" s="19">
        <f>IF($D291="","",IFERROR(VLOOKUP($D291,'Catálogo'!$A:$B,2,FALSE),"⚠ Código no existe"))</f>
      </c>
      <c r="F291" s="21"/>
      <c r="G291" s="20"/>
      <c r="H291" s="22"/>
      <c r="I291" s="16">
        <f>IF($D291="","",IFERROR(VLOOKUP($D291,'Catálogo'!$A:$F,6,FALSE),0))</f>
      </c>
      <c r="J291" s="16">
        <f>IF($D291="","",$F291*$I291)</f>
      </c>
      <c r="K291" s="16">
        <f>IF($D291="","",'Config'!$B$11+'Config'!$B$12)</f>
      </c>
      <c r="L291" s="16">
        <f>IF($D291="","",$H291-$J291-$K291)</f>
      </c>
      <c r="M291" s="19">
        <f>IF($D291="","",$D291&amp;"|"&amp;$G291)</f>
      </c>
      <c r="N291" s="18">
        <f>IF($D291="","",IF($H291=0,0,$L291/$H291))</f>
      </c>
      <c r="O291" s="20"/>
    </row>
    <row r="292">
      <c r="A292" s="23"/>
      <c r="B292" s="20"/>
      <c r="C292" s="20"/>
      <c r="D292" s="20"/>
      <c r="E292" s="19">
        <f>IF($D292="","",IFERROR(VLOOKUP($D292,'Catálogo'!$A:$B,2,FALSE),"⚠ Código no existe"))</f>
      </c>
      <c r="F292" s="21"/>
      <c r="G292" s="20"/>
      <c r="H292" s="22"/>
      <c r="I292" s="16">
        <f>IF($D292="","",IFERROR(VLOOKUP($D292,'Catálogo'!$A:$F,6,FALSE),0))</f>
      </c>
      <c r="J292" s="16">
        <f>IF($D292="","",$F292*$I292)</f>
      </c>
      <c r="K292" s="16">
        <f>IF($D292="","",'Config'!$B$11+'Config'!$B$12)</f>
      </c>
      <c r="L292" s="16">
        <f>IF($D292="","",$H292-$J292-$K292)</f>
      </c>
      <c r="M292" s="19">
        <f>IF($D292="","",$D292&amp;"|"&amp;$G292)</f>
      </c>
      <c r="N292" s="18">
        <f>IF($D292="","",IF($H292=0,0,$L292/$H292))</f>
      </c>
      <c r="O292" s="20"/>
    </row>
    <row r="293">
      <c r="A293" s="23"/>
      <c r="B293" s="20"/>
      <c r="C293" s="20"/>
      <c r="D293" s="20"/>
      <c r="E293" s="19">
        <f>IF($D293="","",IFERROR(VLOOKUP($D293,'Catálogo'!$A:$B,2,FALSE),"⚠ Código no existe"))</f>
      </c>
      <c r="F293" s="21"/>
      <c r="G293" s="20"/>
      <c r="H293" s="22"/>
      <c r="I293" s="16">
        <f>IF($D293="","",IFERROR(VLOOKUP($D293,'Catálogo'!$A:$F,6,FALSE),0))</f>
      </c>
      <c r="J293" s="16">
        <f>IF($D293="","",$F293*$I293)</f>
      </c>
      <c r="K293" s="16">
        <f>IF($D293="","",'Config'!$B$11+'Config'!$B$12)</f>
      </c>
      <c r="L293" s="16">
        <f>IF($D293="","",$H293-$J293-$K293)</f>
      </c>
      <c r="M293" s="19">
        <f>IF($D293="","",$D293&amp;"|"&amp;$G293)</f>
      </c>
      <c r="N293" s="18">
        <f>IF($D293="","",IF($H293=0,0,$L293/$H293))</f>
      </c>
      <c r="O293" s="20"/>
    </row>
    <row r="294">
      <c r="A294" s="23"/>
      <c r="B294" s="20"/>
      <c r="C294" s="20"/>
      <c r="D294" s="20"/>
      <c r="E294" s="19">
        <f>IF($D294="","",IFERROR(VLOOKUP($D294,'Catálogo'!$A:$B,2,FALSE),"⚠ Código no existe"))</f>
      </c>
      <c r="F294" s="21"/>
      <c r="G294" s="20"/>
      <c r="H294" s="22"/>
      <c r="I294" s="16">
        <f>IF($D294="","",IFERROR(VLOOKUP($D294,'Catálogo'!$A:$F,6,FALSE),0))</f>
      </c>
      <c r="J294" s="16">
        <f>IF($D294="","",$F294*$I294)</f>
      </c>
      <c r="K294" s="16">
        <f>IF($D294="","",'Config'!$B$11+'Config'!$B$12)</f>
      </c>
      <c r="L294" s="16">
        <f>IF($D294="","",$H294-$J294-$K294)</f>
      </c>
      <c r="M294" s="19">
        <f>IF($D294="","",$D294&amp;"|"&amp;$G294)</f>
      </c>
      <c r="N294" s="18">
        <f>IF($D294="","",IF($H294=0,0,$L294/$H294))</f>
      </c>
      <c r="O294" s="20"/>
    </row>
    <row r="295">
      <c r="A295" s="23"/>
      <c r="B295" s="20"/>
      <c r="C295" s="20"/>
      <c r="D295" s="20"/>
      <c r="E295" s="19">
        <f>IF($D295="","",IFERROR(VLOOKUP($D295,'Catálogo'!$A:$B,2,FALSE),"⚠ Código no existe"))</f>
      </c>
      <c r="F295" s="21"/>
      <c r="G295" s="20"/>
      <c r="H295" s="22"/>
      <c r="I295" s="16">
        <f>IF($D295="","",IFERROR(VLOOKUP($D295,'Catálogo'!$A:$F,6,FALSE),0))</f>
      </c>
      <c r="J295" s="16">
        <f>IF($D295="","",$F295*$I295)</f>
      </c>
      <c r="K295" s="16">
        <f>IF($D295="","",'Config'!$B$11+'Config'!$B$12)</f>
      </c>
      <c r="L295" s="16">
        <f>IF($D295="","",$H295-$J295-$K295)</f>
      </c>
      <c r="M295" s="19">
        <f>IF($D295="","",$D295&amp;"|"&amp;$G295)</f>
      </c>
      <c r="N295" s="18">
        <f>IF($D295="","",IF($H295=0,0,$L295/$H295))</f>
      </c>
      <c r="O295" s="20"/>
    </row>
    <row r="296">
      <c r="A296" s="23"/>
      <c r="B296" s="20"/>
      <c r="C296" s="20"/>
      <c r="D296" s="20"/>
      <c r="E296" s="19">
        <f>IF($D296="","",IFERROR(VLOOKUP($D296,'Catálogo'!$A:$B,2,FALSE),"⚠ Código no existe"))</f>
      </c>
      <c r="F296" s="21"/>
      <c r="G296" s="20"/>
      <c r="H296" s="22"/>
      <c r="I296" s="16">
        <f>IF($D296="","",IFERROR(VLOOKUP($D296,'Catálogo'!$A:$F,6,FALSE),0))</f>
      </c>
      <c r="J296" s="16">
        <f>IF($D296="","",$F296*$I296)</f>
      </c>
      <c r="K296" s="16">
        <f>IF($D296="","",'Config'!$B$11+'Config'!$B$12)</f>
      </c>
      <c r="L296" s="16">
        <f>IF($D296="","",$H296-$J296-$K296)</f>
      </c>
      <c r="M296" s="19">
        <f>IF($D296="","",$D296&amp;"|"&amp;$G296)</f>
      </c>
      <c r="N296" s="18">
        <f>IF($D296="","",IF($H296=0,0,$L296/$H296))</f>
      </c>
      <c r="O296" s="20"/>
    </row>
    <row r="297">
      <c r="A297" s="23"/>
      <c r="B297" s="20"/>
      <c r="C297" s="20"/>
      <c r="D297" s="20"/>
      <c r="E297" s="19">
        <f>IF($D297="","",IFERROR(VLOOKUP($D297,'Catálogo'!$A:$B,2,FALSE),"⚠ Código no existe"))</f>
      </c>
      <c r="F297" s="21"/>
      <c r="G297" s="20"/>
      <c r="H297" s="22"/>
      <c r="I297" s="16">
        <f>IF($D297="","",IFERROR(VLOOKUP($D297,'Catálogo'!$A:$F,6,FALSE),0))</f>
      </c>
      <c r="J297" s="16">
        <f>IF($D297="","",$F297*$I297)</f>
      </c>
      <c r="K297" s="16">
        <f>IF($D297="","",'Config'!$B$11+'Config'!$B$12)</f>
      </c>
      <c r="L297" s="16">
        <f>IF($D297="","",$H297-$J297-$K297)</f>
      </c>
      <c r="M297" s="19">
        <f>IF($D297="","",$D297&amp;"|"&amp;$G297)</f>
      </c>
      <c r="N297" s="18">
        <f>IF($D297="","",IF($H297=0,0,$L297/$H297))</f>
      </c>
      <c r="O297" s="20"/>
    </row>
    <row r="298">
      <c r="A298" s="23"/>
      <c r="B298" s="20"/>
      <c r="C298" s="20"/>
      <c r="D298" s="20"/>
      <c r="E298" s="19">
        <f>IF($D298="","",IFERROR(VLOOKUP($D298,'Catálogo'!$A:$B,2,FALSE),"⚠ Código no existe"))</f>
      </c>
      <c r="F298" s="21"/>
      <c r="G298" s="20"/>
      <c r="H298" s="22"/>
      <c r="I298" s="16">
        <f>IF($D298="","",IFERROR(VLOOKUP($D298,'Catálogo'!$A:$F,6,FALSE),0))</f>
      </c>
      <c r="J298" s="16">
        <f>IF($D298="","",$F298*$I298)</f>
      </c>
      <c r="K298" s="16">
        <f>IF($D298="","",'Config'!$B$11+'Config'!$B$12)</f>
      </c>
      <c r="L298" s="16">
        <f>IF($D298="","",$H298-$J298-$K298)</f>
      </c>
      <c r="M298" s="19">
        <f>IF($D298="","",$D298&amp;"|"&amp;$G298)</f>
      </c>
      <c r="N298" s="18">
        <f>IF($D298="","",IF($H298=0,0,$L298/$H298))</f>
      </c>
      <c r="O298" s="20"/>
    </row>
    <row r="299">
      <c r="A299" s="23"/>
      <c r="B299" s="20"/>
      <c r="C299" s="20"/>
      <c r="D299" s="20"/>
      <c r="E299" s="19">
        <f>IF($D299="","",IFERROR(VLOOKUP($D299,'Catálogo'!$A:$B,2,FALSE),"⚠ Código no existe"))</f>
      </c>
      <c r="F299" s="21"/>
      <c r="G299" s="20"/>
      <c r="H299" s="22"/>
      <c r="I299" s="16">
        <f>IF($D299="","",IFERROR(VLOOKUP($D299,'Catálogo'!$A:$F,6,FALSE),0))</f>
      </c>
      <c r="J299" s="16">
        <f>IF($D299="","",$F299*$I299)</f>
      </c>
      <c r="K299" s="16">
        <f>IF($D299="","",'Config'!$B$11+'Config'!$B$12)</f>
      </c>
      <c r="L299" s="16">
        <f>IF($D299="","",$H299-$J299-$K299)</f>
      </c>
      <c r="M299" s="19">
        <f>IF($D299="","",$D299&amp;"|"&amp;$G299)</f>
      </c>
      <c r="N299" s="18">
        <f>IF($D299="","",IF($H299=0,0,$L299/$H299))</f>
      </c>
      <c r="O299" s="20"/>
    </row>
    <row r="300">
      <c r="A300" s="23"/>
      <c r="B300" s="20"/>
      <c r="C300" s="20"/>
      <c r="D300" s="20"/>
      <c r="E300" s="19">
        <f>IF($D300="","",IFERROR(VLOOKUP($D300,'Catálogo'!$A:$B,2,FALSE),"⚠ Código no existe"))</f>
      </c>
      <c r="F300" s="21"/>
      <c r="G300" s="20"/>
      <c r="H300" s="22"/>
      <c r="I300" s="16">
        <f>IF($D300="","",IFERROR(VLOOKUP($D300,'Catálogo'!$A:$F,6,FALSE),0))</f>
      </c>
      <c r="J300" s="16">
        <f>IF($D300="","",$F300*$I300)</f>
      </c>
      <c r="K300" s="16">
        <f>IF($D300="","",'Config'!$B$11+'Config'!$B$12)</f>
      </c>
      <c r="L300" s="16">
        <f>IF($D300="","",$H300-$J300-$K300)</f>
      </c>
      <c r="M300" s="19">
        <f>IF($D300="","",$D300&amp;"|"&amp;$G300)</f>
      </c>
      <c r="N300" s="18">
        <f>IF($D300="","",IF($H300=0,0,$L300/$H300))</f>
      </c>
      <c r="O300" s="20"/>
    </row>
    <row r="301">
      <c r="A301" s="23"/>
      <c r="B301" s="20"/>
      <c r="C301" s="20"/>
      <c r="D301" s="20"/>
      <c r="E301" s="19">
        <f>IF($D301="","",IFERROR(VLOOKUP($D301,'Catálogo'!$A:$B,2,FALSE),"⚠ Código no existe"))</f>
      </c>
      <c r="F301" s="21"/>
      <c r="G301" s="20"/>
      <c r="H301" s="22"/>
      <c r="I301" s="16">
        <f>IF($D301="","",IFERROR(VLOOKUP($D301,'Catálogo'!$A:$F,6,FALSE),0))</f>
      </c>
      <c r="J301" s="16">
        <f>IF($D301="","",$F301*$I301)</f>
      </c>
      <c r="K301" s="16">
        <f>IF($D301="","",'Config'!$B$11+'Config'!$B$12)</f>
      </c>
      <c r="L301" s="16">
        <f>IF($D301="","",$H301-$J301-$K301)</f>
      </c>
      <c r="M301" s="19">
        <f>IF($D301="","",$D301&amp;"|"&amp;$G301)</f>
      </c>
      <c r="N301" s="18">
        <f>IF($D301="","",IF($H301=0,0,$L301/$H301))</f>
      </c>
      <c r="O301" s="20"/>
    </row>
  </sheetData>
  <dataValidations count="4">
    <dataValidation type="list" allowBlank="1" showInputMessage="1" showErrorMessage="0" sqref="C2:C301">
      <formula1>'Clientes'!$B$2:$B$101</formula1>
    </dataValidation>
    <dataValidation type="list" allowBlank="1" showInputMessage="1" showErrorMessage="0" sqref="D2:D301">
      <formula1>'Catálogo'!$A$2:$A$201</formula1>
    </dataValidation>
    <dataValidation type="list" allowBlank="1" showInputMessage="1" showErrorMessage="0" sqref="G2:G301">
      <formula1>'Config'!$F$2:$F$3</formula1>
    </dataValidation>
    <dataValidation type="list" allowBlank="1" showInputMessage="1" showErrorMessage="0" sqref="O2:O301">
      <formula1>'Config'!$P$2:$P$15</formula1>
    </dataValidation>
  </dataValidations>
  <pageMargins left="0.5" right="0.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"/>
  <sheetViews>
    <sheetView workbookViewId="0" showGridLines="0"/>
  </sheetViews>
  <sheetFormatPr defaultRowHeight="15"/>
  <cols>
    <col min="1" max="1" width="38.00" customWidth="1"/>
    <col min="2" max="2" width="20.00" customWidth="1"/>
    <col min="3" max="3" width="46.00" customWidth="1"/>
  </cols>
  <sheetData>
    <row r="1" ht="40.00" customHeight="1">
      <c r="A1" s="2" t="inlineStr">
        <is>
          <t xml:space="preserve">CIERRE DIARIO · CUADRE DE CAJA</t>
        </is>
      </c>
    </row>
    <row r="3">
      <c r="A3" s="8" t="inlineStr">
        <is>
          <t xml:space="preserve">Fecha del cierre:</t>
        </is>
      </c>
      <c r="B3" s="23">
        <f>TODAY()</f>
      </c>
      <c r="C3" s="37" t="inlineStr">
        <is>
          <t xml:space="preserve">← cámbiala para ver otro día</t>
        </is>
      </c>
    </row>
    <row r="5">
      <c r="A5" s="3" t="inlineStr">
        <is>
          <t xml:space="preserve">INGRESOS DEL DÍA (entran a tu caja / cuentas)</t>
        </is>
      </c>
    </row>
    <row r="6">
      <c r="A6" s="7" t="inlineStr">
        <is>
          <t xml:space="preserve">Efectivo</t>
        </is>
      </c>
      <c r="B6" s="11">
        <f>SUMIFS('Ventas'!$H:$H,'Ventas'!$A:$A,$B$3,'Ventas'!$O:$O,"Efectivo")</f>
      </c>
    </row>
    <row r="7">
      <c r="A7" s="7" t="inlineStr">
        <is>
          <t xml:space="preserve">Nequi</t>
        </is>
      </c>
      <c r="B7" s="11">
        <f>SUMIFS('Ventas'!$H:$H,'Ventas'!$A:$A,$B$3,'Ventas'!$O:$O,"Nequi")</f>
      </c>
    </row>
    <row r="8">
      <c r="A8" s="7" t="inlineStr">
        <is>
          <t xml:space="preserve">Bancolombia</t>
        </is>
      </c>
      <c r="B8" s="11">
        <f>SUMIFS('Ventas'!$H:$H,'Ventas'!$A:$A,$B$3,'Ventas'!$O:$O,"Bancolombia")</f>
      </c>
    </row>
    <row r="9">
      <c r="A9" s="7" t="inlineStr">
        <is>
          <t xml:space="preserve">Bancolombia MM</t>
        </is>
      </c>
      <c r="B9" s="11">
        <f>SUMIFS('Ventas'!$H:$H,'Ventas'!$A:$A,$B$3,'Ventas'!$O:$O,"Bancolombia MM")</f>
      </c>
    </row>
    <row r="10">
      <c r="A10" s="7" t="inlineStr">
        <is>
          <t xml:space="preserve">Daviplata</t>
        </is>
      </c>
      <c r="B10" s="11">
        <f>SUMIFS('Ventas'!$H:$H,'Ventas'!$A:$A,$B$3,'Ventas'!$O:$O,"Daviplata")</f>
      </c>
    </row>
    <row r="11">
      <c r="A11" s="7" t="inlineStr">
        <is>
          <t xml:space="preserve">Davivienda</t>
        </is>
      </c>
      <c r="B11" s="11">
        <f>SUMIFS('Ventas'!$H:$H,'Ventas'!$A:$A,$B$3,'Ventas'!$O:$O,"Davivienda")</f>
      </c>
    </row>
    <row r="12">
      <c r="A12" s="7" t="inlineStr">
        <is>
          <t xml:space="preserve">Skydrops</t>
        </is>
      </c>
      <c r="B12" s="11">
        <f>SUMIFS('Ventas'!$H:$H,'Ventas'!$A:$A,$B$3,'Ventas'!$O:$O,"Skydrops")</f>
      </c>
    </row>
    <row r="13">
      <c r="A13" s="7" t="inlineStr">
        <is>
          <t xml:space="preserve">Subtotal ventas a caja (sin MELI)</t>
        </is>
      </c>
      <c r="B13" s="11">
        <f>SUM($B$6:$B$12)</f>
      </c>
    </row>
    <row r="14">
      <c r="A14" s="7" t="inlineStr">
        <is>
          <t xml:space="preserve">+ Abonos de préstamos recibidos hoy</t>
        </is>
      </c>
      <c r="B14" s="11">
        <f>SUMIFS('Abonos Préstamos'!$C:$C,'Abonos Préstamos'!$A:$A,$B$3)</f>
      </c>
      <c r="C14" s="37" t="inlineStr">
        <is>
          <t xml:space="preserve">Plata que te devolvieron hoy de un préstamo.</t>
        </is>
      </c>
    </row>
    <row r="15">
      <c r="A15" s="34" t="inlineStr">
        <is>
          <t xml:space="preserve">= TOTAL INGRESOS A CAJA</t>
        </is>
      </c>
      <c r="B15" s="35">
        <f>$B$13+$B$14</f>
      </c>
    </row>
    <row r="17">
      <c r="A17" s="4" t="inlineStr">
        <is>
          <t xml:space="preserve">APARTE — Mercado Libre (NO entra a tu caja)</t>
        </is>
      </c>
    </row>
    <row r="18">
      <c r="A18" s="7" t="inlineStr">
        <is>
          <t xml:space="preserve">Mercado Libre</t>
        </is>
      </c>
      <c r="B18" s="11">
        <f>SUMIFS('Ventas'!$H:$H,'Ventas'!$A:$A,$B$3,'Ventas'!$O:$O,"Mercado Libre")</f>
      </c>
      <c r="C18" s="37" t="inlineStr">
        <is>
          <t xml:space="preserve">MELI te paga directo a tu cuenta; no se mezcla con la caja del día.</t>
        </is>
      </c>
    </row>
    <row r="20">
      <c r="A20" s="3" t="inlineStr">
        <is>
          <t xml:space="preserve">SALIDAS DEL DÍA (sale de caja)</t>
        </is>
      </c>
    </row>
    <row r="21">
      <c r="A21" s="7" t="inlineStr">
        <is>
          <t xml:space="preserve">Costos fijos por ventas (Mary + bolsa/etiqueta)</t>
        </is>
      </c>
      <c r="B21" s="11">
        <f>SUMIFS('Ventas'!$K:$K,'Ventas'!$A:$A,$B$3)</f>
      </c>
    </row>
    <row r="22">
      <c r="A22" s="7" t="inlineStr">
        <is>
          <t xml:space="preserve">Préstamos entregados hoy</t>
        </is>
      </c>
      <c r="B22" s="11">
        <f>SUMIFS('Préstamos'!$E:$E,'Préstamos'!$A:$A,$B$3)</f>
      </c>
      <c r="C22" s="37" t="inlineStr">
        <is>
          <t xml:space="preserve">Plata que prestaste hoy (sale de la caja).</t>
        </is>
      </c>
    </row>
    <row r="23">
      <c r="A23" s="7" t="inlineStr">
        <is>
          <t xml:space="preserve">Otro gasto 1 (escribe descripción →)</t>
        </is>
      </c>
      <c r="B23" s="22"/>
    </row>
    <row r="24">
      <c r="A24" s="7" t="inlineStr">
        <is>
          <t xml:space="preserve">Otro gasto 2</t>
        </is>
      </c>
      <c r="B24" s="22"/>
    </row>
    <row r="25">
      <c r="A25" s="7" t="inlineStr">
        <is>
          <t xml:space="preserve">Otro gasto 3</t>
        </is>
      </c>
      <c r="B25" s="22"/>
    </row>
    <row r="26">
      <c r="A26" s="34" t="inlineStr">
        <is>
          <t xml:space="preserve">= TOTAL SALIDAS DEL DÍA</t>
        </is>
      </c>
      <c r="B26" s="35">
        <f>$B$21+$B$22+SUM($B$23:$B$25)</f>
      </c>
    </row>
    <row r="28">
      <c r="A28" s="5" t="inlineStr">
        <is>
          <t xml:space="preserve">RESUMEN DEL DÍA</t>
        </is>
      </c>
    </row>
    <row r="29">
      <c r="A29" s="7" t="inlineStr">
        <is>
          <t xml:space="preserve">Total ingresos a caja</t>
        </is>
      </c>
      <c r="B29" s="11">
        <f>$B$15</f>
      </c>
    </row>
    <row r="30">
      <c r="A30" s="7" t="inlineStr">
        <is>
          <t xml:space="preserve">Total salidas de caja</t>
        </is>
      </c>
      <c r="B30" s="11">
        <f>$B$26</f>
      </c>
    </row>
    <row r="31">
      <c r="A31" s="34" t="inlineStr">
        <is>
          <t xml:space="preserve">MOVIMIENTO NETO DE CAJA HOY</t>
        </is>
      </c>
      <c r="B31" s="35">
        <f>$B$15-$B$26</f>
      </c>
    </row>
    <row r="32">
      <c r="A32" s="7" t="inlineStr">
        <is>
          <t xml:space="preserve">Ganancia neta del día (solo ventas)</t>
        </is>
      </c>
      <c r="B32" s="11">
        <f>SUMIFS('Ventas'!$L:$L,'Ventas'!$A:$A,$B$3)</f>
      </c>
      <c r="C32" s="37" t="inlineStr">
        <is>
          <t xml:space="preserve">Los préstamos NO son ganancia ni gasto: solo mueven la caja.</t>
        </is>
      </c>
    </row>
    <row r="33">
      <c r="A33" s="7" t="inlineStr">
        <is>
          <t xml:space="preserve">Ventas por Mercado Libre (aparte)</t>
        </is>
      </c>
      <c r="B33" s="11">
        <f>$B$18</f>
      </c>
    </row>
    <row r="35">
      <c r="A35" s="3" t="inlineStr">
        <is>
          <t xml:space="preserve">CUADRE DE EFECTIVO (conteo físico de caja)</t>
        </is>
      </c>
    </row>
    <row r="36">
      <c r="A36" s="7" t="inlineStr">
        <is>
          <t xml:space="preserve">Saldo inicial de caja (efectivo de ayer) →</t>
        </is>
      </c>
      <c r="B36" s="22"/>
    </row>
    <row r="37">
      <c r="A37" s="7" t="inlineStr">
        <is>
          <t xml:space="preserve">+ Efectivo de ventas hoy</t>
        </is>
      </c>
      <c r="B37" s="11">
        <f>$B$6</f>
      </c>
    </row>
    <row r="38">
      <c r="A38" s="7" t="inlineStr">
        <is>
          <t xml:space="preserve">+ Abonos recibidos en efectivo hoy (automático)</t>
        </is>
      </c>
      <c r="B38" s="11">
        <f>SUMIFS('Abonos Préstamos'!$C:$C,'Abonos Préstamos'!$A:$A,$B$3,'Abonos Préstamos'!$D:$D,"Efectivo")</f>
      </c>
      <c r="C38" s="37" t="inlineStr">
        <is>
          <t xml:space="preserve">Sale solo de los abonos marcados como 'Efectivo'.</t>
        </is>
      </c>
    </row>
    <row r="39">
      <c r="A39" s="7" t="inlineStr">
        <is>
          <t xml:space="preserve">− Salidas en efectivo (gastos / préstamos dados) →</t>
        </is>
      </c>
      <c r="B39" s="22"/>
    </row>
    <row r="40">
      <c r="A40" s="34" t="inlineStr">
        <is>
          <t xml:space="preserve">= EFECTIVO QUE DEBERÍA HABER</t>
        </is>
      </c>
      <c r="B40" s="35">
        <f>$B$36+$B$37+$B$38-$B$39</f>
      </c>
    </row>
    <row r="41">
      <c r="A41" s="7" t="inlineStr">
        <is>
          <t xml:space="preserve">Efectivo realmente contado en caja →</t>
        </is>
      </c>
      <c r="B41" s="22"/>
    </row>
    <row r="42">
      <c r="A42" s="34" t="inlineStr">
        <is>
          <t xml:space="preserve">DIFERENCIA (contado − esperado)</t>
        </is>
      </c>
      <c r="B42" s="35">
        <f>$B$41-$B$40</f>
      </c>
      <c r="C42" s="9">
        <f>IF($B$41="","Cuenta el efectivo y escríbelo arriba",IF(ROUND($B$42,0)=0,"✅ CUADRA",IF($B$42&gt;0,"🔵 Sobra efectivo","🔴 Falta efectivo")))</f>
      </c>
    </row>
    <row r="44">
      <c r="A44" s="5" t="inlineStr">
        <is>
          <t xml:space="preserve">HISTORIAL — últimos 30 días</t>
        </is>
      </c>
    </row>
    <row r="45">
      <c r="A45" s="1" t="inlineStr">
        <is>
          <t xml:space="preserve">Día</t>
        </is>
      </c>
      <c r="B45" s="1" t="inlineStr">
        <is>
          <t xml:space="preserve">Ventas a caja</t>
        </is>
      </c>
      <c r="C45" s="1" t="inlineStr">
        <is>
          <t xml:space="preserve">Ganancia neta</t>
        </is>
      </c>
    </row>
    <row r="46">
      <c r="A46" s="14">
        <f>TODAY()-0</f>
      </c>
      <c r="B46" s="11">
        <f>SUMIFS('Ventas'!$H:$H,'Ventas'!$A:$A,$A46)-SUMIFS('Ventas'!$H:$H,'Ventas'!$A:$A,$A46,'Ventas'!$O:$O,"Mercado Libre")</f>
      </c>
      <c r="C46" s="11">
        <f>SUMIFS('Ventas'!$L:$L,'Ventas'!$A:$A,$A46)</f>
      </c>
    </row>
    <row r="47">
      <c r="A47" s="14">
        <f>TODAY()-1</f>
      </c>
      <c r="B47" s="11">
        <f>SUMIFS('Ventas'!$H:$H,'Ventas'!$A:$A,$A47)-SUMIFS('Ventas'!$H:$H,'Ventas'!$A:$A,$A47,'Ventas'!$O:$O,"Mercado Libre")</f>
      </c>
      <c r="C47" s="11">
        <f>SUMIFS('Ventas'!$L:$L,'Ventas'!$A:$A,$A47)</f>
      </c>
    </row>
    <row r="48">
      <c r="A48" s="14">
        <f>TODAY()-2</f>
      </c>
      <c r="B48" s="11">
        <f>SUMIFS('Ventas'!$H:$H,'Ventas'!$A:$A,$A48)-SUMIFS('Ventas'!$H:$H,'Ventas'!$A:$A,$A48,'Ventas'!$O:$O,"Mercado Libre")</f>
      </c>
      <c r="C48" s="11">
        <f>SUMIFS('Ventas'!$L:$L,'Ventas'!$A:$A,$A48)</f>
      </c>
    </row>
    <row r="49">
      <c r="A49" s="14">
        <f>TODAY()-3</f>
      </c>
      <c r="B49" s="11">
        <f>SUMIFS('Ventas'!$H:$H,'Ventas'!$A:$A,$A49)-SUMIFS('Ventas'!$H:$H,'Ventas'!$A:$A,$A49,'Ventas'!$O:$O,"Mercado Libre")</f>
      </c>
      <c r="C49" s="11">
        <f>SUMIFS('Ventas'!$L:$L,'Ventas'!$A:$A,$A49)</f>
      </c>
    </row>
    <row r="50">
      <c r="A50" s="14">
        <f>TODAY()-4</f>
      </c>
      <c r="B50" s="11">
        <f>SUMIFS('Ventas'!$H:$H,'Ventas'!$A:$A,$A50)-SUMIFS('Ventas'!$H:$H,'Ventas'!$A:$A,$A50,'Ventas'!$O:$O,"Mercado Libre")</f>
      </c>
      <c r="C50" s="11">
        <f>SUMIFS('Ventas'!$L:$L,'Ventas'!$A:$A,$A50)</f>
      </c>
    </row>
    <row r="51">
      <c r="A51" s="14">
        <f>TODAY()-5</f>
      </c>
      <c r="B51" s="11">
        <f>SUMIFS('Ventas'!$H:$H,'Ventas'!$A:$A,$A51)-SUMIFS('Ventas'!$H:$H,'Ventas'!$A:$A,$A51,'Ventas'!$O:$O,"Mercado Libre")</f>
      </c>
      <c r="C51" s="11">
        <f>SUMIFS('Ventas'!$L:$L,'Ventas'!$A:$A,$A51)</f>
      </c>
    </row>
    <row r="52">
      <c r="A52" s="14">
        <f>TODAY()-6</f>
      </c>
      <c r="B52" s="11">
        <f>SUMIFS('Ventas'!$H:$H,'Ventas'!$A:$A,$A52)-SUMIFS('Ventas'!$H:$H,'Ventas'!$A:$A,$A52,'Ventas'!$O:$O,"Mercado Libre")</f>
      </c>
      <c r="C52" s="11">
        <f>SUMIFS('Ventas'!$L:$L,'Ventas'!$A:$A,$A52)</f>
      </c>
    </row>
    <row r="53">
      <c r="A53" s="14">
        <f>TODAY()-7</f>
      </c>
      <c r="B53" s="11">
        <f>SUMIFS('Ventas'!$H:$H,'Ventas'!$A:$A,$A53)-SUMIFS('Ventas'!$H:$H,'Ventas'!$A:$A,$A53,'Ventas'!$O:$O,"Mercado Libre")</f>
      </c>
      <c r="C53" s="11">
        <f>SUMIFS('Ventas'!$L:$L,'Ventas'!$A:$A,$A53)</f>
      </c>
    </row>
    <row r="54">
      <c r="A54" s="14">
        <f>TODAY()-8</f>
      </c>
      <c r="B54" s="11">
        <f>SUMIFS('Ventas'!$H:$H,'Ventas'!$A:$A,$A54)-SUMIFS('Ventas'!$H:$H,'Ventas'!$A:$A,$A54,'Ventas'!$O:$O,"Mercado Libre")</f>
      </c>
      <c r="C54" s="11">
        <f>SUMIFS('Ventas'!$L:$L,'Ventas'!$A:$A,$A54)</f>
      </c>
    </row>
    <row r="55">
      <c r="A55" s="14">
        <f>TODAY()-9</f>
      </c>
      <c r="B55" s="11">
        <f>SUMIFS('Ventas'!$H:$H,'Ventas'!$A:$A,$A55)-SUMIFS('Ventas'!$H:$H,'Ventas'!$A:$A,$A55,'Ventas'!$O:$O,"Mercado Libre")</f>
      </c>
      <c r="C55" s="11">
        <f>SUMIFS('Ventas'!$L:$L,'Ventas'!$A:$A,$A55)</f>
      </c>
    </row>
    <row r="56">
      <c r="A56" s="14">
        <f>TODAY()-10</f>
      </c>
      <c r="B56" s="11">
        <f>SUMIFS('Ventas'!$H:$H,'Ventas'!$A:$A,$A56)-SUMIFS('Ventas'!$H:$H,'Ventas'!$A:$A,$A56,'Ventas'!$O:$O,"Mercado Libre")</f>
      </c>
      <c r="C56" s="11">
        <f>SUMIFS('Ventas'!$L:$L,'Ventas'!$A:$A,$A56)</f>
      </c>
    </row>
    <row r="57">
      <c r="A57" s="14">
        <f>TODAY()-11</f>
      </c>
      <c r="B57" s="11">
        <f>SUMIFS('Ventas'!$H:$H,'Ventas'!$A:$A,$A57)-SUMIFS('Ventas'!$H:$H,'Ventas'!$A:$A,$A57,'Ventas'!$O:$O,"Mercado Libre")</f>
      </c>
      <c r="C57" s="11">
        <f>SUMIFS('Ventas'!$L:$L,'Ventas'!$A:$A,$A57)</f>
      </c>
    </row>
    <row r="58">
      <c r="A58" s="14">
        <f>TODAY()-12</f>
      </c>
      <c r="B58" s="11">
        <f>SUMIFS('Ventas'!$H:$H,'Ventas'!$A:$A,$A58)-SUMIFS('Ventas'!$H:$H,'Ventas'!$A:$A,$A58,'Ventas'!$O:$O,"Mercado Libre")</f>
      </c>
      <c r="C58" s="11">
        <f>SUMIFS('Ventas'!$L:$L,'Ventas'!$A:$A,$A58)</f>
      </c>
    </row>
    <row r="59">
      <c r="A59" s="14">
        <f>TODAY()-13</f>
      </c>
      <c r="B59" s="11">
        <f>SUMIFS('Ventas'!$H:$H,'Ventas'!$A:$A,$A59)-SUMIFS('Ventas'!$H:$H,'Ventas'!$A:$A,$A59,'Ventas'!$O:$O,"Mercado Libre")</f>
      </c>
      <c r="C59" s="11">
        <f>SUMIFS('Ventas'!$L:$L,'Ventas'!$A:$A,$A59)</f>
      </c>
    </row>
    <row r="60">
      <c r="A60" s="14">
        <f>TODAY()-14</f>
      </c>
      <c r="B60" s="11">
        <f>SUMIFS('Ventas'!$H:$H,'Ventas'!$A:$A,$A60)-SUMIFS('Ventas'!$H:$H,'Ventas'!$A:$A,$A60,'Ventas'!$O:$O,"Mercado Libre")</f>
      </c>
      <c r="C60" s="11">
        <f>SUMIFS('Ventas'!$L:$L,'Ventas'!$A:$A,$A60)</f>
      </c>
    </row>
    <row r="61">
      <c r="A61" s="14">
        <f>TODAY()-15</f>
      </c>
      <c r="B61" s="11">
        <f>SUMIFS('Ventas'!$H:$H,'Ventas'!$A:$A,$A61)-SUMIFS('Ventas'!$H:$H,'Ventas'!$A:$A,$A61,'Ventas'!$O:$O,"Mercado Libre")</f>
      </c>
      <c r="C61" s="11">
        <f>SUMIFS('Ventas'!$L:$L,'Ventas'!$A:$A,$A61)</f>
      </c>
    </row>
    <row r="62">
      <c r="A62" s="14">
        <f>TODAY()-16</f>
      </c>
      <c r="B62" s="11">
        <f>SUMIFS('Ventas'!$H:$H,'Ventas'!$A:$A,$A62)-SUMIFS('Ventas'!$H:$H,'Ventas'!$A:$A,$A62,'Ventas'!$O:$O,"Mercado Libre")</f>
      </c>
      <c r="C62" s="11">
        <f>SUMIFS('Ventas'!$L:$L,'Ventas'!$A:$A,$A62)</f>
      </c>
    </row>
    <row r="63">
      <c r="A63" s="14">
        <f>TODAY()-17</f>
      </c>
      <c r="B63" s="11">
        <f>SUMIFS('Ventas'!$H:$H,'Ventas'!$A:$A,$A63)-SUMIFS('Ventas'!$H:$H,'Ventas'!$A:$A,$A63,'Ventas'!$O:$O,"Mercado Libre")</f>
      </c>
      <c r="C63" s="11">
        <f>SUMIFS('Ventas'!$L:$L,'Ventas'!$A:$A,$A63)</f>
      </c>
    </row>
    <row r="64">
      <c r="A64" s="14">
        <f>TODAY()-18</f>
      </c>
      <c r="B64" s="11">
        <f>SUMIFS('Ventas'!$H:$H,'Ventas'!$A:$A,$A64)-SUMIFS('Ventas'!$H:$H,'Ventas'!$A:$A,$A64,'Ventas'!$O:$O,"Mercado Libre")</f>
      </c>
      <c r="C64" s="11">
        <f>SUMIFS('Ventas'!$L:$L,'Ventas'!$A:$A,$A64)</f>
      </c>
    </row>
    <row r="65">
      <c r="A65" s="14">
        <f>TODAY()-19</f>
      </c>
      <c r="B65" s="11">
        <f>SUMIFS('Ventas'!$H:$H,'Ventas'!$A:$A,$A65)-SUMIFS('Ventas'!$H:$H,'Ventas'!$A:$A,$A65,'Ventas'!$O:$O,"Mercado Libre")</f>
      </c>
      <c r="C65" s="11">
        <f>SUMIFS('Ventas'!$L:$L,'Ventas'!$A:$A,$A65)</f>
      </c>
    </row>
    <row r="66">
      <c r="A66" s="14">
        <f>TODAY()-20</f>
      </c>
      <c r="B66" s="11">
        <f>SUMIFS('Ventas'!$H:$H,'Ventas'!$A:$A,$A66)-SUMIFS('Ventas'!$H:$H,'Ventas'!$A:$A,$A66,'Ventas'!$O:$O,"Mercado Libre")</f>
      </c>
      <c r="C66" s="11">
        <f>SUMIFS('Ventas'!$L:$L,'Ventas'!$A:$A,$A66)</f>
      </c>
    </row>
    <row r="67">
      <c r="A67" s="14">
        <f>TODAY()-21</f>
      </c>
      <c r="B67" s="11">
        <f>SUMIFS('Ventas'!$H:$H,'Ventas'!$A:$A,$A67)-SUMIFS('Ventas'!$H:$H,'Ventas'!$A:$A,$A67,'Ventas'!$O:$O,"Mercado Libre")</f>
      </c>
      <c r="C67" s="11">
        <f>SUMIFS('Ventas'!$L:$L,'Ventas'!$A:$A,$A67)</f>
      </c>
    </row>
    <row r="68">
      <c r="A68" s="14">
        <f>TODAY()-22</f>
      </c>
      <c r="B68" s="11">
        <f>SUMIFS('Ventas'!$H:$H,'Ventas'!$A:$A,$A68)-SUMIFS('Ventas'!$H:$H,'Ventas'!$A:$A,$A68,'Ventas'!$O:$O,"Mercado Libre")</f>
      </c>
      <c r="C68" s="11">
        <f>SUMIFS('Ventas'!$L:$L,'Ventas'!$A:$A,$A68)</f>
      </c>
    </row>
    <row r="69">
      <c r="A69" s="14">
        <f>TODAY()-23</f>
      </c>
      <c r="B69" s="11">
        <f>SUMIFS('Ventas'!$H:$H,'Ventas'!$A:$A,$A69)-SUMIFS('Ventas'!$H:$H,'Ventas'!$A:$A,$A69,'Ventas'!$O:$O,"Mercado Libre")</f>
      </c>
      <c r="C69" s="11">
        <f>SUMIFS('Ventas'!$L:$L,'Ventas'!$A:$A,$A69)</f>
      </c>
    </row>
    <row r="70">
      <c r="A70" s="14">
        <f>TODAY()-24</f>
      </c>
      <c r="B70" s="11">
        <f>SUMIFS('Ventas'!$H:$H,'Ventas'!$A:$A,$A70)-SUMIFS('Ventas'!$H:$H,'Ventas'!$A:$A,$A70,'Ventas'!$O:$O,"Mercado Libre")</f>
      </c>
      <c r="C70" s="11">
        <f>SUMIFS('Ventas'!$L:$L,'Ventas'!$A:$A,$A70)</f>
      </c>
    </row>
    <row r="71">
      <c r="A71" s="14">
        <f>TODAY()-25</f>
      </c>
      <c r="B71" s="11">
        <f>SUMIFS('Ventas'!$H:$H,'Ventas'!$A:$A,$A71)-SUMIFS('Ventas'!$H:$H,'Ventas'!$A:$A,$A71,'Ventas'!$O:$O,"Mercado Libre")</f>
      </c>
      <c r="C71" s="11">
        <f>SUMIFS('Ventas'!$L:$L,'Ventas'!$A:$A,$A71)</f>
      </c>
    </row>
    <row r="72">
      <c r="A72" s="14">
        <f>TODAY()-26</f>
      </c>
      <c r="B72" s="11">
        <f>SUMIFS('Ventas'!$H:$H,'Ventas'!$A:$A,$A72)-SUMIFS('Ventas'!$H:$H,'Ventas'!$A:$A,$A72,'Ventas'!$O:$O,"Mercado Libre")</f>
      </c>
      <c r="C72" s="11">
        <f>SUMIFS('Ventas'!$L:$L,'Ventas'!$A:$A,$A72)</f>
      </c>
    </row>
    <row r="73">
      <c r="A73" s="14">
        <f>TODAY()-27</f>
      </c>
      <c r="B73" s="11">
        <f>SUMIFS('Ventas'!$H:$H,'Ventas'!$A:$A,$A73)-SUMIFS('Ventas'!$H:$H,'Ventas'!$A:$A,$A73,'Ventas'!$O:$O,"Mercado Libre")</f>
      </c>
      <c r="C73" s="11">
        <f>SUMIFS('Ventas'!$L:$L,'Ventas'!$A:$A,$A73)</f>
      </c>
    </row>
    <row r="74">
      <c r="A74" s="14">
        <f>TODAY()-28</f>
      </c>
      <c r="B74" s="11">
        <f>SUMIFS('Ventas'!$H:$H,'Ventas'!$A:$A,$A74)-SUMIFS('Ventas'!$H:$H,'Ventas'!$A:$A,$A74,'Ventas'!$O:$O,"Mercado Libre")</f>
      </c>
      <c r="C74" s="11">
        <f>SUMIFS('Ventas'!$L:$L,'Ventas'!$A:$A,$A74)</f>
      </c>
    </row>
    <row r="75">
      <c r="A75" s="14">
        <f>TODAY()-29</f>
      </c>
      <c r="B75" s="11">
        <f>SUMIFS('Ventas'!$H:$H,'Ventas'!$A:$A,$A75)-SUMIFS('Ventas'!$H:$H,'Ventas'!$A:$A,$A75,'Ventas'!$O:$O,"Mercado Libre")</f>
      </c>
      <c r="C75" s="11">
        <f>SUMIFS('Ventas'!$L:$L,'Ventas'!$A:$A,$A75)</f>
      </c>
    </row>
  </sheetData>
  <mergeCells count="7">
    <mergeCell ref="A1:C1"/>
    <mergeCell ref="A5:C5"/>
    <mergeCell ref="A17:C17"/>
    <mergeCell ref="A20:C20"/>
    <mergeCell ref="A28:C28"/>
    <mergeCell ref="A35:C35"/>
    <mergeCell ref="A44:C44"/>
  </mergeCells>
  <pageMargins left="0.5" right="0.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2" topLeftCell="A3" activePane="bottomRight" state="frozen"/>
      <selection pane="bottomRight" activeCell="A3" sqref="A3"/>
    </sheetView>
  </sheetViews>
  <sheetFormatPr defaultRowHeight="15"/>
  <cols>
    <col min="1" max="1" width="22.00" customWidth="1"/>
    <col min="2" max="2" width="18.00" customWidth="1"/>
    <col min="3" max="3" width="18.00" customWidth="1"/>
    <col min="4" max="4" width="46.00" customWidth="1"/>
  </cols>
  <sheetData>
    <row r="1" ht="36.00" customHeight="1">
      <c r="A1" s="2" t="inlineStr">
        <is>
          <t xml:space="preserve">SALDOS POR BILLETERA (en tiempo real)</t>
        </is>
      </c>
    </row>
    <row r="2">
      <c r="A2" s="1" t="inlineStr">
        <is>
          <t xml:space="preserve">Billetera</t>
        </is>
      </c>
      <c r="B2" s="1" t="inlineStr">
        <is>
          <t xml:space="preserve">Saldo Inicial</t>
        </is>
      </c>
      <c r="C2" s="1" t="inlineStr">
        <is>
          <t xml:space="preserve">Saldo Actual</t>
        </is>
      </c>
      <c r="D2" s="1" t="inlineStr">
        <is>
          <t xml:space="preserve">Nota</t>
        </is>
      </c>
    </row>
    <row r="3">
      <c r="A3" s="7" t="inlineStr">
        <is>
          <t xml:space="preserve">Efectivo</t>
        </is>
      </c>
      <c r="B3" s="22"/>
      <c r="C3" s="35">
        <f>$B3+SUMIF('Ventas'!$O:$O,$A3,'Ventas'!$H:$H)+SUMIF('Abonos Préstamos'!$D:$D,$A3,'Abonos Préstamos'!$C:$C)+SUMIF('Movimientos'!$D:$D,$A3,'Movimientos'!$E:$E)-SUMIF('Movimientos'!$C:$C,$A3,'Movimientos'!$E:$E)-SUMIF('Préstamos'!$K:$K,$A3,'Préstamos'!$E:$E)-SUMIF('Pagos Tarjeta'!$D:$D,$A3,'Pagos Tarjeta'!$C:$C)-SUMIFS('Compras'!$F:$F,'Compras'!$H:$H,"No",'Compras'!$G:$G,$A3)</f>
      </c>
      <c r="D3" s="37" t="inlineStr">
        <is>
          <t xml:space="preserve"/>
        </is>
      </c>
    </row>
    <row r="4">
      <c r="A4" s="7" t="inlineStr">
        <is>
          <t xml:space="preserve">Nequi</t>
        </is>
      </c>
      <c r="B4" s="22"/>
      <c r="C4" s="35">
        <f>$B4+SUMIF('Ventas'!$O:$O,$A4,'Ventas'!$H:$H)+SUMIF('Abonos Préstamos'!$D:$D,$A4,'Abonos Préstamos'!$C:$C)+SUMIF('Movimientos'!$D:$D,$A4,'Movimientos'!$E:$E)-SUMIF('Movimientos'!$C:$C,$A4,'Movimientos'!$E:$E)-SUMIF('Préstamos'!$K:$K,$A4,'Préstamos'!$E:$E)-SUMIF('Pagos Tarjeta'!$D:$D,$A4,'Pagos Tarjeta'!$C:$C)-SUMIFS('Compras'!$F:$F,'Compras'!$H:$H,"No",'Compras'!$G:$G,$A4)</f>
      </c>
      <c r="D4" s="37" t="inlineStr">
        <is>
          <t xml:space="preserve"/>
        </is>
      </c>
    </row>
    <row r="5">
      <c r="A5" s="7" t="inlineStr">
        <is>
          <t xml:space="preserve">Bancolombia</t>
        </is>
      </c>
      <c r="B5" s="22"/>
      <c r="C5" s="35">
        <f>$B5+SUMIF('Ventas'!$O:$O,$A5,'Ventas'!$H:$H)+SUMIF('Abonos Préstamos'!$D:$D,$A5,'Abonos Préstamos'!$C:$C)+SUMIF('Movimientos'!$D:$D,$A5,'Movimientos'!$E:$E)-SUMIF('Movimientos'!$C:$C,$A5,'Movimientos'!$E:$E)-SUMIF('Préstamos'!$K:$K,$A5,'Préstamos'!$E:$E)-SUMIF('Pagos Tarjeta'!$D:$D,$A5,'Pagos Tarjeta'!$C:$C)-SUMIFS('Compras'!$F:$F,'Compras'!$H:$H,"No",'Compras'!$G:$G,$A5)</f>
      </c>
      <c r="D5" s="37" t="inlineStr">
        <is>
          <t xml:space="preserve"/>
        </is>
      </c>
    </row>
    <row r="6">
      <c r="A6" s="7" t="inlineStr">
        <is>
          <t xml:space="preserve">Bancolombia MM</t>
        </is>
      </c>
      <c r="B6" s="22"/>
      <c r="C6" s="35">
        <f>$B6+SUMIF('Ventas'!$O:$O,$A6,'Ventas'!$H:$H)+SUMIF('Abonos Préstamos'!$D:$D,$A6,'Abonos Préstamos'!$C:$C)+SUMIF('Movimientos'!$D:$D,$A6,'Movimientos'!$E:$E)-SUMIF('Movimientos'!$C:$C,$A6,'Movimientos'!$E:$E)-SUMIF('Préstamos'!$K:$K,$A6,'Préstamos'!$E:$E)-SUMIF('Pagos Tarjeta'!$D:$D,$A6,'Pagos Tarjeta'!$C:$C)-SUMIFS('Compras'!$F:$F,'Compras'!$H:$H,"No",'Compras'!$G:$G,$A6)</f>
      </c>
      <c r="D6" s="37" t="inlineStr">
        <is>
          <t xml:space="preserve"/>
        </is>
      </c>
    </row>
    <row r="7">
      <c r="A7" s="7" t="inlineStr">
        <is>
          <t xml:space="preserve">Daviplata</t>
        </is>
      </c>
      <c r="B7" s="22"/>
      <c r="C7" s="35">
        <f>$B7+SUMIF('Ventas'!$O:$O,$A7,'Ventas'!$H:$H)+SUMIF('Abonos Préstamos'!$D:$D,$A7,'Abonos Préstamos'!$C:$C)+SUMIF('Movimientos'!$D:$D,$A7,'Movimientos'!$E:$E)-SUMIF('Movimientos'!$C:$C,$A7,'Movimientos'!$E:$E)-SUMIF('Préstamos'!$K:$K,$A7,'Préstamos'!$E:$E)-SUMIF('Pagos Tarjeta'!$D:$D,$A7,'Pagos Tarjeta'!$C:$C)-SUMIFS('Compras'!$F:$F,'Compras'!$H:$H,"No",'Compras'!$G:$G,$A7)</f>
      </c>
      <c r="D7" s="37" t="inlineStr">
        <is>
          <t xml:space="preserve"/>
        </is>
      </c>
    </row>
    <row r="8">
      <c r="A8" s="7" t="inlineStr">
        <is>
          <t xml:space="preserve">Davivienda</t>
        </is>
      </c>
      <c r="B8" s="22"/>
      <c r="C8" s="35">
        <f>$B8+SUMIF('Ventas'!$O:$O,$A8,'Ventas'!$H:$H)+SUMIF('Abonos Préstamos'!$D:$D,$A8,'Abonos Préstamos'!$C:$C)+SUMIF('Movimientos'!$D:$D,$A8,'Movimientos'!$E:$E)-SUMIF('Movimientos'!$C:$C,$A8,'Movimientos'!$E:$E)-SUMIF('Préstamos'!$K:$K,$A8,'Préstamos'!$E:$E)-SUMIF('Pagos Tarjeta'!$D:$D,$A8,'Pagos Tarjeta'!$C:$C)-SUMIFS('Compras'!$F:$F,'Compras'!$H:$H,"No",'Compras'!$G:$G,$A8)</f>
      </c>
      <c r="D8" s="37" t="inlineStr">
        <is>
          <t xml:space="preserve"/>
        </is>
      </c>
    </row>
    <row r="9">
      <c r="A9" s="7" t="inlineStr">
        <is>
          <t xml:space="preserve">Mercado Libre</t>
        </is>
      </c>
      <c r="B9" s="22"/>
      <c r="C9" s="35">
        <f>$B9+SUMIF('Ventas'!$O:$O,$A9,'Ventas'!$H:$H)+SUMIF('Abonos Préstamos'!$D:$D,$A9,'Abonos Préstamos'!$C:$C)+SUMIF('Movimientos'!$D:$D,$A9,'Movimientos'!$E:$E)-SUMIF('Movimientos'!$C:$C,$A9,'Movimientos'!$E:$E)-SUMIF('Préstamos'!$K:$K,$A9,'Préstamos'!$E:$E)-SUMIF('Pagos Tarjeta'!$D:$D,$A9,'Pagos Tarjeta'!$C:$C)-SUMIFS('Compras'!$F:$F,'Compras'!$H:$H,"No",'Compras'!$G:$G,$A9)</f>
      </c>
      <c r="D9" s="37" t="inlineStr">
        <is>
          <t xml:space="preserve">Por cobrar — retíralo a una billetera (hoja Movimientos)</t>
        </is>
      </c>
    </row>
    <row r="10">
      <c r="A10" s="7" t="inlineStr">
        <is>
          <t xml:space="preserve">Skydrops</t>
        </is>
      </c>
      <c r="B10" s="22"/>
      <c r="C10" s="35">
        <f>$B10+SUMIF('Ventas'!$O:$O,$A10,'Ventas'!$H:$H)+SUMIF('Abonos Préstamos'!$D:$D,$A10,'Abonos Préstamos'!$C:$C)+SUMIF('Movimientos'!$D:$D,$A10,'Movimientos'!$E:$E)-SUMIF('Movimientos'!$C:$C,$A10,'Movimientos'!$E:$E)-SUMIF('Préstamos'!$K:$K,$A10,'Préstamos'!$E:$E)-SUMIF('Pagos Tarjeta'!$D:$D,$A10,'Pagos Tarjeta'!$C:$C)-SUMIFS('Compras'!$F:$F,'Compras'!$H:$H,"No",'Compras'!$G:$G,$A10)</f>
      </c>
      <c r="D10" s="37" t="inlineStr">
        <is>
          <t xml:space="preserve">Por cobrar — retíralo a una billetera (hoja Movimientos)</t>
        </is>
      </c>
    </row>
    <row r="11">
      <c r="A11" s="34" t="inlineStr">
        <is>
          <t xml:space="preserve">TOTAL en billeteras</t>
        </is>
      </c>
      <c r="C11" s="35">
        <f>SUM($C$3:$C$10)</f>
      </c>
    </row>
    <row r="13">
      <c r="A13" s="37" t="inlineStr">
        <is>
          <t xml:space="preserve">Escribe el Saldo Inicial UNA vez (lo que tienes hoy). De ahí en adelante el Saldo Actual se mueve solo: ventas, abonos, transferencias, préstamos, pagos de tarjeta y compras de contado.</t>
        </is>
      </c>
    </row>
  </sheetData>
  <mergeCells count="2">
    <mergeCell ref="A1:D1"/>
    <mergeCell ref="A13:D13"/>
  </mergeCells>
  <pageMargins left="0.5" right="0.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2" topLeftCell="A3" activePane="bottomRight" state="frozen"/>
      <selection pane="bottomRight" activeCell="A3" sqref="A3"/>
    </sheetView>
  </sheetViews>
  <sheetFormatPr defaultRowHeight="15"/>
  <cols>
    <col min="1" max="1" width="28.00" customWidth="1"/>
    <col min="2" max="2" width="18.00" customWidth="1"/>
    <col min="3" max="3" width="16.00" customWidth="1"/>
    <col min="4" max="4" width="16.00" customWidth="1"/>
  </cols>
  <sheetData>
    <row r="1" ht="36.00" customHeight="1">
      <c r="A1" s="2" t="inlineStr">
        <is>
          <t xml:space="preserve">DEUDA POR TARJETA DE CRÉDITO</t>
        </is>
      </c>
    </row>
    <row r="2">
      <c r="A2" s="1" t="inlineStr">
        <is>
          <t xml:space="preserve">Tarjeta</t>
        </is>
      </c>
      <c r="B2" s="1" t="inlineStr">
        <is>
          <t xml:space="preserve">Comprado a crédito</t>
        </is>
      </c>
      <c r="C2" s="1" t="inlineStr">
        <is>
          <t xml:space="preserve">Pagado</t>
        </is>
      </c>
      <c r="D2" s="1" t="inlineStr">
        <is>
          <t xml:space="preserve">Saldo (debes)</t>
        </is>
      </c>
    </row>
    <row r="3">
      <c r="A3" s="7" t="inlineStr">
        <is>
          <t xml:space="preserve">TC Bancolombia 1 (1517)</t>
        </is>
      </c>
      <c r="B3" s="11">
        <f>SUMIFS('Compras'!$F:$F,'Compras'!$H:$H,"Sí",'Compras'!$G:$G,$A3)</f>
      </c>
      <c r="C3" s="11">
        <f>SUMIF('Pagos Tarjeta'!$B:$B,$A3,'Pagos Tarjeta'!$C:$C)</f>
      </c>
      <c r="D3" s="35">
        <f>MAX($B3-$C3,0)</f>
      </c>
    </row>
    <row r="4">
      <c r="A4" s="7" t="inlineStr">
        <is>
          <t xml:space="preserve">TC Bancolombia 2 (0554)</t>
        </is>
      </c>
      <c r="B4" s="11">
        <f>SUMIFS('Compras'!$F:$F,'Compras'!$H:$H,"Sí",'Compras'!$G:$G,$A4)</f>
      </c>
      <c r="C4" s="11">
        <f>SUMIF('Pagos Tarjeta'!$B:$B,$A4,'Pagos Tarjeta'!$C:$C)</f>
      </c>
      <c r="D4" s="35">
        <f>MAX($B4-$C4,0)</f>
      </c>
    </row>
    <row r="5">
      <c r="A5" s="7" t="inlineStr">
        <is>
          <t xml:space="preserve">TC Bancolombia 3 (4582)</t>
        </is>
      </c>
      <c r="B5" s="11">
        <f>SUMIFS('Compras'!$F:$F,'Compras'!$H:$H,"Sí",'Compras'!$G:$G,$A5)</f>
      </c>
      <c r="C5" s="11">
        <f>SUMIF('Pagos Tarjeta'!$B:$B,$A5,'Pagos Tarjeta'!$C:$C)</f>
      </c>
      <c r="D5" s="35">
        <f>MAX($B5-$C5,0)</f>
      </c>
    </row>
    <row r="6">
      <c r="A6" s="7" t="inlineStr">
        <is>
          <t xml:space="preserve">TC Bancolombia 4 (8366)</t>
        </is>
      </c>
      <c r="B6" s="11">
        <f>SUMIFS('Compras'!$F:$F,'Compras'!$H:$H,"Sí",'Compras'!$G:$G,$A6)</f>
      </c>
      <c r="C6" s="11">
        <f>SUMIF('Pagos Tarjeta'!$B:$B,$A6,'Pagos Tarjeta'!$C:$C)</f>
      </c>
      <c r="D6" s="35">
        <f>MAX($B6-$C6,0)</f>
      </c>
    </row>
    <row r="7">
      <c r="A7" s="7" t="inlineStr">
        <is>
          <t xml:space="preserve">TC Bancolombia 5 (0623)</t>
        </is>
      </c>
      <c r="B7" s="11">
        <f>SUMIFS('Compras'!$F:$F,'Compras'!$H:$H,"Sí",'Compras'!$G:$G,$A7)</f>
      </c>
      <c r="C7" s="11">
        <f>SUMIF('Pagos Tarjeta'!$B:$B,$A7,'Pagos Tarjeta'!$C:$C)</f>
      </c>
      <c r="D7" s="35">
        <f>MAX($B7-$C7,0)</f>
      </c>
    </row>
    <row r="8">
      <c r="A8" s="7" t="inlineStr">
        <is>
          <t xml:space="preserve">TC Bancolombia MM 6 (6423)</t>
        </is>
      </c>
      <c r="B8" s="11">
        <f>SUMIFS('Compras'!$F:$F,'Compras'!$H:$H,"Sí",'Compras'!$G:$G,$A8)</f>
      </c>
      <c r="C8" s="11">
        <f>SUMIF('Pagos Tarjeta'!$B:$B,$A8,'Pagos Tarjeta'!$C:$C)</f>
      </c>
      <c r="D8" s="35">
        <f>MAX($B8-$C8,0)</f>
      </c>
    </row>
    <row r="9">
      <c r="A9" s="7" t="inlineStr">
        <is>
          <t xml:space="preserve">TC Bancolombia MM 7 (2459)</t>
        </is>
      </c>
      <c r="B9" s="11">
        <f>SUMIFS('Compras'!$F:$F,'Compras'!$H:$H,"Sí",'Compras'!$G:$G,$A9)</f>
      </c>
      <c r="C9" s="11">
        <f>SUMIF('Pagos Tarjeta'!$B:$B,$A9,'Pagos Tarjeta'!$C:$C)</f>
      </c>
      <c r="D9" s="35">
        <f>MAX($B9-$C9,0)</f>
      </c>
    </row>
    <row r="10">
      <c r="A10" s="7" t="inlineStr">
        <is>
          <t xml:space="preserve">TC NU 8 (3750)</t>
        </is>
      </c>
      <c r="B10" s="11">
        <f>SUMIFS('Compras'!$F:$F,'Compras'!$H:$H,"Sí",'Compras'!$G:$G,$A10)</f>
      </c>
      <c r="C10" s="11">
        <f>SUMIF('Pagos Tarjeta'!$B:$B,$A10,'Pagos Tarjeta'!$C:$C)</f>
      </c>
      <c r="D10" s="35">
        <f>MAX($B10-$C10,0)</f>
      </c>
    </row>
    <row r="11">
      <c r="A11" s="34" t="inlineStr">
        <is>
          <t xml:space="preserve">TOTAL QUE DEBO EN TARJETAS</t>
        </is>
      </c>
      <c r="D11" s="35">
        <f>SUM($D$3:$D$10)</f>
      </c>
    </row>
    <row r="13">
      <c r="A13" s="37" t="inlineStr">
        <is>
          <t xml:space="preserve">Las compras a crédito (hoja Compras) suman; los abonos (hoja Pagos Tarjeta) restan.</t>
        </is>
      </c>
    </row>
  </sheetData>
  <mergeCells count="2">
    <mergeCell ref="A1:D1"/>
    <mergeCell ref="A13:D13"/>
  </mergeCells>
  <pageMargins left="0.5" right="0.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8.00" customWidth="1"/>
    <col min="3" max="3" width="18.00" customWidth="1"/>
    <col min="4" max="4" width="18.00" customWidth="1"/>
    <col min="5" max="5" width="15.00" customWidth="1"/>
    <col min="6" max="6" width="34.00" customWidth="1"/>
  </cols>
  <sheetData>
    <row r="1">
      <c r="A1" s="1" t="inlineStr">
        <is>
          <t xml:space="preserve">Fecha</t>
        </is>
      </c>
      <c r="B1" s="1" t="inlineStr">
        <is>
          <t xml:space="preserve">Tipo</t>
        </is>
      </c>
      <c r="C1" s="1" t="inlineStr">
        <is>
          <t xml:space="preserve">Billetera Origen</t>
        </is>
      </c>
      <c r="D1" s="1" t="inlineStr">
        <is>
          <t xml:space="preserve">Billetera Destino</t>
        </is>
      </c>
      <c r="E1" s="1" t="inlineStr">
        <is>
          <t xml:space="preserve">Valor</t>
        </is>
      </c>
      <c r="F1" s="1" t="inlineStr">
        <is>
          <t xml:space="preserve">Nota</t>
        </is>
      </c>
      <c r="H1" s="37" t="inlineStr">
        <is>
          <t xml:space="preserve">Origen = de dónde sale la plata · Destino = a dónde llega. Para un gasto, deja el Destino vacío.</t>
        </is>
      </c>
    </row>
    <row r="2">
      <c r="A2" s="23"/>
      <c r="B2" s="20"/>
      <c r="C2" s="20"/>
      <c r="D2" s="20"/>
      <c r="E2" s="22"/>
      <c r="F2" s="20"/>
    </row>
    <row r="3">
      <c r="A3" s="23"/>
      <c r="B3" s="20"/>
      <c r="C3" s="20"/>
      <c r="D3" s="20"/>
      <c r="E3" s="22"/>
      <c r="F3" s="20"/>
    </row>
    <row r="4">
      <c r="A4" s="23"/>
      <c r="B4" s="20"/>
      <c r="C4" s="20"/>
      <c r="D4" s="20"/>
      <c r="E4" s="22"/>
      <c r="F4" s="20"/>
    </row>
    <row r="5">
      <c r="A5" s="23"/>
      <c r="B5" s="20"/>
      <c r="C5" s="20"/>
      <c r="D5" s="20"/>
      <c r="E5" s="22"/>
      <c r="F5" s="20"/>
    </row>
    <row r="6">
      <c r="A6" s="23"/>
      <c r="B6" s="20"/>
      <c r="C6" s="20"/>
      <c r="D6" s="20"/>
      <c r="E6" s="22"/>
      <c r="F6" s="20"/>
    </row>
    <row r="7">
      <c r="A7" s="23"/>
      <c r="B7" s="20"/>
      <c r="C7" s="20"/>
      <c r="D7" s="20"/>
      <c r="E7" s="22"/>
      <c r="F7" s="20"/>
    </row>
    <row r="8">
      <c r="A8" s="23"/>
      <c r="B8" s="20"/>
      <c r="C8" s="20"/>
      <c r="D8" s="20"/>
      <c r="E8" s="22"/>
      <c r="F8" s="20"/>
    </row>
    <row r="9">
      <c r="A9" s="23"/>
      <c r="B9" s="20"/>
      <c r="C9" s="20"/>
      <c r="D9" s="20"/>
      <c r="E9" s="22"/>
      <c r="F9" s="20"/>
    </row>
    <row r="10">
      <c r="A10" s="23"/>
      <c r="B10" s="20"/>
      <c r="C10" s="20"/>
      <c r="D10" s="20"/>
      <c r="E10" s="22"/>
      <c r="F10" s="20"/>
    </row>
    <row r="11">
      <c r="A11" s="23"/>
      <c r="B11" s="20"/>
      <c r="C11" s="20"/>
      <c r="D11" s="20"/>
      <c r="E11" s="22"/>
      <c r="F11" s="20"/>
    </row>
    <row r="12">
      <c r="A12" s="23"/>
      <c r="B12" s="20"/>
      <c r="C12" s="20"/>
      <c r="D12" s="20"/>
      <c r="E12" s="22"/>
      <c r="F12" s="20"/>
    </row>
    <row r="13">
      <c r="A13" s="23"/>
      <c r="B13" s="20"/>
      <c r="C13" s="20"/>
      <c r="D13" s="20"/>
      <c r="E13" s="22"/>
      <c r="F13" s="20"/>
    </row>
    <row r="14">
      <c r="A14" s="23"/>
      <c r="B14" s="20"/>
      <c r="C14" s="20"/>
      <c r="D14" s="20"/>
      <c r="E14" s="22"/>
      <c r="F14" s="20"/>
    </row>
    <row r="15">
      <c r="A15" s="23"/>
      <c r="B15" s="20"/>
      <c r="C15" s="20"/>
      <c r="D15" s="20"/>
      <c r="E15" s="22"/>
      <c r="F15" s="20"/>
    </row>
    <row r="16">
      <c r="A16" s="23"/>
      <c r="B16" s="20"/>
      <c r="C16" s="20"/>
      <c r="D16" s="20"/>
      <c r="E16" s="22"/>
      <c r="F16" s="20"/>
    </row>
    <row r="17">
      <c r="A17" s="23"/>
      <c r="B17" s="20"/>
      <c r="C17" s="20"/>
      <c r="D17" s="20"/>
      <c r="E17" s="22"/>
      <c r="F17" s="20"/>
    </row>
    <row r="18">
      <c r="A18" s="23"/>
      <c r="B18" s="20"/>
      <c r="C18" s="20"/>
      <c r="D18" s="20"/>
      <c r="E18" s="22"/>
      <c r="F18" s="20"/>
    </row>
    <row r="19">
      <c r="A19" s="23"/>
      <c r="B19" s="20"/>
      <c r="C19" s="20"/>
      <c r="D19" s="20"/>
      <c r="E19" s="22"/>
      <c r="F19" s="20"/>
    </row>
    <row r="20">
      <c r="A20" s="23"/>
      <c r="B20" s="20"/>
      <c r="C20" s="20"/>
      <c r="D20" s="20"/>
      <c r="E20" s="22"/>
      <c r="F20" s="20"/>
    </row>
    <row r="21">
      <c r="A21" s="23"/>
      <c r="B21" s="20"/>
      <c r="C21" s="20"/>
      <c r="D21" s="20"/>
      <c r="E21" s="22"/>
      <c r="F21" s="20"/>
    </row>
    <row r="22">
      <c r="A22" s="23"/>
      <c r="B22" s="20"/>
      <c r="C22" s="20"/>
      <c r="D22" s="20"/>
      <c r="E22" s="22"/>
      <c r="F22" s="20"/>
    </row>
    <row r="23">
      <c r="A23" s="23"/>
      <c r="B23" s="20"/>
      <c r="C23" s="20"/>
      <c r="D23" s="20"/>
      <c r="E23" s="22"/>
      <c r="F23" s="20"/>
    </row>
    <row r="24">
      <c r="A24" s="23"/>
      <c r="B24" s="20"/>
      <c r="C24" s="20"/>
      <c r="D24" s="20"/>
      <c r="E24" s="22"/>
      <c r="F24" s="20"/>
    </row>
    <row r="25">
      <c r="A25" s="23"/>
      <c r="B25" s="20"/>
      <c r="C25" s="20"/>
      <c r="D25" s="20"/>
      <c r="E25" s="22"/>
      <c r="F25" s="20"/>
    </row>
    <row r="26">
      <c r="A26" s="23"/>
      <c r="B26" s="20"/>
      <c r="C26" s="20"/>
      <c r="D26" s="20"/>
      <c r="E26" s="22"/>
      <c r="F26" s="20"/>
    </row>
    <row r="27">
      <c r="A27" s="23"/>
      <c r="B27" s="20"/>
      <c r="C27" s="20"/>
      <c r="D27" s="20"/>
      <c r="E27" s="22"/>
      <c r="F27" s="20"/>
    </row>
    <row r="28">
      <c r="A28" s="23"/>
      <c r="B28" s="20"/>
      <c r="C28" s="20"/>
      <c r="D28" s="20"/>
      <c r="E28" s="22"/>
      <c r="F28" s="20"/>
    </row>
    <row r="29">
      <c r="A29" s="23"/>
      <c r="B29" s="20"/>
      <c r="C29" s="20"/>
      <c r="D29" s="20"/>
      <c r="E29" s="22"/>
      <c r="F29" s="20"/>
    </row>
    <row r="30">
      <c r="A30" s="23"/>
      <c r="B30" s="20"/>
      <c r="C30" s="20"/>
      <c r="D30" s="20"/>
      <c r="E30" s="22"/>
      <c r="F30" s="20"/>
    </row>
    <row r="31">
      <c r="A31" s="23"/>
      <c r="B31" s="20"/>
      <c r="C31" s="20"/>
      <c r="D31" s="20"/>
      <c r="E31" s="22"/>
      <c r="F31" s="20"/>
    </row>
    <row r="32">
      <c r="A32" s="23"/>
      <c r="B32" s="20"/>
      <c r="C32" s="20"/>
      <c r="D32" s="20"/>
      <c r="E32" s="22"/>
      <c r="F32" s="20"/>
    </row>
    <row r="33">
      <c r="A33" s="23"/>
      <c r="B33" s="20"/>
      <c r="C33" s="20"/>
      <c r="D33" s="20"/>
      <c r="E33" s="22"/>
      <c r="F33" s="20"/>
    </row>
    <row r="34">
      <c r="A34" s="23"/>
      <c r="B34" s="20"/>
      <c r="C34" s="20"/>
      <c r="D34" s="20"/>
      <c r="E34" s="22"/>
      <c r="F34" s="20"/>
    </row>
    <row r="35">
      <c r="A35" s="23"/>
      <c r="B35" s="20"/>
      <c r="C35" s="20"/>
      <c r="D35" s="20"/>
      <c r="E35" s="22"/>
      <c r="F35" s="20"/>
    </row>
    <row r="36">
      <c r="A36" s="23"/>
      <c r="B36" s="20"/>
      <c r="C36" s="20"/>
      <c r="D36" s="20"/>
      <c r="E36" s="22"/>
      <c r="F36" s="20"/>
    </row>
    <row r="37">
      <c r="A37" s="23"/>
      <c r="B37" s="20"/>
      <c r="C37" s="20"/>
      <c r="D37" s="20"/>
      <c r="E37" s="22"/>
      <c r="F37" s="20"/>
    </row>
    <row r="38">
      <c r="A38" s="23"/>
      <c r="B38" s="20"/>
      <c r="C38" s="20"/>
      <c r="D38" s="20"/>
      <c r="E38" s="22"/>
      <c r="F38" s="20"/>
    </row>
    <row r="39">
      <c r="A39" s="23"/>
      <c r="B39" s="20"/>
      <c r="C39" s="20"/>
      <c r="D39" s="20"/>
      <c r="E39" s="22"/>
      <c r="F39" s="20"/>
    </row>
    <row r="40">
      <c r="A40" s="23"/>
      <c r="B40" s="20"/>
      <c r="C40" s="20"/>
      <c r="D40" s="20"/>
      <c r="E40" s="22"/>
      <c r="F40" s="20"/>
    </row>
    <row r="41">
      <c r="A41" s="23"/>
      <c r="B41" s="20"/>
      <c r="C41" s="20"/>
      <c r="D41" s="20"/>
      <c r="E41" s="22"/>
      <c r="F41" s="20"/>
    </row>
    <row r="42">
      <c r="A42" s="23"/>
      <c r="B42" s="20"/>
      <c r="C42" s="20"/>
      <c r="D42" s="20"/>
      <c r="E42" s="22"/>
      <c r="F42" s="20"/>
    </row>
    <row r="43">
      <c r="A43" s="23"/>
      <c r="B43" s="20"/>
      <c r="C43" s="20"/>
      <c r="D43" s="20"/>
      <c r="E43" s="22"/>
      <c r="F43" s="20"/>
    </row>
    <row r="44">
      <c r="A44" s="23"/>
      <c r="B44" s="20"/>
      <c r="C44" s="20"/>
      <c r="D44" s="20"/>
      <c r="E44" s="22"/>
      <c r="F44" s="20"/>
    </row>
    <row r="45">
      <c r="A45" s="23"/>
      <c r="B45" s="20"/>
      <c r="C45" s="20"/>
      <c r="D45" s="20"/>
      <c r="E45" s="22"/>
      <c r="F45" s="20"/>
    </row>
    <row r="46">
      <c r="A46" s="23"/>
      <c r="B46" s="20"/>
      <c r="C46" s="20"/>
      <c r="D46" s="20"/>
      <c r="E46" s="22"/>
      <c r="F46" s="20"/>
    </row>
    <row r="47">
      <c r="A47" s="23"/>
      <c r="B47" s="20"/>
      <c r="C47" s="20"/>
      <c r="D47" s="20"/>
      <c r="E47" s="22"/>
      <c r="F47" s="20"/>
    </row>
    <row r="48">
      <c r="A48" s="23"/>
      <c r="B48" s="20"/>
      <c r="C48" s="20"/>
      <c r="D48" s="20"/>
      <c r="E48" s="22"/>
      <c r="F48" s="20"/>
    </row>
    <row r="49">
      <c r="A49" s="23"/>
      <c r="B49" s="20"/>
      <c r="C49" s="20"/>
      <c r="D49" s="20"/>
      <c r="E49" s="22"/>
      <c r="F49" s="20"/>
    </row>
    <row r="50">
      <c r="A50" s="23"/>
      <c r="B50" s="20"/>
      <c r="C50" s="20"/>
      <c r="D50" s="20"/>
      <c r="E50" s="22"/>
      <c r="F50" s="20"/>
    </row>
    <row r="51">
      <c r="A51" s="23"/>
      <c r="B51" s="20"/>
      <c r="C51" s="20"/>
      <c r="D51" s="20"/>
      <c r="E51" s="22"/>
      <c r="F51" s="20"/>
    </row>
    <row r="52">
      <c r="A52" s="23"/>
      <c r="B52" s="20"/>
      <c r="C52" s="20"/>
      <c r="D52" s="20"/>
      <c r="E52" s="22"/>
      <c r="F52" s="20"/>
    </row>
    <row r="53">
      <c r="A53" s="23"/>
      <c r="B53" s="20"/>
      <c r="C53" s="20"/>
      <c r="D53" s="20"/>
      <c r="E53" s="22"/>
      <c r="F53" s="20"/>
    </row>
    <row r="54">
      <c r="A54" s="23"/>
      <c r="B54" s="20"/>
      <c r="C54" s="20"/>
      <c r="D54" s="20"/>
      <c r="E54" s="22"/>
      <c r="F54" s="20"/>
    </row>
    <row r="55">
      <c r="A55" s="23"/>
      <c r="B55" s="20"/>
      <c r="C55" s="20"/>
      <c r="D55" s="20"/>
      <c r="E55" s="22"/>
      <c r="F55" s="20"/>
    </row>
    <row r="56">
      <c r="A56" s="23"/>
      <c r="B56" s="20"/>
      <c r="C56" s="20"/>
      <c r="D56" s="20"/>
      <c r="E56" s="22"/>
      <c r="F56" s="20"/>
    </row>
    <row r="57">
      <c r="A57" s="23"/>
      <c r="B57" s="20"/>
      <c r="C57" s="20"/>
      <c r="D57" s="20"/>
      <c r="E57" s="22"/>
      <c r="F57" s="20"/>
    </row>
    <row r="58">
      <c r="A58" s="23"/>
      <c r="B58" s="20"/>
      <c r="C58" s="20"/>
      <c r="D58" s="20"/>
      <c r="E58" s="22"/>
      <c r="F58" s="20"/>
    </row>
    <row r="59">
      <c r="A59" s="23"/>
      <c r="B59" s="20"/>
      <c r="C59" s="20"/>
      <c r="D59" s="20"/>
      <c r="E59" s="22"/>
      <c r="F59" s="20"/>
    </row>
    <row r="60">
      <c r="A60" s="23"/>
      <c r="B60" s="20"/>
      <c r="C60" s="20"/>
      <c r="D60" s="20"/>
      <c r="E60" s="22"/>
      <c r="F60" s="20"/>
    </row>
    <row r="61">
      <c r="A61" s="23"/>
      <c r="B61" s="20"/>
      <c r="C61" s="20"/>
      <c r="D61" s="20"/>
      <c r="E61" s="22"/>
      <c r="F61" s="20"/>
    </row>
    <row r="62">
      <c r="A62" s="23"/>
      <c r="B62" s="20"/>
      <c r="C62" s="20"/>
      <c r="D62" s="20"/>
      <c r="E62" s="22"/>
      <c r="F62" s="20"/>
    </row>
    <row r="63">
      <c r="A63" s="23"/>
      <c r="B63" s="20"/>
      <c r="C63" s="20"/>
      <c r="D63" s="20"/>
      <c r="E63" s="22"/>
      <c r="F63" s="20"/>
    </row>
    <row r="64">
      <c r="A64" s="23"/>
      <c r="B64" s="20"/>
      <c r="C64" s="20"/>
      <c r="D64" s="20"/>
      <c r="E64" s="22"/>
      <c r="F64" s="20"/>
    </row>
    <row r="65">
      <c r="A65" s="23"/>
      <c r="B65" s="20"/>
      <c r="C65" s="20"/>
      <c r="D65" s="20"/>
      <c r="E65" s="22"/>
      <c r="F65" s="20"/>
    </row>
    <row r="66">
      <c r="A66" s="23"/>
      <c r="B66" s="20"/>
      <c r="C66" s="20"/>
      <c r="D66" s="20"/>
      <c r="E66" s="22"/>
      <c r="F66" s="20"/>
    </row>
    <row r="67">
      <c r="A67" s="23"/>
      <c r="B67" s="20"/>
      <c r="C67" s="20"/>
      <c r="D67" s="20"/>
      <c r="E67" s="22"/>
      <c r="F67" s="20"/>
    </row>
    <row r="68">
      <c r="A68" s="23"/>
      <c r="B68" s="20"/>
      <c r="C68" s="20"/>
      <c r="D68" s="20"/>
      <c r="E68" s="22"/>
      <c r="F68" s="20"/>
    </row>
    <row r="69">
      <c r="A69" s="23"/>
      <c r="B69" s="20"/>
      <c r="C69" s="20"/>
      <c r="D69" s="20"/>
      <c r="E69" s="22"/>
      <c r="F69" s="20"/>
    </row>
    <row r="70">
      <c r="A70" s="23"/>
      <c r="B70" s="20"/>
      <c r="C70" s="20"/>
      <c r="D70" s="20"/>
      <c r="E70" s="22"/>
      <c r="F70" s="20"/>
    </row>
    <row r="71">
      <c r="A71" s="23"/>
      <c r="B71" s="20"/>
      <c r="C71" s="20"/>
      <c r="D71" s="20"/>
      <c r="E71" s="22"/>
      <c r="F71" s="20"/>
    </row>
    <row r="72">
      <c r="A72" s="23"/>
      <c r="B72" s="20"/>
      <c r="C72" s="20"/>
      <c r="D72" s="20"/>
      <c r="E72" s="22"/>
      <c r="F72" s="20"/>
    </row>
    <row r="73">
      <c r="A73" s="23"/>
      <c r="B73" s="20"/>
      <c r="C73" s="20"/>
      <c r="D73" s="20"/>
      <c r="E73" s="22"/>
      <c r="F73" s="20"/>
    </row>
    <row r="74">
      <c r="A74" s="23"/>
      <c r="B74" s="20"/>
      <c r="C74" s="20"/>
      <c r="D74" s="20"/>
      <c r="E74" s="22"/>
      <c r="F74" s="20"/>
    </row>
    <row r="75">
      <c r="A75" s="23"/>
      <c r="B75" s="20"/>
      <c r="C75" s="20"/>
      <c r="D75" s="20"/>
      <c r="E75" s="22"/>
      <c r="F75" s="20"/>
    </row>
    <row r="76">
      <c r="A76" s="23"/>
      <c r="B76" s="20"/>
      <c r="C76" s="20"/>
      <c r="D76" s="20"/>
      <c r="E76" s="22"/>
      <c r="F76" s="20"/>
    </row>
    <row r="77">
      <c r="A77" s="23"/>
      <c r="B77" s="20"/>
      <c r="C77" s="20"/>
      <c r="D77" s="20"/>
      <c r="E77" s="22"/>
      <c r="F77" s="20"/>
    </row>
    <row r="78">
      <c r="A78" s="23"/>
      <c r="B78" s="20"/>
      <c r="C78" s="20"/>
      <c r="D78" s="20"/>
      <c r="E78" s="22"/>
      <c r="F78" s="20"/>
    </row>
    <row r="79">
      <c r="A79" s="23"/>
      <c r="B79" s="20"/>
      <c r="C79" s="20"/>
      <c r="D79" s="20"/>
      <c r="E79" s="22"/>
      <c r="F79" s="20"/>
    </row>
    <row r="80">
      <c r="A80" s="23"/>
      <c r="B80" s="20"/>
      <c r="C80" s="20"/>
      <c r="D80" s="20"/>
      <c r="E80" s="22"/>
      <c r="F80" s="20"/>
    </row>
    <row r="81">
      <c r="A81" s="23"/>
      <c r="B81" s="20"/>
      <c r="C81" s="20"/>
      <c r="D81" s="20"/>
      <c r="E81" s="22"/>
      <c r="F81" s="20"/>
    </row>
    <row r="82">
      <c r="A82" s="23"/>
      <c r="B82" s="20"/>
      <c r="C82" s="20"/>
      <c r="D82" s="20"/>
      <c r="E82" s="22"/>
      <c r="F82" s="20"/>
    </row>
    <row r="83">
      <c r="A83" s="23"/>
      <c r="B83" s="20"/>
      <c r="C83" s="20"/>
      <c r="D83" s="20"/>
      <c r="E83" s="22"/>
      <c r="F83" s="20"/>
    </row>
    <row r="84">
      <c r="A84" s="23"/>
      <c r="B84" s="20"/>
      <c r="C84" s="20"/>
      <c r="D84" s="20"/>
      <c r="E84" s="22"/>
      <c r="F84" s="20"/>
    </row>
    <row r="85">
      <c r="A85" s="23"/>
      <c r="B85" s="20"/>
      <c r="C85" s="20"/>
      <c r="D85" s="20"/>
      <c r="E85" s="22"/>
      <c r="F85" s="20"/>
    </row>
    <row r="86">
      <c r="A86" s="23"/>
      <c r="B86" s="20"/>
      <c r="C86" s="20"/>
      <c r="D86" s="20"/>
      <c r="E86" s="22"/>
      <c r="F86" s="20"/>
    </row>
    <row r="87">
      <c r="A87" s="23"/>
      <c r="B87" s="20"/>
      <c r="C87" s="20"/>
      <c r="D87" s="20"/>
      <c r="E87" s="22"/>
      <c r="F87" s="20"/>
    </row>
    <row r="88">
      <c r="A88" s="23"/>
      <c r="B88" s="20"/>
      <c r="C88" s="20"/>
      <c r="D88" s="20"/>
      <c r="E88" s="22"/>
      <c r="F88" s="20"/>
    </row>
    <row r="89">
      <c r="A89" s="23"/>
      <c r="B89" s="20"/>
      <c r="C89" s="20"/>
      <c r="D89" s="20"/>
      <c r="E89" s="22"/>
      <c r="F89" s="20"/>
    </row>
    <row r="90">
      <c r="A90" s="23"/>
      <c r="B90" s="20"/>
      <c r="C90" s="20"/>
      <c r="D90" s="20"/>
      <c r="E90" s="22"/>
      <c r="F90" s="20"/>
    </row>
    <row r="91">
      <c r="A91" s="23"/>
      <c r="B91" s="20"/>
      <c r="C91" s="20"/>
      <c r="D91" s="20"/>
      <c r="E91" s="22"/>
      <c r="F91" s="20"/>
    </row>
    <row r="92">
      <c r="A92" s="23"/>
      <c r="B92" s="20"/>
      <c r="C92" s="20"/>
      <c r="D92" s="20"/>
      <c r="E92" s="22"/>
      <c r="F92" s="20"/>
    </row>
    <row r="93">
      <c r="A93" s="23"/>
      <c r="B93" s="20"/>
      <c r="C93" s="20"/>
      <c r="D93" s="20"/>
      <c r="E93" s="22"/>
      <c r="F93" s="20"/>
    </row>
    <row r="94">
      <c r="A94" s="23"/>
      <c r="B94" s="20"/>
      <c r="C94" s="20"/>
      <c r="D94" s="20"/>
      <c r="E94" s="22"/>
      <c r="F94" s="20"/>
    </row>
    <row r="95">
      <c r="A95" s="23"/>
      <c r="B95" s="20"/>
      <c r="C95" s="20"/>
      <c r="D95" s="20"/>
      <c r="E95" s="22"/>
      <c r="F95" s="20"/>
    </row>
    <row r="96">
      <c r="A96" s="23"/>
      <c r="B96" s="20"/>
      <c r="C96" s="20"/>
      <c r="D96" s="20"/>
      <c r="E96" s="22"/>
      <c r="F96" s="20"/>
    </row>
    <row r="97">
      <c r="A97" s="23"/>
      <c r="B97" s="20"/>
      <c r="C97" s="20"/>
      <c r="D97" s="20"/>
      <c r="E97" s="22"/>
      <c r="F97" s="20"/>
    </row>
    <row r="98">
      <c r="A98" s="23"/>
      <c r="B98" s="20"/>
      <c r="C98" s="20"/>
      <c r="D98" s="20"/>
      <c r="E98" s="22"/>
      <c r="F98" s="20"/>
    </row>
    <row r="99">
      <c r="A99" s="23"/>
      <c r="B99" s="20"/>
      <c r="C99" s="20"/>
      <c r="D99" s="20"/>
      <c r="E99" s="22"/>
      <c r="F99" s="20"/>
    </row>
    <row r="100">
      <c r="A100" s="23"/>
      <c r="B100" s="20"/>
      <c r="C100" s="20"/>
      <c r="D100" s="20"/>
      <c r="E100" s="22"/>
      <c r="F100" s="20"/>
    </row>
    <row r="101">
      <c r="A101" s="23"/>
      <c r="B101" s="20"/>
      <c r="C101" s="20"/>
      <c r="D101" s="20"/>
      <c r="E101" s="22"/>
      <c r="F101" s="20"/>
    </row>
    <row r="102">
      <c r="A102" s="23"/>
      <c r="B102" s="20"/>
      <c r="C102" s="20"/>
      <c r="D102" s="20"/>
      <c r="E102" s="22"/>
      <c r="F102" s="20"/>
    </row>
    <row r="103">
      <c r="A103" s="23"/>
      <c r="B103" s="20"/>
      <c r="C103" s="20"/>
      <c r="D103" s="20"/>
      <c r="E103" s="22"/>
      <c r="F103" s="20"/>
    </row>
    <row r="104">
      <c r="A104" s="23"/>
      <c r="B104" s="20"/>
      <c r="C104" s="20"/>
      <c r="D104" s="20"/>
      <c r="E104" s="22"/>
      <c r="F104" s="20"/>
    </row>
    <row r="105">
      <c r="A105" s="23"/>
      <c r="B105" s="20"/>
      <c r="C105" s="20"/>
      <c r="D105" s="20"/>
      <c r="E105" s="22"/>
      <c r="F105" s="20"/>
    </row>
    <row r="106">
      <c r="A106" s="23"/>
      <c r="B106" s="20"/>
      <c r="C106" s="20"/>
      <c r="D106" s="20"/>
      <c r="E106" s="22"/>
      <c r="F106" s="20"/>
    </row>
    <row r="107">
      <c r="A107" s="23"/>
      <c r="B107" s="20"/>
      <c r="C107" s="20"/>
      <c r="D107" s="20"/>
      <c r="E107" s="22"/>
      <c r="F107" s="20"/>
    </row>
    <row r="108">
      <c r="A108" s="23"/>
      <c r="B108" s="20"/>
      <c r="C108" s="20"/>
      <c r="D108" s="20"/>
      <c r="E108" s="22"/>
      <c r="F108" s="20"/>
    </row>
    <row r="109">
      <c r="A109" s="23"/>
      <c r="B109" s="20"/>
      <c r="C109" s="20"/>
      <c r="D109" s="20"/>
      <c r="E109" s="22"/>
      <c r="F109" s="20"/>
    </row>
    <row r="110">
      <c r="A110" s="23"/>
      <c r="B110" s="20"/>
      <c r="C110" s="20"/>
      <c r="D110" s="20"/>
      <c r="E110" s="22"/>
      <c r="F110" s="20"/>
    </row>
    <row r="111">
      <c r="A111" s="23"/>
      <c r="B111" s="20"/>
      <c r="C111" s="20"/>
      <c r="D111" s="20"/>
      <c r="E111" s="22"/>
      <c r="F111" s="20"/>
    </row>
    <row r="112">
      <c r="A112" s="23"/>
      <c r="B112" s="20"/>
      <c r="C112" s="20"/>
      <c r="D112" s="20"/>
      <c r="E112" s="22"/>
      <c r="F112" s="20"/>
    </row>
    <row r="113">
      <c r="A113" s="23"/>
      <c r="B113" s="20"/>
      <c r="C113" s="20"/>
      <c r="D113" s="20"/>
      <c r="E113" s="22"/>
      <c r="F113" s="20"/>
    </row>
    <row r="114">
      <c r="A114" s="23"/>
      <c r="B114" s="20"/>
      <c r="C114" s="20"/>
      <c r="D114" s="20"/>
      <c r="E114" s="22"/>
      <c r="F114" s="20"/>
    </row>
    <row r="115">
      <c r="A115" s="23"/>
      <c r="B115" s="20"/>
      <c r="C115" s="20"/>
      <c r="D115" s="20"/>
      <c r="E115" s="22"/>
      <c r="F115" s="20"/>
    </row>
    <row r="116">
      <c r="A116" s="23"/>
      <c r="B116" s="20"/>
      <c r="C116" s="20"/>
      <c r="D116" s="20"/>
      <c r="E116" s="22"/>
      <c r="F116" s="20"/>
    </row>
    <row r="117">
      <c r="A117" s="23"/>
      <c r="B117" s="20"/>
      <c r="C117" s="20"/>
      <c r="D117" s="20"/>
      <c r="E117" s="22"/>
      <c r="F117" s="20"/>
    </row>
    <row r="118">
      <c r="A118" s="23"/>
      <c r="B118" s="20"/>
      <c r="C118" s="20"/>
      <c r="D118" s="20"/>
      <c r="E118" s="22"/>
      <c r="F118" s="20"/>
    </row>
    <row r="119">
      <c r="A119" s="23"/>
      <c r="B119" s="20"/>
      <c r="C119" s="20"/>
      <c r="D119" s="20"/>
      <c r="E119" s="22"/>
      <c r="F119" s="20"/>
    </row>
    <row r="120">
      <c r="A120" s="23"/>
      <c r="B120" s="20"/>
      <c r="C120" s="20"/>
      <c r="D120" s="20"/>
      <c r="E120" s="22"/>
      <c r="F120" s="20"/>
    </row>
    <row r="121">
      <c r="A121" s="23"/>
      <c r="B121" s="20"/>
      <c r="C121" s="20"/>
      <c r="D121" s="20"/>
      <c r="E121" s="22"/>
      <c r="F121" s="20"/>
    </row>
    <row r="122">
      <c r="A122" s="23"/>
      <c r="B122" s="20"/>
      <c r="C122" s="20"/>
      <c r="D122" s="20"/>
      <c r="E122" s="22"/>
      <c r="F122" s="20"/>
    </row>
    <row r="123">
      <c r="A123" s="23"/>
      <c r="B123" s="20"/>
      <c r="C123" s="20"/>
      <c r="D123" s="20"/>
      <c r="E123" s="22"/>
      <c r="F123" s="20"/>
    </row>
    <row r="124">
      <c r="A124" s="23"/>
      <c r="B124" s="20"/>
      <c r="C124" s="20"/>
      <c r="D124" s="20"/>
      <c r="E124" s="22"/>
      <c r="F124" s="20"/>
    </row>
    <row r="125">
      <c r="A125" s="23"/>
      <c r="B125" s="20"/>
      <c r="C125" s="20"/>
      <c r="D125" s="20"/>
      <c r="E125" s="22"/>
      <c r="F125" s="20"/>
    </row>
    <row r="126">
      <c r="A126" s="23"/>
      <c r="B126" s="20"/>
      <c r="C126" s="20"/>
      <c r="D126" s="20"/>
      <c r="E126" s="22"/>
      <c r="F126" s="20"/>
    </row>
    <row r="127">
      <c r="A127" s="23"/>
      <c r="B127" s="20"/>
      <c r="C127" s="20"/>
      <c r="D127" s="20"/>
      <c r="E127" s="22"/>
      <c r="F127" s="20"/>
    </row>
    <row r="128">
      <c r="A128" s="23"/>
      <c r="B128" s="20"/>
      <c r="C128" s="20"/>
      <c r="D128" s="20"/>
      <c r="E128" s="22"/>
      <c r="F128" s="20"/>
    </row>
    <row r="129">
      <c r="A129" s="23"/>
      <c r="B129" s="20"/>
      <c r="C129" s="20"/>
      <c r="D129" s="20"/>
      <c r="E129" s="22"/>
      <c r="F129" s="20"/>
    </row>
    <row r="130">
      <c r="A130" s="23"/>
      <c r="B130" s="20"/>
      <c r="C130" s="20"/>
      <c r="D130" s="20"/>
      <c r="E130" s="22"/>
      <c r="F130" s="20"/>
    </row>
    <row r="131">
      <c r="A131" s="23"/>
      <c r="B131" s="20"/>
      <c r="C131" s="20"/>
      <c r="D131" s="20"/>
      <c r="E131" s="22"/>
      <c r="F131" s="20"/>
    </row>
    <row r="132">
      <c r="A132" s="23"/>
      <c r="B132" s="20"/>
      <c r="C132" s="20"/>
      <c r="D132" s="20"/>
      <c r="E132" s="22"/>
      <c r="F132" s="20"/>
    </row>
    <row r="133">
      <c r="A133" s="23"/>
      <c r="B133" s="20"/>
      <c r="C133" s="20"/>
      <c r="D133" s="20"/>
      <c r="E133" s="22"/>
      <c r="F133" s="20"/>
    </row>
    <row r="134">
      <c r="A134" s="23"/>
      <c r="B134" s="20"/>
      <c r="C134" s="20"/>
      <c r="D134" s="20"/>
      <c r="E134" s="22"/>
      <c r="F134" s="20"/>
    </row>
    <row r="135">
      <c r="A135" s="23"/>
      <c r="B135" s="20"/>
      <c r="C135" s="20"/>
      <c r="D135" s="20"/>
      <c r="E135" s="22"/>
      <c r="F135" s="20"/>
    </row>
    <row r="136">
      <c r="A136" s="23"/>
      <c r="B136" s="20"/>
      <c r="C136" s="20"/>
      <c r="D136" s="20"/>
      <c r="E136" s="22"/>
      <c r="F136" s="20"/>
    </row>
    <row r="137">
      <c r="A137" s="23"/>
      <c r="B137" s="20"/>
      <c r="C137" s="20"/>
      <c r="D137" s="20"/>
      <c r="E137" s="22"/>
      <c r="F137" s="20"/>
    </row>
    <row r="138">
      <c r="A138" s="23"/>
      <c r="B138" s="20"/>
      <c r="C138" s="20"/>
      <c r="D138" s="20"/>
      <c r="E138" s="22"/>
      <c r="F138" s="20"/>
    </row>
    <row r="139">
      <c r="A139" s="23"/>
      <c r="B139" s="20"/>
      <c r="C139" s="20"/>
      <c r="D139" s="20"/>
      <c r="E139" s="22"/>
      <c r="F139" s="20"/>
    </row>
    <row r="140">
      <c r="A140" s="23"/>
      <c r="B140" s="20"/>
      <c r="C140" s="20"/>
      <c r="D140" s="20"/>
      <c r="E140" s="22"/>
      <c r="F140" s="20"/>
    </row>
    <row r="141">
      <c r="A141" s="23"/>
      <c r="B141" s="20"/>
      <c r="C141" s="20"/>
      <c r="D141" s="20"/>
      <c r="E141" s="22"/>
      <c r="F141" s="20"/>
    </row>
    <row r="142">
      <c r="A142" s="23"/>
      <c r="B142" s="20"/>
      <c r="C142" s="20"/>
      <c r="D142" s="20"/>
      <c r="E142" s="22"/>
      <c r="F142" s="20"/>
    </row>
    <row r="143">
      <c r="A143" s="23"/>
      <c r="B143" s="20"/>
      <c r="C143" s="20"/>
      <c r="D143" s="20"/>
      <c r="E143" s="22"/>
      <c r="F143" s="20"/>
    </row>
    <row r="144">
      <c r="A144" s="23"/>
      <c r="B144" s="20"/>
      <c r="C144" s="20"/>
      <c r="D144" s="20"/>
      <c r="E144" s="22"/>
      <c r="F144" s="20"/>
    </row>
    <row r="145">
      <c r="A145" s="23"/>
      <c r="B145" s="20"/>
      <c r="C145" s="20"/>
      <c r="D145" s="20"/>
      <c r="E145" s="22"/>
      <c r="F145" s="20"/>
    </row>
    <row r="146">
      <c r="A146" s="23"/>
      <c r="B146" s="20"/>
      <c r="C146" s="20"/>
      <c r="D146" s="20"/>
      <c r="E146" s="22"/>
      <c r="F146" s="20"/>
    </row>
    <row r="147">
      <c r="A147" s="23"/>
      <c r="B147" s="20"/>
      <c r="C147" s="20"/>
      <c r="D147" s="20"/>
      <c r="E147" s="22"/>
      <c r="F147" s="20"/>
    </row>
    <row r="148">
      <c r="A148" s="23"/>
      <c r="B148" s="20"/>
      <c r="C148" s="20"/>
      <c r="D148" s="20"/>
      <c r="E148" s="22"/>
      <c r="F148" s="20"/>
    </row>
    <row r="149">
      <c r="A149" s="23"/>
      <c r="B149" s="20"/>
      <c r="C149" s="20"/>
      <c r="D149" s="20"/>
      <c r="E149" s="22"/>
      <c r="F149" s="20"/>
    </row>
    <row r="150">
      <c r="A150" s="23"/>
      <c r="B150" s="20"/>
      <c r="C150" s="20"/>
      <c r="D150" s="20"/>
      <c r="E150" s="22"/>
      <c r="F150" s="20"/>
    </row>
    <row r="151">
      <c r="A151" s="23"/>
      <c r="B151" s="20"/>
      <c r="C151" s="20"/>
      <c r="D151" s="20"/>
      <c r="E151" s="22"/>
      <c r="F151" s="20"/>
    </row>
    <row r="152">
      <c r="A152" s="23"/>
      <c r="B152" s="20"/>
      <c r="C152" s="20"/>
      <c r="D152" s="20"/>
      <c r="E152" s="22"/>
      <c r="F152" s="20"/>
    </row>
    <row r="153">
      <c r="A153" s="23"/>
      <c r="B153" s="20"/>
      <c r="C153" s="20"/>
      <c r="D153" s="20"/>
      <c r="E153" s="22"/>
      <c r="F153" s="20"/>
    </row>
    <row r="154">
      <c r="A154" s="23"/>
      <c r="B154" s="20"/>
      <c r="C154" s="20"/>
      <c r="D154" s="20"/>
      <c r="E154" s="22"/>
      <c r="F154" s="20"/>
    </row>
    <row r="155">
      <c r="A155" s="23"/>
      <c r="B155" s="20"/>
      <c r="C155" s="20"/>
      <c r="D155" s="20"/>
      <c r="E155" s="22"/>
      <c r="F155" s="20"/>
    </row>
    <row r="156">
      <c r="A156" s="23"/>
      <c r="B156" s="20"/>
      <c r="C156" s="20"/>
      <c r="D156" s="20"/>
      <c r="E156" s="22"/>
      <c r="F156" s="20"/>
    </row>
    <row r="157">
      <c r="A157" s="23"/>
      <c r="B157" s="20"/>
      <c r="C157" s="20"/>
      <c r="D157" s="20"/>
      <c r="E157" s="22"/>
      <c r="F157" s="20"/>
    </row>
    <row r="158">
      <c r="A158" s="23"/>
      <c r="B158" s="20"/>
      <c r="C158" s="20"/>
      <c r="D158" s="20"/>
      <c r="E158" s="22"/>
      <c r="F158" s="20"/>
    </row>
    <row r="159">
      <c r="A159" s="23"/>
      <c r="B159" s="20"/>
      <c r="C159" s="20"/>
      <c r="D159" s="20"/>
      <c r="E159" s="22"/>
      <c r="F159" s="20"/>
    </row>
    <row r="160">
      <c r="A160" s="23"/>
      <c r="B160" s="20"/>
      <c r="C160" s="20"/>
      <c r="D160" s="20"/>
      <c r="E160" s="22"/>
      <c r="F160" s="20"/>
    </row>
    <row r="161">
      <c r="A161" s="23"/>
      <c r="B161" s="20"/>
      <c r="C161" s="20"/>
      <c r="D161" s="20"/>
      <c r="E161" s="22"/>
      <c r="F161" s="20"/>
    </row>
    <row r="162">
      <c r="A162" s="23"/>
      <c r="B162" s="20"/>
      <c r="C162" s="20"/>
      <c r="D162" s="20"/>
      <c r="E162" s="22"/>
      <c r="F162" s="20"/>
    </row>
    <row r="163">
      <c r="A163" s="23"/>
      <c r="B163" s="20"/>
      <c r="C163" s="20"/>
      <c r="D163" s="20"/>
      <c r="E163" s="22"/>
      <c r="F163" s="20"/>
    </row>
    <row r="164">
      <c r="A164" s="23"/>
      <c r="B164" s="20"/>
      <c r="C164" s="20"/>
      <c r="D164" s="20"/>
      <c r="E164" s="22"/>
      <c r="F164" s="20"/>
    </row>
    <row r="165">
      <c r="A165" s="23"/>
      <c r="B165" s="20"/>
      <c r="C165" s="20"/>
      <c r="D165" s="20"/>
      <c r="E165" s="22"/>
      <c r="F165" s="20"/>
    </row>
    <row r="166">
      <c r="A166" s="23"/>
      <c r="B166" s="20"/>
      <c r="C166" s="20"/>
      <c r="D166" s="20"/>
      <c r="E166" s="22"/>
      <c r="F166" s="20"/>
    </row>
    <row r="167">
      <c r="A167" s="23"/>
      <c r="B167" s="20"/>
      <c r="C167" s="20"/>
      <c r="D167" s="20"/>
      <c r="E167" s="22"/>
      <c r="F167" s="20"/>
    </row>
    <row r="168">
      <c r="A168" s="23"/>
      <c r="B168" s="20"/>
      <c r="C168" s="20"/>
      <c r="D168" s="20"/>
      <c r="E168" s="22"/>
      <c r="F168" s="20"/>
    </row>
    <row r="169">
      <c r="A169" s="23"/>
      <c r="B169" s="20"/>
      <c r="C169" s="20"/>
      <c r="D169" s="20"/>
      <c r="E169" s="22"/>
      <c r="F169" s="20"/>
    </row>
    <row r="170">
      <c r="A170" s="23"/>
      <c r="B170" s="20"/>
      <c r="C170" s="20"/>
      <c r="D170" s="20"/>
      <c r="E170" s="22"/>
      <c r="F170" s="20"/>
    </row>
    <row r="171">
      <c r="A171" s="23"/>
      <c r="B171" s="20"/>
      <c r="C171" s="20"/>
      <c r="D171" s="20"/>
      <c r="E171" s="22"/>
      <c r="F171" s="20"/>
    </row>
    <row r="172">
      <c r="A172" s="23"/>
      <c r="B172" s="20"/>
      <c r="C172" s="20"/>
      <c r="D172" s="20"/>
      <c r="E172" s="22"/>
      <c r="F172" s="20"/>
    </row>
    <row r="173">
      <c r="A173" s="23"/>
      <c r="B173" s="20"/>
      <c r="C173" s="20"/>
      <c r="D173" s="20"/>
      <c r="E173" s="22"/>
      <c r="F173" s="20"/>
    </row>
    <row r="174">
      <c r="A174" s="23"/>
      <c r="B174" s="20"/>
      <c r="C174" s="20"/>
      <c r="D174" s="20"/>
      <c r="E174" s="22"/>
      <c r="F174" s="20"/>
    </row>
    <row r="175">
      <c r="A175" s="23"/>
      <c r="B175" s="20"/>
      <c r="C175" s="20"/>
      <c r="D175" s="20"/>
      <c r="E175" s="22"/>
      <c r="F175" s="20"/>
    </row>
    <row r="176">
      <c r="A176" s="23"/>
      <c r="B176" s="20"/>
      <c r="C176" s="20"/>
      <c r="D176" s="20"/>
      <c r="E176" s="22"/>
      <c r="F176" s="20"/>
    </row>
    <row r="177">
      <c r="A177" s="23"/>
      <c r="B177" s="20"/>
      <c r="C177" s="20"/>
      <c r="D177" s="20"/>
      <c r="E177" s="22"/>
      <c r="F177" s="20"/>
    </row>
    <row r="178">
      <c r="A178" s="23"/>
      <c r="B178" s="20"/>
      <c r="C178" s="20"/>
      <c r="D178" s="20"/>
      <c r="E178" s="22"/>
      <c r="F178" s="20"/>
    </row>
    <row r="179">
      <c r="A179" s="23"/>
      <c r="B179" s="20"/>
      <c r="C179" s="20"/>
      <c r="D179" s="20"/>
      <c r="E179" s="22"/>
      <c r="F179" s="20"/>
    </row>
    <row r="180">
      <c r="A180" s="23"/>
      <c r="B180" s="20"/>
      <c r="C180" s="20"/>
      <c r="D180" s="20"/>
      <c r="E180" s="22"/>
      <c r="F180" s="20"/>
    </row>
    <row r="181">
      <c r="A181" s="23"/>
      <c r="B181" s="20"/>
      <c r="C181" s="20"/>
      <c r="D181" s="20"/>
      <c r="E181" s="22"/>
      <c r="F181" s="20"/>
    </row>
    <row r="182">
      <c r="A182" s="23"/>
      <c r="B182" s="20"/>
      <c r="C182" s="20"/>
      <c r="D182" s="20"/>
      <c r="E182" s="22"/>
      <c r="F182" s="20"/>
    </row>
    <row r="183">
      <c r="A183" s="23"/>
      <c r="B183" s="20"/>
      <c r="C183" s="20"/>
      <c r="D183" s="20"/>
      <c r="E183" s="22"/>
      <c r="F183" s="20"/>
    </row>
    <row r="184">
      <c r="A184" s="23"/>
      <c r="B184" s="20"/>
      <c r="C184" s="20"/>
      <c r="D184" s="20"/>
      <c r="E184" s="22"/>
      <c r="F184" s="20"/>
    </row>
    <row r="185">
      <c r="A185" s="23"/>
      <c r="B185" s="20"/>
      <c r="C185" s="20"/>
      <c r="D185" s="20"/>
      <c r="E185" s="22"/>
      <c r="F185" s="20"/>
    </row>
    <row r="186">
      <c r="A186" s="23"/>
      <c r="B186" s="20"/>
      <c r="C186" s="20"/>
      <c r="D186" s="20"/>
      <c r="E186" s="22"/>
      <c r="F186" s="20"/>
    </row>
    <row r="187">
      <c r="A187" s="23"/>
      <c r="B187" s="20"/>
      <c r="C187" s="20"/>
      <c r="D187" s="20"/>
      <c r="E187" s="22"/>
      <c r="F187" s="20"/>
    </row>
    <row r="188">
      <c r="A188" s="23"/>
      <c r="B188" s="20"/>
      <c r="C188" s="20"/>
      <c r="D188" s="20"/>
      <c r="E188" s="22"/>
      <c r="F188" s="20"/>
    </row>
    <row r="189">
      <c r="A189" s="23"/>
      <c r="B189" s="20"/>
      <c r="C189" s="20"/>
      <c r="D189" s="20"/>
      <c r="E189" s="22"/>
      <c r="F189" s="20"/>
    </row>
    <row r="190">
      <c r="A190" s="23"/>
      <c r="B190" s="20"/>
      <c r="C190" s="20"/>
      <c r="D190" s="20"/>
      <c r="E190" s="22"/>
      <c r="F190" s="20"/>
    </row>
    <row r="191">
      <c r="A191" s="23"/>
      <c r="B191" s="20"/>
      <c r="C191" s="20"/>
      <c r="D191" s="20"/>
      <c r="E191" s="22"/>
      <c r="F191" s="20"/>
    </row>
    <row r="192">
      <c r="A192" s="23"/>
      <c r="B192" s="20"/>
      <c r="C192" s="20"/>
      <c r="D192" s="20"/>
      <c r="E192" s="22"/>
      <c r="F192" s="20"/>
    </row>
    <row r="193">
      <c r="A193" s="23"/>
      <c r="B193" s="20"/>
      <c r="C193" s="20"/>
      <c r="D193" s="20"/>
      <c r="E193" s="22"/>
      <c r="F193" s="20"/>
    </row>
    <row r="194">
      <c r="A194" s="23"/>
      <c r="B194" s="20"/>
      <c r="C194" s="20"/>
      <c r="D194" s="20"/>
      <c r="E194" s="22"/>
      <c r="F194" s="20"/>
    </row>
    <row r="195">
      <c r="A195" s="23"/>
      <c r="B195" s="20"/>
      <c r="C195" s="20"/>
      <c r="D195" s="20"/>
      <c r="E195" s="22"/>
      <c r="F195" s="20"/>
    </row>
    <row r="196">
      <c r="A196" s="23"/>
      <c r="B196" s="20"/>
      <c r="C196" s="20"/>
      <c r="D196" s="20"/>
      <c r="E196" s="22"/>
      <c r="F196" s="20"/>
    </row>
    <row r="197">
      <c r="A197" s="23"/>
      <c r="B197" s="20"/>
      <c r="C197" s="20"/>
      <c r="D197" s="20"/>
      <c r="E197" s="22"/>
      <c r="F197" s="20"/>
    </row>
    <row r="198">
      <c r="A198" s="23"/>
      <c r="B198" s="20"/>
      <c r="C198" s="20"/>
      <c r="D198" s="20"/>
      <c r="E198" s="22"/>
      <c r="F198" s="20"/>
    </row>
    <row r="199">
      <c r="A199" s="23"/>
      <c r="B199" s="20"/>
      <c r="C199" s="20"/>
      <c r="D199" s="20"/>
      <c r="E199" s="22"/>
      <c r="F199" s="20"/>
    </row>
    <row r="200">
      <c r="A200" s="23"/>
      <c r="B200" s="20"/>
      <c r="C200" s="20"/>
      <c r="D200" s="20"/>
      <c r="E200" s="22"/>
      <c r="F200" s="20"/>
    </row>
    <row r="201">
      <c r="A201" s="23"/>
      <c r="B201" s="20"/>
      <c r="C201" s="20"/>
      <c r="D201" s="20"/>
      <c r="E201" s="22"/>
      <c r="F201" s="20"/>
    </row>
    <row r="202">
      <c r="A202" s="23"/>
      <c r="B202" s="20"/>
      <c r="C202" s="20"/>
      <c r="D202" s="20"/>
      <c r="E202" s="22"/>
      <c r="F202" s="20"/>
    </row>
    <row r="203">
      <c r="A203" s="23"/>
      <c r="B203" s="20"/>
      <c r="C203" s="20"/>
      <c r="D203" s="20"/>
      <c r="E203" s="22"/>
      <c r="F203" s="20"/>
    </row>
    <row r="204">
      <c r="A204" s="23"/>
      <c r="B204" s="20"/>
      <c r="C204" s="20"/>
      <c r="D204" s="20"/>
      <c r="E204" s="22"/>
      <c r="F204" s="20"/>
    </row>
    <row r="205">
      <c r="A205" s="23"/>
      <c r="B205" s="20"/>
      <c r="C205" s="20"/>
      <c r="D205" s="20"/>
      <c r="E205" s="22"/>
      <c r="F205" s="20"/>
    </row>
    <row r="206">
      <c r="A206" s="23"/>
      <c r="B206" s="20"/>
      <c r="C206" s="20"/>
      <c r="D206" s="20"/>
      <c r="E206" s="22"/>
      <c r="F206" s="20"/>
    </row>
    <row r="207">
      <c r="A207" s="23"/>
      <c r="B207" s="20"/>
      <c r="C207" s="20"/>
      <c r="D207" s="20"/>
      <c r="E207" s="22"/>
      <c r="F207" s="20"/>
    </row>
    <row r="208">
      <c r="A208" s="23"/>
      <c r="B208" s="20"/>
      <c r="C208" s="20"/>
      <c r="D208" s="20"/>
      <c r="E208" s="22"/>
      <c r="F208" s="20"/>
    </row>
    <row r="209">
      <c r="A209" s="23"/>
      <c r="B209" s="20"/>
      <c r="C209" s="20"/>
      <c r="D209" s="20"/>
      <c r="E209" s="22"/>
      <c r="F209" s="20"/>
    </row>
    <row r="210">
      <c r="A210" s="23"/>
      <c r="B210" s="20"/>
      <c r="C210" s="20"/>
      <c r="D210" s="20"/>
      <c r="E210" s="22"/>
      <c r="F210" s="20"/>
    </row>
    <row r="211">
      <c r="A211" s="23"/>
      <c r="B211" s="20"/>
      <c r="C211" s="20"/>
      <c r="D211" s="20"/>
      <c r="E211" s="22"/>
      <c r="F211" s="20"/>
    </row>
    <row r="212">
      <c r="A212" s="23"/>
      <c r="B212" s="20"/>
      <c r="C212" s="20"/>
      <c r="D212" s="20"/>
      <c r="E212" s="22"/>
      <c r="F212" s="20"/>
    </row>
    <row r="213">
      <c r="A213" s="23"/>
      <c r="B213" s="20"/>
      <c r="C213" s="20"/>
      <c r="D213" s="20"/>
      <c r="E213" s="22"/>
      <c r="F213" s="20"/>
    </row>
    <row r="214">
      <c r="A214" s="23"/>
      <c r="B214" s="20"/>
      <c r="C214" s="20"/>
      <c r="D214" s="20"/>
      <c r="E214" s="22"/>
      <c r="F214" s="20"/>
    </row>
    <row r="215">
      <c r="A215" s="23"/>
      <c r="B215" s="20"/>
      <c r="C215" s="20"/>
      <c r="D215" s="20"/>
      <c r="E215" s="22"/>
      <c r="F215" s="20"/>
    </row>
    <row r="216">
      <c r="A216" s="23"/>
      <c r="B216" s="20"/>
      <c r="C216" s="20"/>
      <c r="D216" s="20"/>
      <c r="E216" s="22"/>
      <c r="F216" s="20"/>
    </row>
    <row r="217">
      <c r="A217" s="23"/>
      <c r="B217" s="20"/>
      <c r="C217" s="20"/>
      <c r="D217" s="20"/>
      <c r="E217" s="22"/>
      <c r="F217" s="20"/>
    </row>
    <row r="218">
      <c r="A218" s="23"/>
      <c r="B218" s="20"/>
      <c r="C218" s="20"/>
      <c r="D218" s="20"/>
      <c r="E218" s="22"/>
      <c r="F218" s="20"/>
    </row>
    <row r="219">
      <c r="A219" s="23"/>
      <c r="B219" s="20"/>
      <c r="C219" s="20"/>
      <c r="D219" s="20"/>
      <c r="E219" s="22"/>
      <c r="F219" s="20"/>
    </row>
    <row r="220">
      <c r="A220" s="23"/>
      <c r="B220" s="20"/>
      <c r="C220" s="20"/>
      <c r="D220" s="20"/>
      <c r="E220" s="22"/>
      <c r="F220" s="20"/>
    </row>
    <row r="221">
      <c r="A221" s="23"/>
      <c r="B221" s="20"/>
      <c r="C221" s="20"/>
      <c r="D221" s="20"/>
      <c r="E221" s="22"/>
      <c r="F221" s="20"/>
    </row>
    <row r="222">
      <c r="A222" s="23"/>
      <c r="B222" s="20"/>
      <c r="C222" s="20"/>
      <c r="D222" s="20"/>
      <c r="E222" s="22"/>
      <c r="F222" s="20"/>
    </row>
    <row r="223">
      <c r="A223" s="23"/>
      <c r="B223" s="20"/>
      <c r="C223" s="20"/>
      <c r="D223" s="20"/>
      <c r="E223" s="22"/>
      <c r="F223" s="20"/>
    </row>
    <row r="224">
      <c r="A224" s="23"/>
      <c r="B224" s="20"/>
      <c r="C224" s="20"/>
      <c r="D224" s="20"/>
      <c r="E224" s="22"/>
      <c r="F224" s="20"/>
    </row>
    <row r="225">
      <c r="A225" s="23"/>
      <c r="B225" s="20"/>
      <c r="C225" s="20"/>
      <c r="D225" s="20"/>
      <c r="E225" s="22"/>
      <c r="F225" s="20"/>
    </row>
    <row r="226">
      <c r="A226" s="23"/>
      <c r="B226" s="20"/>
      <c r="C226" s="20"/>
      <c r="D226" s="20"/>
      <c r="E226" s="22"/>
      <c r="F226" s="20"/>
    </row>
    <row r="227">
      <c r="A227" s="23"/>
      <c r="B227" s="20"/>
      <c r="C227" s="20"/>
      <c r="D227" s="20"/>
      <c r="E227" s="22"/>
      <c r="F227" s="20"/>
    </row>
    <row r="228">
      <c r="A228" s="23"/>
      <c r="B228" s="20"/>
      <c r="C228" s="20"/>
      <c r="D228" s="20"/>
      <c r="E228" s="22"/>
      <c r="F228" s="20"/>
    </row>
    <row r="229">
      <c r="A229" s="23"/>
      <c r="B229" s="20"/>
      <c r="C229" s="20"/>
      <c r="D229" s="20"/>
      <c r="E229" s="22"/>
      <c r="F229" s="20"/>
    </row>
    <row r="230">
      <c r="A230" s="23"/>
      <c r="B230" s="20"/>
      <c r="C230" s="20"/>
      <c r="D230" s="20"/>
      <c r="E230" s="22"/>
      <c r="F230" s="20"/>
    </row>
    <row r="231">
      <c r="A231" s="23"/>
      <c r="B231" s="20"/>
      <c r="C231" s="20"/>
      <c r="D231" s="20"/>
      <c r="E231" s="22"/>
      <c r="F231" s="20"/>
    </row>
    <row r="232">
      <c r="A232" s="23"/>
      <c r="B232" s="20"/>
      <c r="C232" s="20"/>
      <c r="D232" s="20"/>
      <c r="E232" s="22"/>
      <c r="F232" s="20"/>
    </row>
    <row r="233">
      <c r="A233" s="23"/>
      <c r="B233" s="20"/>
      <c r="C233" s="20"/>
      <c r="D233" s="20"/>
      <c r="E233" s="22"/>
      <c r="F233" s="20"/>
    </row>
    <row r="234">
      <c r="A234" s="23"/>
      <c r="B234" s="20"/>
      <c r="C234" s="20"/>
      <c r="D234" s="20"/>
      <c r="E234" s="22"/>
      <c r="F234" s="20"/>
    </row>
    <row r="235">
      <c r="A235" s="23"/>
      <c r="B235" s="20"/>
      <c r="C235" s="20"/>
      <c r="D235" s="20"/>
      <c r="E235" s="22"/>
      <c r="F235" s="20"/>
    </row>
    <row r="236">
      <c r="A236" s="23"/>
      <c r="B236" s="20"/>
      <c r="C236" s="20"/>
      <c r="D236" s="20"/>
      <c r="E236" s="22"/>
      <c r="F236" s="20"/>
    </row>
    <row r="237">
      <c r="A237" s="23"/>
      <c r="B237" s="20"/>
      <c r="C237" s="20"/>
      <c r="D237" s="20"/>
      <c r="E237" s="22"/>
      <c r="F237" s="20"/>
    </row>
    <row r="238">
      <c r="A238" s="23"/>
      <c r="B238" s="20"/>
      <c r="C238" s="20"/>
      <c r="D238" s="20"/>
      <c r="E238" s="22"/>
      <c r="F238" s="20"/>
    </row>
    <row r="239">
      <c r="A239" s="23"/>
      <c r="B239" s="20"/>
      <c r="C239" s="20"/>
      <c r="D239" s="20"/>
      <c r="E239" s="22"/>
      <c r="F239" s="20"/>
    </row>
    <row r="240">
      <c r="A240" s="23"/>
      <c r="B240" s="20"/>
      <c r="C240" s="20"/>
      <c r="D240" s="20"/>
      <c r="E240" s="22"/>
      <c r="F240" s="20"/>
    </row>
    <row r="241">
      <c r="A241" s="23"/>
      <c r="B241" s="20"/>
      <c r="C241" s="20"/>
      <c r="D241" s="20"/>
      <c r="E241" s="22"/>
      <c r="F241" s="20"/>
    </row>
    <row r="242">
      <c r="A242" s="23"/>
      <c r="B242" s="20"/>
      <c r="C242" s="20"/>
      <c r="D242" s="20"/>
      <c r="E242" s="22"/>
      <c r="F242" s="20"/>
    </row>
    <row r="243">
      <c r="A243" s="23"/>
      <c r="B243" s="20"/>
      <c r="C243" s="20"/>
      <c r="D243" s="20"/>
      <c r="E243" s="22"/>
      <c r="F243" s="20"/>
    </row>
    <row r="244">
      <c r="A244" s="23"/>
      <c r="B244" s="20"/>
      <c r="C244" s="20"/>
      <c r="D244" s="20"/>
      <c r="E244" s="22"/>
      <c r="F244" s="20"/>
    </row>
    <row r="245">
      <c r="A245" s="23"/>
      <c r="B245" s="20"/>
      <c r="C245" s="20"/>
      <c r="D245" s="20"/>
      <c r="E245" s="22"/>
      <c r="F245" s="20"/>
    </row>
    <row r="246">
      <c r="A246" s="23"/>
      <c r="B246" s="20"/>
      <c r="C246" s="20"/>
      <c r="D246" s="20"/>
      <c r="E246" s="22"/>
      <c r="F246" s="20"/>
    </row>
    <row r="247">
      <c r="A247" s="23"/>
      <c r="B247" s="20"/>
      <c r="C247" s="20"/>
      <c r="D247" s="20"/>
      <c r="E247" s="22"/>
      <c r="F247" s="20"/>
    </row>
    <row r="248">
      <c r="A248" s="23"/>
      <c r="B248" s="20"/>
      <c r="C248" s="20"/>
      <c r="D248" s="20"/>
      <c r="E248" s="22"/>
      <c r="F248" s="20"/>
    </row>
    <row r="249">
      <c r="A249" s="23"/>
      <c r="B249" s="20"/>
      <c r="C249" s="20"/>
      <c r="D249" s="20"/>
      <c r="E249" s="22"/>
      <c r="F249" s="20"/>
    </row>
    <row r="250">
      <c r="A250" s="23"/>
      <c r="B250" s="20"/>
      <c r="C250" s="20"/>
      <c r="D250" s="20"/>
      <c r="E250" s="22"/>
      <c r="F250" s="20"/>
    </row>
    <row r="251">
      <c r="A251" s="23"/>
      <c r="B251" s="20"/>
      <c r="C251" s="20"/>
      <c r="D251" s="20"/>
      <c r="E251" s="22"/>
      <c r="F251" s="20"/>
    </row>
    <row r="252">
      <c r="A252" s="23"/>
      <c r="B252" s="20"/>
      <c r="C252" s="20"/>
      <c r="D252" s="20"/>
      <c r="E252" s="22"/>
      <c r="F252" s="20"/>
    </row>
    <row r="253">
      <c r="A253" s="23"/>
      <c r="B253" s="20"/>
      <c r="C253" s="20"/>
      <c r="D253" s="20"/>
      <c r="E253" s="22"/>
      <c r="F253" s="20"/>
    </row>
    <row r="254">
      <c r="A254" s="23"/>
      <c r="B254" s="20"/>
      <c r="C254" s="20"/>
      <c r="D254" s="20"/>
      <c r="E254" s="22"/>
      <c r="F254" s="20"/>
    </row>
    <row r="255">
      <c r="A255" s="23"/>
      <c r="B255" s="20"/>
      <c r="C255" s="20"/>
      <c r="D255" s="20"/>
      <c r="E255" s="22"/>
      <c r="F255" s="20"/>
    </row>
    <row r="256">
      <c r="A256" s="23"/>
      <c r="B256" s="20"/>
      <c r="C256" s="20"/>
      <c r="D256" s="20"/>
      <c r="E256" s="22"/>
      <c r="F256" s="20"/>
    </row>
    <row r="257">
      <c r="A257" s="23"/>
      <c r="B257" s="20"/>
      <c r="C257" s="20"/>
      <c r="D257" s="20"/>
      <c r="E257" s="22"/>
      <c r="F257" s="20"/>
    </row>
    <row r="258">
      <c r="A258" s="23"/>
      <c r="B258" s="20"/>
      <c r="C258" s="20"/>
      <c r="D258" s="20"/>
      <c r="E258" s="22"/>
      <c r="F258" s="20"/>
    </row>
    <row r="259">
      <c r="A259" s="23"/>
      <c r="B259" s="20"/>
      <c r="C259" s="20"/>
      <c r="D259" s="20"/>
      <c r="E259" s="22"/>
      <c r="F259" s="20"/>
    </row>
    <row r="260">
      <c r="A260" s="23"/>
      <c r="B260" s="20"/>
      <c r="C260" s="20"/>
      <c r="D260" s="20"/>
      <c r="E260" s="22"/>
      <c r="F260" s="20"/>
    </row>
    <row r="261">
      <c r="A261" s="23"/>
      <c r="B261" s="20"/>
      <c r="C261" s="20"/>
      <c r="D261" s="20"/>
      <c r="E261" s="22"/>
      <c r="F261" s="20"/>
    </row>
    <row r="262">
      <c r="A262" s="23"/>
      <c r="B262" s="20"/>
      <c r="C262" s="20"/>
      <c r="D262" s="20"/>
      <c r="E262" s="22"/>
      <c r="F262" s="20"/>
    </row>
    <row r="263">
      <c r="A263" s="23"/>
      <c r="B263" s="20"/>
      <c r="C263" s="20"/>
      <c r="D263" s="20"/>
      <c r="E263" s="22"/>
      <c r="F263" s="20"/>
    </row>
    <row r="264">
      <c r="A264" s="23"/>
      <c r="B264" s="20"/>
      <c r="C264" s="20"/>
      <c r="D264" s="20"/>
      <c r="E264" s="22"/>
      <c r="F264" s="20"/>
    </row>
    <row r="265">
      <c r="A265" s="23"/>
      <c r="B265" s="20"/>
      <c r="C265" s="20"/>
      <c r="D265" s="20"/>
      <c r="E265" s="22"/>
      <c r="F265" s="20"/>
    </row>
    <row r="266">
      <c r="A266" s="23"/>
      <c r="B266" s="20"/>
      <c r="C266" s="20"/>
      <c r="D266" s="20"/>
      <c r="E266" s="22"/>
      <c r="F266" s="20"/>
    </row>
    <row r="267">
      <c r="A267" s="23"/>
      <c r="B267" s="20"/>
      <c r="C267" s="20"/>
      <c r="D267" s="20"/>
      <c r="E267" s="22"/>
      <c r="F267" s="20"/>
    </row>
    <row r="268">
      <c r="A268" s="23"/>
      <c r="B268" s="20"/>
      <c r="C268" s="20"/>
      <c r="D268" s="20"/>
      <c r="E268" s="22"/>
      <c r="F268" s="20"/>
    </row>
    <row r="269">
      <c r="A269" s="23"/>
      <c r="B269" s="20"/>
      <c r="C269" s="20"/>
      <c r="D269" s="20"/>
      <c r="E269" s="22"/>
      <c r="F269" s="20"/>
    </row>
    <row r="270">
      <c r="A270" s="23"/>
      <c r="B270" s="20"/>
      <c r="C270" s="20"/>
      <c r="D270" s="20"/>
      <c r="E270" s="22"/>
      <c r="F270" s="20"/>
    </row>
    <row r="271">
      <c r="A271" s="23"/>
      <c r="B271" s="20"/>
      <c r="C271" s="20"/>
      <c r="D271" s="20"/>
      <c r="E271" s="22"/>
      <c r="F271" s="20"/>
    </row>
    <row r="272">
      <c r="A272" s="23"/>
      <c r="B272" s="20"/>
      <c r="C272" s="20"/>
      <c r="D272" s="20"/>
      <c r="E272" s="22"/>
      <c r="F272" s="20"/>
    </row>
    <row r="273">
      <c r="A273" s="23"/>
      <c r="B273" s="20"/>
      <c r="C273" s="20"/>
      <c r="D273" s="20"/>
      <c r="E273" s="22"/>
      <c r="F273" s="20"/>
    </row>
    <row r="274">
      <c r="A274" s="23"/>
      <c r="B274" s="20"/>
      <c r="C274" s="20"/>
      <c r="D274" s="20"/>
      <c r="E274" s="22"/>
      <c r="F274" s="20"/>
    </row>
    <row r="275">
      <c r="A275" s="23"/>
      <c r="B275" s="20"/>
      <c r="C275" s="20"/>
      <c r="D275" s="20"/>
      <c r="E275" s="22"/>
      <c r="F275" s="20"/>
    </row>
    <row r="276">
      <c r="A276" s="23"/>
      <c r="B276" s="20"/>
      <c r="C276" s="20"/>
      <c r="D276" s="20"/>
      <c r="E276" s="22"/>
      <c r="F276" s="20"/>
    </row>
    <row r="277">
      <c r="A277" s="23"/>
      <c r="B277" s="20"/>
      <c r="C277" s="20"/>
      <c r="D277" s="20"/>
      <c r="E277" s="22"/>
      <c r="F277" s="20"/>
    </row>
    <row r="278">
      <c r="A278" s="23"/>
      <c r="B278" s="20"/>
      <c r="C278" s="20"/>
      <c r="D278" s="20"/>
      <c r="E278" s="22"/>
      <c r="F278" s="20"/>
    </row>
    <row r="279">
      <c r="A279" s="23"/>
      <c r="B279" s="20"/>
      <c r="C279" s="20"/>
      <c r="D279" s="20"/>
      <c r="E279" s="22"/>
      <c r="F279" s="20"/>
    </row>
    <row r="280">
      <c r="A280" s="23"/>
      <c r="B280" s="20"/>
      <c r="C280" s="20"/>
      <c r="D280" s="20"/>
      <c r="E280" s="22"/>
      <c r="F280" s="20"/>
    </row>
    <row r="281">
      <c r="A281" s="23"/>
      <c r="B281" s="20"/>
      <c r="C281" s="20"/>
      <c r="D281" s="20"/>
      <c r="E281" s="22"/>
      <c r="F281" s="20"/>
    </row>
    <row r="282">
      <c r="A282" s="23"/>
      <c r="B282" s="20"/>
      <c r="C282" s="20"/>
      <c r="D282" s="20"/>
      <c r="E282" s="22"/>
      <c r="F282" s="20"/>
    </row>
    <row r="283">
      <c r="A283" s="23"/>
      <c r="B283" s="20"/>
      <c r="C283" s="20"/>
      <c r="D283" s="20"/>
      <c r="E283" s="22"/>
      <c r="F283" s="20"/>
    </row>
    <row r="284">
      <c r="A284" s="23"/>
      <c r="B284" s="20"/>
      <c r="C284" s="20"/>
      <c r="D284" s="20"/>
      <c r="E284" s="22"/>
      <c r="F284" s="20"/>
    </row>
    <row r="285">
      <c r="A285" s="23"/>
      <c r="B285" s="20"/>
      <c r="C285" s="20"/>
      <c r="D285" s="20"/>
      <c r="E285" s="22"/>
      <c r="F285" s="20"/>
    </row>
    <row r="286">
      <c r="A286" s="23"/>
      <c r="B286" s="20"/>
      <c r="C286" s="20"/>
      <c r="D286" s="20"/>
      <c r="E286" s="22"/>
      <c r="F286" s="20"/>
    </row>
    <row r="287">
      <c r="A287" s="23"/>
      <c r="B287" s="20"/>
      <c r="C287" s="20"/>
      <c r="D287" s="20"/>
      <c r="E287" s="22"/>
      <c r="F287" s="20"/>
    </row>
    <row r="288">
      <c r="A288" s="23"/>
      <c r="B288" s="20"/>
      <c r="C288" s="20"/>
      <c r="D288" s="20"/>
      <c r="E288" s="22"/>
      <c r="F288" s="20"/>
    </row>
    <row r="289">
      <c r="A289" s="23"/>
      <c r="B289" s="20"/>
      <c r="C289" s="20"/>
      <c r="D289" s="20"/>
      <c r="E289" s="22"/>
      <c r="F289" s="20"/>
    </row>
    <row r="290">
      <c r="A290" s="23"/>
      <c r="B290" s="20"/>
      <c r="C290" s="20"/>
      <c r="D290" s="20"/>
      <c r="E290" s="22"/>
      <c r="F290" s="20"/>
    </row>
    <row r="291">
      <c r="A291" s="23"/>
      <c r="B291" s="20"/>
      <c r="C291" s="20"/>
      <c r="D291" s="20"/>
      <c r="E291" s="22"/>
      <c r="F291" s="20"/>
    </row>
    <row r="292">
      <c r="A292" s="23"/>
      <c r="B292" s="20"/>
      <c r="C292" s="20"/>
      <c r="D292" s="20"/>
      <c r="E292" s="22"/>
      <c r="F292" s="20"/>
    </row>
    <row r="293">
      <c r="A293" s="23"/>
      <c r="B293" s="20"/>
      <c r="C293" s="20"/>
      <c r="D293" s="20"/>
      <c r="E293" s="22"/>
      <c r="F293" s="20"/>
    </row>
    <row r="294">
      <c r="A294" s="23"/>
      <c r="B294" s="20"/>
      <c r="C294" s="20"/>
      <c r="D294" s="20"/>
      <c r="E294" s="22"/>
      <c r="F294" s="20"/>
    </row>
    <row r="295">
      <c r="A295" s="23"/>
      <c r="B295" s="20"/>
      <c r="C295" s="20"/>
      <c r="D295" s="20"/>
      <c r="E295" s="22"/>
      <c r="F295" s="20"/>
    </row>
    <row r="296">
      <c r="A296" s="23"/>
      <c r="B296" s="20"/>
      <c r="C296" s="20"/>
      <c r="D296" s="20"/>
      <c r="E296" s="22"/>
      <c r="F296" s="20"/>
    </row>
    <row r="297">
      <c r="A297" s="23"/>
      <c r="B297" s="20"/>
      <c r="C297" s="20"/>
      <c r="D297" s="20"/>
      <c r="E297" s="22"/>
      <c r="F297" s="20"/>
    </row>
    <row r="298">
      <c r="A298" s="23"/>
      <c r="B298" s="20"/>
      <c r="C298" s="20"/>
      <c r="D298" s="20"/>
      <c r="E298" s="22"/>
      <c r="F298" s="20"/>
    </row>
    <row r="299">
      <c r="A299" s="23"/>
      <c r="B299" s="20"/>
      <c r="C299" s="20"/>
      <c r="D299" s="20"/>
      <c r="E299" s="22"/>
      <c r="F299" s="20"/>
    </row>
    <row r="300">
      <c r="A300" s="23"/>
      <c r="B300" s="20"/>
      <c r="C300" s="20"/>
      <c r="D300" s="20"/>
      <c r="E300" s="22"/>
      <c r="F300" s="20"/>
    </row>
    <row r="301">
      <c r="A301" s="23"/>
      <c r="B301" s="20"/>
      <c r="C301" s="20"/>
      <c r="D301" s="20"/>
      <c r="E301" s="22"/>
      <c r="F301" s="20"/>
    </row>
  </sheetData>
  <dataValidations count="3">
    <dataValidation type="list" allowBlank="1" showInputMessage="1" showErrorMessage="0" sqref="B2:B301">
      <formula1>"Transferencia,Retiro plataforma,Gasto,Aporte,Otro"</formula1>
    </dataValidation>
    <dataValidation type="list" allowBlank="1" showInputMessage="1" showErrorMessage="0" sqref="C2:C301">
      <formula1>'Config'!$P$2:$P$15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26.00" customWidth="1"/>
    <col min="3" max="3" width="15.00" customWidth="1"/>
    <col min="4" max="4" width="24.00" customWidth="1"/>
    <col min="5" max="5" width="30.00" customWidth="1"/>
  </cols>
  <sheetData>
    <row r="1">
      <c r="A1" s="1" t="inlineStr">
        <is>
          <t xml:space="preserve">Fecha</t>
        </is>
      </c>
      <c r="B1" s="1" t="inlineStr">
        <is>
          <t xml:space="preserve">Tarjeta</t>
        </is>
      </c>
      <c r="C1" s="1" t="inlineStr">
        <is>
          <t xml:space="preserve">Valor</t>
        </is>
      </c>
      <c r="D1" s="1" t="inlineStr">
        <is>
          <t xml:space="preserve">Billetera (de dónde salió)</t>
        </is>
      </c>
      <c r="E1" s="1" t="inlineStr">
        <is>
          <t xml:space="preserve">Nota</t>
        </is>
      </c>
    </row>
    <row r="2">
      <c r="A2" s="23"/>
      <c r="B2" s="20"/>
      <c r="C2" s="22"/>
      <c r="D2" s="20"/>
      <c r="E2" s="20"/>
    </row>
    <row r="3">
      <c r="A3" s="23"/>
      <c r="B3" s="20"/>
      <c r="C3" s="22"/>
      <c r="D3" s="20"/>
      <c r="E3" s="20"/>
    </row>
    <row r="4">
      <c r="A4" s="23"/>
      <c r="B4" s="20"/>
      <c r="C4" s="22"/>
      <c r="D4" s="20"/>
      <c r="E4" s="20"/>
    </row>
    <row r="5">
      <c r="A5" s="23"/>
      <c r="B5" s="20"/>
      <c r="C5" s="22"/>
      <c r="D5" s="20"/>
      <c r="E5" s="20"/>
    </row>
    <row r="6">
      <c r="A6" s="23"/>
      <c r="B6" s="20"/>
      <c r="C6" s="22"/>
      <c r="D6" s="20"/>
      <c r="E6" s="20"/>
    </row>
    <row r="7">
      <c r="A7" s="23"/>
      <c r="B7" s="20"/>
      <c r="C7" s="22"/>
      <c r="D7" s="20"/>
      <c r="E7" s="20"/>
    </row>
    <row r="8">
      <c r="A8" s="23"/>
      <c r="B8" s="20"/>
      <c r="C8" s="22"/>
      <c r="D8" s="20"/>
      <c r="E8" s="20"/>
    </row>
    <row r="9">
      <c r="A9" s="23"/>
      <c r="B9" s="20"/>
      <c r="C9" s="22"/>
      <c r="D9" s="20"/>
      <c r="E9" s="20"/>
    </row>
    <row r="10">
      <c r="A10" s="23"/>
      <c r="B10" s="20"/>
      <c r="C10" s="22"/>
      <c r="D10" s="20"/>
      <c r="E10" s="20"/>
    </row>
    <row r="11">
      <c r="A11" s="23"/>
      <c r="B11" s="20"/>
      <c r="C11" s="22"/>
      <c r="D11" s="20"/>
      <c r="E11" s="20"/>
    </row>
    <row r="12">
      <c r="A12" s="23"/>
      <c r="B12" s="20"/>
      <c r="C12" s="22"/>
      <c r="D12" s="20"/>
      <c r="E12" s="20"/>
    </row>
    <row r="13">
      <c r="A13" s="23"/>
      <c r="B13" s="20"/>
      <c r="C13" s="22"/>
      <c r="D13" s="20"/>
      <c r="E13" s="20"/>
    </row>
    <row r="14">
      <c r="A14" s="23"/>
      <c r="B14" s="20"/>
      <c r="C14" s="22"/>
      <c r="D14" s="20"/>
      <c r="E14" s="20"/>
    </row>
    <row r="15">
      <c r="A15" s="23"/>
      <c r="B15" s="20"/>
      <c r="C15" s="22"/>
      <c r="D15" s="20"/>
      <c r="E15" s="20"/>
    </row>
    <row r="16">
      <c r="A16" s="23"/>
      <c r="B16" s="20"/>
      <c r="C16" s="22"/>
      <c r="D16" s="20"/>
      <c r="E16" s="20"/>
    </row>
    <row r="17">
      <c r="A17" s="23"/>
      <c r="B17" s="20"/>
      <c r="C17" s="22"/>
      <c r="D17" s="20"/>
      <c r="E17" s="20"/>
    </row>
    <row r="18">
      <c r="A18" s="23"/>
      <c r="B18" s="20"/>
      <c r="C18" s="22"/>
      <c r="D18" s="20"/>
      <c r="E18" s="20"/>
    </row>
    <row r="19">
      <c r="A19" s="23"/>
      <c r="B19" s="20"/>
      <c r="C19" s="22"/>
      <c r="D19" s="20"/>
      <c r="E19" s="20"/>
    </row>
    <row r="20">
      <c r="A20" s="23"/>
      <c r="B20" s="20"/>
      <c r="C20" s="22"/>
      <c r="D20" s="20"/>
      <c r="E20" s="20"/>
    </row>
    <row r="21">
      <c r="A21" s="23"/>
      <c r="B21" s="20"/>
      <c r="C21" s="22"/>
      <c r="D21" s="20"/>
      <c r="E21" s="20"/>
    </row>
    <row r="22">
      <c r="A22" s="23"/>
      <c r="B22" s="20"/>
      <c r="C22" s="22"/>
      <c r="D22" s="20"/>
      <c r="E22" s="20"/>
    </row>
    <row r="23">
      <c r="A23" s="23"/>
      <c r="B23" s="20"/>
      <c r="C23" s="22"/>
      <c r="D23" s="20"/>
      <c r="E23" s="20"/>
    </row>
    <row r="24">
      <c r="A24" s="23"/>
      <c r="B24" s="20"/>
      <c r="C24" s="22"/>
      <c r="D24" s="20"/>
      <c r="E24" s="20"/>
    </row>
    <row r="25">
      <c r="A25" s="23"/>
      <c r="B25" s="20"/>
      <c r="C25" s="22"/>
      <c r="D25" s="20"/>
      <c r="E25" s="20"/>
    </row>
    <row r="26">
      <c r="A26" s="23"/>
      <c r="B26" s="20"/>
      <c r="C26" s="22"/>
      <c r="D26" s="20"/>
      <c r="E26" s="20"/>
    </row>
    <row r="27">
      <c r="A27" s="23"/>
      <c r="B27" s="20"/>
      <c r="C27" s="22"/>
      <c r="D27" s="20"/>
      <c r="E27" s="20"/>
    </row>
    <row r="28">
      <c r="A28" s="23"/>
      <c r="B28" s="20"/>
      <c r="C28" s="22"/>
      <c r="D28" s="20"/>
      <c r="E28" s="20"/>
    </row>
    <row r="29">
      <c r="A29" s="23"/>
      <c r="B29" s="20"/>
      <c r="C29" s="22"/>
      <c r="D29" s="20"/>
      <c r="E29" s="20"/>
    </row>
    <row r="30">
      <c r="A30" s="23"/>
      <c r="B30" s="20"/>
      <c r="C30" s="22"/>
      <c r="D30" s="20"/>
      <c r="E30" s="20"/>
    </row>
    <row r="31">
      <c r="A31" s="23"/>
      <c r="B31" s="20"/>
      <c r="C31" s="22"/>
      <c r="D31" s="20"/>
      <c r="E31" s="20"/>
    </row>
    <row r="32">
      <c r="A32" s="23"/>
      <c r="B32" s="20"/>
      <c r="C32" s="22"/>
      <c r="D32" s="20"/>
      <c r="E32" s="20"/>
    </row>
    <row r="33">
      <c r="A33" s="23"/>
      <c r="B33" s="20"/>
      <c r="C33" s="22"/>
      <c r="D33" s="20"/>
      <c r="E33" s="20"/>
    </row>
    <row r="34">
      <c r="A34" s="23"/>
      <c r="B34" s="20"/>
      <c r="C34" s="22"/>
      <c r="D34" s="20"/>
      <c r="E34" s="20"/>
    </row>
    <row r="35">
      <c r="A35" s="23"/>
      <c r="B35" s="20"/>
      <c r="C35" s="22"/>
      <c r="D35" s="20"/>
      <c r="E35" s="20"/>
    </row>
    <row r="36">
      <c r="A36" s="23"/>
      <c r="B36" s="20"/>
      <c r="C36" s="22"/>
      <c r="D36" s="20"/>
      <c r="E36" s="20"/>
    </row>
    <row r="37">
      <c r="A37" s="23"/>
      <c r="B37" s="20"/>
      <c r="C37" s="22"/>
      <c r="D37" s="20"/>
      <c r="E37" s="20"/>
    </row>
    <row r="38">
      <c r="A38" s="23"/>
      <c r="B38" s="20"/>
      <c r="C38" s="22"/>
      <c r="D38" s="20"/>
      <c r="E38" s="20"/>
    </row>
    <row r="39">
      <c r="A39" s="23"/>
      <c r="B39" s="20"/>
      <c r="C39" s="22"/>
      <c r="D39" s="20"/>
      <c r="E39" s="20"/>
    </row>
    <row r="40">
      <c r="A40" s="23"/>
      <c r="B40" s="20"/>
      <c r="C40" s="22"/>
      <c r="D40" s="20"/>
      <c r="E40" s="20"/>
    </row>
    <row r="41">
      <c r="A41" s="23"/>
      <c r="B41" s="20"/>
      <c r="C41" s="22"/>
      <c r="D41" s="20"/>
      <c r="E41" s="20"/>
    </row>
    <row r="42">
      <c r="A42" s="23"/>
      <c r="B42" s="20"/>
      <c r="C42" s="22"/>
      <c r="D42" s="20"/>
      <c r="E42" s="20"/>
    </row>
    <row r="43">
      <c r="A43" s="23"/>
      <c r="B43" s="20"/>
      <c r="C43" s="22"/>
      <c r="D43" s="20"/>
      <c r="E43" s="20"/>
    </row>
    <row r="44">
      <c r="A44" s="23"/>
      <c r="B44" s="20"/>
      <c r="C44" s="22"/>
      <c r="D44" s="20"/>
      <c r="E44" s="20"/>
    </row>
    <row r="45">
      <c r="A45" s="23"/>
      <c r="B45" s="20"/>
      <c r="C45" s="22"/>
      <c r="D45" s="20"/>
      <c r="E45" s="20"/>
    </row>
    <row r="46">
      <c r="A46" s="23"/>
      <c r="B46" s="20"/>
      <c r="C46" s="22"/>
      <c r="D46" s="20"/>
      <c r="E46" s="20"/>
    </row>
    <row r="47">
      <c r="A47" s="23"/>
      <c r="B47" s="20"/>
      <c r="C47" s="22"/>
      <c r="D47" s="20"/>
      <c r="E47" s="20"/>
    </row>
    <row r="48">
      <c r="A48" s="23"/>
      <c r="B48" s="20"/>
      <c r="C48" s="22"/>
      <c r="D48" s="20"/>
      <c r="E48" s="20"/>
    </row>
    <row r="49">
      <c r="A49" s="23"/>
      <c r="B49" s="20"/>
      <c r="C49" s="22"/>
      <c r="D49" s="20"/>
      <c r="E49" s="20"/>
    </row>
    <row r="50">
      <c r="A50" s="23"/>
      <c r="B50" s="20"/>
      <c r="C50" s="22"/>
      <c r="D50" s="20"/>
      <c r="E50" s="20"/>
    </row>
    <row r="51">
      <c r="A51" s="23"/>
      <c r="B51" s="20"/>
      <c r="C51" s="22"/>
      <c r="D51" s="20"/>
      <c r="E51" s="20"/>
    </row>
    <row r="52">
      <c r="A52" s="23"/>
      <c r="B52" s="20"/>
      <c r="C52" s="22"/>
      <c r="D52" s="20"/>
      <c r="E52" s="20"/>
    </row>
    <row r="53">
      <c r="A53" s="23"/>
      <c r="B53" s="20"/>
      <c r="C53" s="22"/>
      <c r="D53" s="20"/>
      <c r="E53" s="20"/>
    </row>
    <row r="54">
      <c r="A54" s="23"/>
      <c r="B54" s="20"/>
      <c r="C54" s="22"/>
      <c r="D54" s="20"/>
      <c r="E54" s="20"/>
    </row>
    <row r="55">
      <c r="A55" s="23"/>
      <c r="B55" s="20"/>
      <c r="C55" s="22"/>
      <c r="D55" s="20"/>
      <c r="E55" s="20"/>
    </row>
    <row r="56">
      <c r="A56" s="23"/>
      <c r="B56" s="20"/>
      <c r="C56" s="22"/>
      <c r="D56" s="20"/>
      <c r="E56" s="20"/>
    </row>
    <row r="57">
      <c r="A57" s="23"/>
      <c r="B57" s="20"/>
      <c r="C57" s="22"/>
      <c r="D57" s="20"/>
      <c r="E57" s="20"/>
    </row>
    <row r="58">
      <c r="A58" s="23"/>
      <c r="B58" s="20"/>
      <c r="C58" s="22"/>
      <c r="D58" s="20"/>
      <c r="E58" s="20"/>
    </row>
    <row r="59">
      <c r="A59" s="23"/>
      <c r="B59" s="20"/>
      <c r="C59" s="22"/>
      <c r="D59" s="20"/>
      <c r="E59" s="20"/>
    </row>
    <row r="60">
      <c r="A60" s="23"/>
      <c r="B60" s="20"/>
      <c r="C60" s="22"/>
      <c r="D60" s="20"/>
      <c r="E60" s="20"/>
    </row>
    <row r="61">
      <c r="A61" s="23"/>
      <c r="B61" s="20"/>
      <c r="C61" s="22"/>
      <c r="D61" s="20"/>
      <c r="E61" s="20"/>
    </row>
    <row r="62">
      <c r="A62" s="23"/>
      <c r="B62" s="20"/>
      <c r="C62" s="22"/>
      <c r="D62" s="20"/>
      <c r="E62" s="20"/>
    </row>
    <row r="63">
      <c r="A63" s="23"/>
      <c r="B63" s="20"/>
      <c r="C63" s="22"/>
      <c r="D63" s="20"/>
      <c r="E63" s="20"/>
    </row>
    <row r="64">
      <c r="A64" s="23"/>
      <c r="B64" s="20"/>
      <c r="C64" s="22"/>
      <c r="D64" s="20"/>
      <c r="E64" s="20"/>
    </row>
    <row r="65">
      <c r="A65" s="23"/>
      <c r="B65" s="20"/>
      <c r="C65" s="22"/>
      <c r="D65" s="20"/>
      <c r="E65" s="20"/>
    </row>
    <row r="66">
      <c r="A66" s="23"/>
      <c r="B66" s="20"/>
      <c r="C66" s="22"/>
      <c r="D66" s="20"/>
      <c r="E66" s="20"/>
    </row>
    <row r="67">
      <c r="A67" s="23"/>
      <c r="B67" s="20"/>
      <c r="C67" s="22"/>
      <c r="D67" s="20"/>
      <c r="E67" s="20"/>
    </row>
    <row r="68">
      <c r="A68" s="23"/>
      <c r="B68" s="20"/>
      <c r="C68" s="22"/>
      <c r="D68" s="20"/>
      <c r="E68" s="20"/>
    </row>
    <row r="69">
      <c r="A69" s="23"/>
      <c r="B69" s="20"/>
      <c r="C69" s="22"/>
      <c r="D69" s="20"/>
      <c r="E69" s="20"/>
    </row>
    <row r="70">
      <c r="A70" s="23"/>
      <c r="B70" s="20"/>
      <c r="C70" s="22"/>
      <c r="D70" s="20"/>
      <c r="E70" s="20"/>
    </row>
    <row r="71">
      <c r="A71" s="23"/>
      <c r="B71" s="20"/>
      <c r="C71" s="22"/>
      <c r="D71" s="20"/>
      <c r="E71" s="20"/>
    </row>
    <row r="72">
      <c r="A72" s="23"/>
      <c r="B72" s="20"/>
      <c r="C72" s="22"/>
      <c r="D72" s="20"/>
      <c r="E72" s="20"/>
    </row>
    <row r="73">
      <c r="A73" s="23"/>
      <c r="B73" s="20"/>
      <c r="C73" s="22"/>
      <c r="D73" s="20"/>
      <c r="E73" s="20"/>
    </row>
    <row r="74">
      <c r="A74" s="23"/>
      <c r="B74" s="20"/>
      <c r="C74" s="22"/>
      <c r="D74" s="20"/>
      <c r="E74" s="20"/>
    </row>
    <row r="75">
      <c r="A75" s="23"/>
      <c r="B75" s="20"/>
      <c r="C75" s="22"/>
      <c r="D75" s="20"/>
      <c r="E75" s="20"/>
    </row>
    <row r="76">
      <c r="A76" s="23"/>
      <c r="B76" s="20"/>
      <c r="C76" s="22"/>
      <c r="D76" s="20"/>
      <c r="E76" s="20"/>
    </row>
    <row r="77">
      <c r="A77" s="23"/>
      <c r="B77" s="20"/>
      <c r="C77" s="22"/>
      <c r="D77" s="20"/>
      <c r="E77" s="20"/>
    </row>
    <row r="78">
      <c r="A78" s="23"/>
      <c r="B78" s="20"/>
      <c r="C78" s="22"/>
      <c r="D78" s="20"/>
      <c r="E78" s="20"/>
    </row>
    <row r="79">
      <c r="A79" s="23"/>
      <c r="B79" s="20"/>
      <c r="C79" s="22"/>
      <c r="D79" s="20"/>
      <c r="E79" s="20"/>
    </row>
    <row r="80">
      <c r="A80" s="23"/>
      <c r="B80" s="20"/>
      <c r="C80" s="22"/>
      <c r="D80" s="20"/>
      <c r="E80" s="20"/>
    </row>
    <row r="81">
      <c r="A81" s="23"/>
      <c r="B81" s="20"/>
      <c r="C81" s="22"/>
      <c r="D81" s="20"/>
      <c r="E81" s="20"/>
    </row>
    <row r="82">
      <c r="A82" s="23"/>
      <c r="B82" s="20"/>
      <c r="C82" s="22"/>
      <c r="D82" s="20"/>
      <c r="E82" s="20"/>
    </row>
    <row r="83">
      <c r="A83" s="23"/>
      <c r="B83" s="20"/>
      <c r="C83" s="22"/>
      <c r="D83" s="20"/>
      <c r="E83" s="20"/>
    </row>
    <row r="84">
      <c r="A84" s="23"/>
      <c r="B84" s="20"/>
      <c r="C84" s="22"/>
      <c r="D84" s="20"/>
      <c r="E84" s="20"/>
    </row>
    <row r="85">
      <c r="A85" s="23"/>
      <c r="B85" s="20"/>
      <c r="C85" s="22"/>
      <c r="D85" s="20"/>
      <c r="E85" s="20"/>
    </row>
    <row r="86">
      <c r="A86" s="23"/>
      <c r="B86" s="20"/>
      <c r="C86" s="22"/>
      <c r="D86" s="20"/>
      <c r="E86" s="20"/>
    </row>
    <row r="87">
      <c r="A87" s="23"/>
      <c r="B87" s="20"/>
      <c r="C87" s="22"/>
      <c r="D87" s="20"/>
      <c r="E87" s="20"/>
    </row>
    <row r="88">
      <c r="A88" s="23"/>
      <c r="B88" s="20"/>
      <c r="C88" s="22"/>
      <c r="D88" s="20"/>
      <c r="E88" s="20"/>
    </row>
    <row r="89">
      <c r="A89" s="23"/>
      <c r="B89" s="20"/>
      <c r="C89" s="22"/>
      <c r="D89" s="20"/>
      <c r="E89" s="20"/>
    </row>
    <row r="90">
      <c r="A90" s="23"/>
      <c r="B90" s="20"/>
      <c r="C90" s="22"/>
      <c r="D90" s="20"/>
      <c r="E90" s="20"/>
    </row>
    <row r="91">
      <c r="A91" s="23"/>
      <c r="B91" s="20"/>
      <c r="C91" s="22"/>
      <c r="D91" s="20"/>
      <c r="E91" s="20"/>
    </row>
    <row r="92">
      <c r="A92" s="23"/>
      <c r="B92" s="20"/>
      <c r="C92" s="22"/>
      <c r="D92" s="20"/>
      <c r="E92" s="20"/>
    </row>
    <row r="93">
      <c r="A93" s="23"/>
      <c r="B93" s="20"/>
      <c r="C93" s="22"/>
      <c r="D93" s="20"/>
      <c r="E93" s="20"/>
    </row>
    <row r="94">
      <c r="A94" s="23"/>
      <c r="B94" s="20"/>
      <c r="C94" s="22"/>
      <c r="D94" s="20"/>
      <c r="E94" s="20"/>
    </row>
    <row r="95">
      <c r="A95" s="23"/>
      <c r="B95" s="20"/>
      <c r="C95" s="22"/>
      <c r="D95" s="20"/>
      <c r="E95" s="20"/>
    </row>
    <row r="96">
      <c r="A96" s="23"/>
      <c r="B96" s="20"/>
      <c r="C96" s="22"/>
      <c r="D96" s="20"/>
      <c r="E96" s="20"/>
    </row>
    <row r="97">
      <c r="A97" s="23"/>
      <c r="B97" s="20"/>
      <c r="C97" s="22"/>
      <c r="D97" s="20"/>
      <c r="E97" s="20"/>
    </row>
    <row r="98">
      <c r="A98" s="23"/>
      <c r="B98" s="20"/>
      <c r="C98" s="22"/>
      <c r="D98" s="20"/>
      <c r="E98" s="20"/>
    </row>
    <row r="99">
      <c r="A99" s="23"/>
      <c r="B99" s="20"/>
      <c r="C99" s="22"/>
      <c r="D99" s="20"/>
      <c r="E99" s="20"/>
    </row>
    <row r="100">
      <c r="A100" s="23"/>
      <c r="B100" s="20"/>
      <c r="C100" s="22"/>
      <c r="D100" s="20"/>
      <c r="E100" s="20"/>
    </row>
    <row r="101">
      <c r="A101" s="23"/>
      <c r="B101" s="20"/>
      <c r="C101" s="22"/>
      <c r="D101" s="20"/>
      <c r="E101" s="20"/>
    </row>
    <row r="102">
      <c r="A102" s="23"/>
      <c r="B102" s="20"/>
      <c r="C102" s="22"/>
      <c r="D102" s="20"/>
      <c r="E102" s="20"/>
    </row>
    <row r="103">
      <c r="A103" s="23"/>
      <c r="B103" s="20"/>
      <c r="C103" s="22"/>
      <c r="D103" s="20"/>
      <c r="E103" s="20"/>
    </row>
    <row r="104">
      <c r="A104" s="23"/>
      <c r="B104" s="20"/>
      <c r="C104" s="22"/>
      <c r="D104" s="20"/>
      <c r="E104" s="20"/>
    </row>
    <row r="105">
      <c r="A105" s="23"/>
      <c r="B105" s="20"/>
      <c r="C105" s="22"/>
      <c r="D105" s="20"/>
      <c r="E105" s="20"/>
    </row>
    <row r="106">
      <c r="A106" s="23"/>
      <c r="B106" s="20"/>
      <c r="C106" s="22"/>
      <c r="D106" s="20"/>
      <c r="E106" s="20"/>
    </row>
    <row r="107">
      <c r="A107" s="23"/>
      <c r="B107" s="20"/>
      <c r="C107" s="22"/>
      <c r="D107" s="20"/>
      <c r="E107" s="20"/>
    </row>
    <row r="108">
      <c r="A108" s="23"/>
      <c r="B108" s="20"/>
      <c r="C108" s="22"/>
      <c r="D108" s="20"/>
      <c r="E108" s="20"/>
    </row>
    <row r="109">
      <c r="A109" s="23"/>
      <c r="B109" s="20"/>
      <c r="C109" s="22"/>
      <c r="D109" s="20"/>
      <c r="E109" s="20"/>
    </row>
    <row r="110">
      <c r="A110" s="23"/>
      <c r="B110" s="20"/>
      <c r="C110" s="22"/>
      <c r="D110" s="20"/>
      <c r="E110" s="20"/>
    </row>
    <row r="111">
      <c r="A111" s="23"/>
      <c r="B111" s="20"/>
      <c r="C111" s="22"/>
      <c r="D111" s="20"/>
      <c r="E111" s="20"/>
    </row>
    <row r="112">
      <c r="A112" s="23"/>
      <c r="B112" s="20"/>
      <c r="C112" s="22"/>
      <c r="D112" s="20"/>
      <c r="E112" s="20"/>
    </row>
    <row r="113">
      <c r="A113" s="23"/>
      <c r="B113" s="20"/>
      <c r="C113" s="22"/>
      <c r="D113" s="20"/>
      <c r="E113" s="20"/>
    </row>
    <row r="114">
      <c r="A114" s="23"/>
      <c r="B114" s="20"/>
      <c r="C114" s="22"/>
      <c r="D114" s="20"/>
      <c r="E114" s="20"/>
    </row>
    <row r="115">
      <c r="A115" s="23"/>
      <c r="B115" s="20"/>
      <c r="C115" s="22"/>
      <c r="D115" s="20"/>
      <c r="E115" s="20"/>
    </row>
    <row r="116">
      <c r="A116" s="23"/>
      <c r="B116" s="20"/>
      <c r="C116" s="22"/>
      <c r="D116" s="20"/>
      <c r="E116" s="20"/>
    </row>
    <row r="117">
      <c r="A117" s="23"/>
      <c r="B117" s="20"/>
      <c r="C117" s="22"/>
      <c r="D117" s="20"/>
      <c r="E117" s="20"/>
    </row>
    <row r="118">
      <c r="A118" s="23"/>
      <c r="B118" s="20"/>
      <c r="C118" s="22"/>
      <c r="D118" s="20"/>
      <c r="E118" s="20"/>
    </row>
    <row r="119">
      <c r="A119" s="23"/>
      <c r="B119" s="20"/>
      <c r="C119" s="22"/>
      <c r="D119" s="20"/>
      <c r="E119" s="20"/>
    </row>
    <row r="120">
      <c r="A120" s="23"/>
      <c r="B120" s="20"/>
      <c r="C120" s="22"/>
      <c r="D120" s="20"/>
      <c r="E120" s="20"/>
    </row>
    <row r="121">
      <c r="A121" s="23"/>
      <c r="B121" s="20"/>
      <c r="C121" s="22"/>
      <c r="D121" s="20"/>
      <c r="E121" s="20"/>
    </row>
    <row r="122">
      <c r="A122" s="23"/>
      <c r="B122" s="20"/>
      <c r="C122" s="22"/>
      <c r="D122" s="20"/>
      <c r="E122" s="20"/>
    </row>
    <row r="123">
      <c r="A123" s="23"/>
      <c r="B123" s="20"/>
      <c r="C123" s="22"/>
      <c r="D123" s="20"/>
      <c r="E123" s="20"/>
    </row>
    <row r="124">
      <c r="A124" s="23"/>
      <c r="B124" s="20"/>
      <c r="C124" s="22"/>
      <c r="D124" s="20"/>
      <c r="E124" s="20"/>
    </row>
    <row r="125">
      <c r="A125" s="23"/>
      <c r="B125" s="20"/>
      <c r="C125" s="22"/>
      <c r="D125" s="20"/>
      <c r="E125" s="20"/>
    </row>
    <row r="126">
      <c r="A126" s="23"/>
      <c r="B126" s="20"/>
      <c r="C126" s="22"/>
      <c r="D126" s="20"/>
      <c r="E126" s="20"/>
    </row>
    <row r="127">
      <c r="A127" s="23"/>
      <c r="B127" s="20"/>
      <c r="C127" s="22"/>
      <c r="D127" s="20"/>
      <c r="E127" s="20"/>
    </row>
    <row r="128">
      <c r="A128" s="23"/>
      <c r="B128" s="20"/>
      <c r="C128" s="22"/>
      <c r="D128" s="20"/>
      <c r="E128" s="20"/>
    </row>
    <row r="129">
      <c r="A129" s="23"/>
      <c r="B129" s="20"/>
      <c r="C129" s="22"/>
      <c r="D129" s="20"/>
      <c r="E129" s="20"/>
    </row>
    <row r="130">
      <c r="A130" s="23"/>
      <c r="B130" s="20"/>
      <c r="C130" s="22"/>
      <c r="D130" s="20"/>
      <c r="E130" s="20"/>
    </row>
    <row r="131">
      <c r="A131" s="23"/>
      <c r="B131" s="20"/>
      <c r="C131" s="22"/>
      <c r="D131" s="20"/>
      <c r="E131" s="20"/>
    </row>
    <row r="132">
      <c r="A132" s="23"/>
      <c r="B132" s="20"/>
      <c r="C132" s="22"/>
      <c r="D132" s="20"/>
      <c r="E132" s="20"/>
    </row>
    <row r="133">
      <c r="A133" s="23"/>
      <c r="B133" s="20"/>
      <c r="C133" s="22"/>
      <c r="D133" s="20"/>
      <c r="E133" s="20"/>
    </row>
    <row r="134">
      <c r="A134" s="23"/>
      <c r="B134" s="20"/>
      <c r="C134" s="22"/>
      <c r="D134" s="20"/>
      <c r="E134" s="20"/>
    </row>
    <row r="135">
      <c r="A135" s="23"/>
      <c r="B135" s="20"/>
      <c r="C135" s="22"/>
      <c r="D135" s="20"/>
      <c r="E135" s="20"/>
    </row>
    <row r="136">
      <c r="A136" s="23"/>
      <c r="B136" s="20"/>
      <c r="C136" s="22"/>
      <c r="D136" s="20"/>
      <c r="E136" s="20"/>
    </row>
    <row r="137">
      <c r="A137" s="23"/>
      <c r="B137" s="20"/>
      <c r="C137" s="22"/>
      <c r="D137" s="20"/>
      <c r="E137" s="20"/>
    </row>
    <row r="138">
      <c r="A138" s="23"/>
      <c r="B138" s="20"/>
      <c r="C138" s="22"/>
      <c r="D138" s="20"/>
      <c r="E138" s="20"/>
    </row>
    <row r="139">
      <c r="A139" s="23"/>
      <c r="B139" s="20"/>
      <c r="C139" s="22"/>
      <c r="D139" s="20"/>
      <c r="E139" s="20"/>
    </row>
    <row r="140">
      <c r="A140" s="23"/>
      <c r="B140" s="20"/>
      <c r="C140" s="22"/>
      <c r="D140" s="20"/>
      <c r="E140" s="20"/>
    </row>
    <row r="141">
      <c r="A141" s="23"/>
      <c r="B141" s="20"/>
      <c r="C141" s="22"/>
      <c r="D141" s="20"/>
      <c r="E141" s="20"/>
    </row>
    <row r="142">
      <c r="A142" s="23"/>
      <c r="B142" s="20"/>
      <c r="C142" s="22"/>
      <c r="D142" s="20"/>
      <c r="E142" s="20"/>
    </row>
    <row r="143">
      <c r="A143" s="23"/>
      <c r="B143" s="20"/>
      <c r="C143" s="22"/>
      <c r="D143" s="20"/>
      <c r="E143" s="20"/>
    </row>
    <row r="144">
      <c r="A144" s="23"/>
      <c r="B144" s="20"/>
      <c r="C144" s="22"/>
      <c r="D144" s="20"/>
      <c r="E144" s="20"/>
    </row>
    <row r="145">
      <c r="A145" s="23"/>
      <c r="B145" s="20"/>
      <c r="C145" s="22"/>
      <c r="D145" s="20"/>
      <c r="E145" s="20"/>
    </row>
    <row r="146">
      <c r="A146" s="23"/>
      <c r="B146" s="20"/>
      <c r="C146" s="22"/>
      <c r="D146" s="20"/>
      <c r="E146" s="20"/>
    </row>
    <row r="147">
      <c r="A147" s="23"/>
      <c r="B147" s="20"/>
      <c r="C147" s="22"/>
      <c r="D147" s="20"/>
      <c r="E147" s="20"/>
    </row>
    <row r="148">
      <c r="A148" s="23"/>
      <c r="B148" s="20"/>
      <c r="C148" s="22"/>
      <c r="D148" s="20"/>
      <c r="E148" s="20"/>
    </row>
    <row r="149">
      <c r="A149" s="23"/>
      <c r="B149" s="20"/>
      <c r="C149" s="22"/>
      <c r="D149" s="20"/>
      <c r="E149" s="20"/>
    </row>
    <row r="150">
      <c r="A150" s="23"/>
      <c r="B150" s="20"/>
      <c r="C150" s="22"/>
      <c r="D150" s="20"/>
      <c r="E150" s="20"/>
    </row>
    <row r="151">
      <c r="A151" s="23"/>
      <c r="B151" s="20"/>
      <c r="C151" s="22"/>
      <c r="D151" s="20"/>
      <c r="E151" s="20"/>
    </row>
    <row r="152">
      <c r="A152" s="23"/>
      <c r="B152" s="20"/>
      <c r="C152" s="22"/>
      <c r="D152" s="20"/>
      <c r="E152" s="20"/>
    </row>
    <row r="153">
      <c r="A153" s="23"/>
      <c r="B153" s="20"/>
      <c r="C153" s="22"/>
      <c r="D153" s="20"/>
      <c r="E153" s="20"/>
    </row>
    <row r="154">
      <c r="A154" s="23"/>
      <c r="B154" s="20"/>
      <c r="C154" s="22"/>
      <c r="D154" s="20"/>
      <c r="E154" s="20"/>
    </row>
    <row r="155">
      <c r="A155" s="23"/>
      <c r="B155" s="20"/>
      <c r="C155" s="22"/>
      <c r="D155" s="20"/>
      <c r="E155" s="20"/>
    </row>
    <row r="156">
      <c r="A156" s="23"/>
      <c r="B156" s="20"/>
      <c r="C156" s="22"/>
      <c r="D156" s="20"/>
      <c r="E156" s="20"/>
    </row>
    <row r="157">
      <c r="A157" s="23"/>
      <c r="B157" s="20"/>
      <c r="C157" s="22"/>
      <c r="D157" s="20"/>
      <c r="E157" s="20"/>
    </row>
    <row r="158">
      <c r="A158" s="23"/>
      <c r="B158" s="20"/>
      <c r="C158" s="22"/>
      <c r="D158" s="20"/>
      <c r="E158" s="20"/>
    </row>
    <row r="159">
      <c r="A159" s="23"/>
      <c r="B159" s="20"/>
      <c r="C159" s="22"/>
      <c r="D159" s="20"/>
      <c r="E159" s="20"/>
    </row>
    <row r="160">
      <c r="A160" s="23"/>
      <c r="B160" s="20"/>
      <c r="C160" s="22"/>
      <c r="D160" s="20"/>
      <c r="E160" s="20"/>
    </row>
    <row r="161">
      <c r="A161" s="23"/>
      <c r="B161" s="20"/>
      <c r="C161" s="22"/>
      <c r="D161" s="20"/>
      <c r="E161" s="20"/>
    </row>
    <row r="162">
      <c r="A162" s="23"/>
      <c r="B162" s="20"/>
      <c r="C162" s="22"/>
      <c r="D162" s="20"/>
      <c r="E162" s="20"/>
    </row>
    <row r="163">
      <c r="A163" s="23"/>
      <c r="B163" s="20"/>
      <c r="C163" s="22"/>
      <c r="D163" s="20"/>
      <c r="E163" s="20"/>
    </row>
    <row r="164">
      <c r="A164" s="23"/>
      <c r="B164" s="20"/>
      <c r="C164" s="22"/>
      <c r="D164" s="20"/>
      <c r="E164" s="20"/>
    </row>
    <row r="165">
      <c r="A165" s="23"/>
      <c r="B165" s="20"/>
      <c r="C165" s="22"/>
      <c r="D165" s="20"/>
      <c r="E165" s="20"/>
    </row>
    <row r="166">
      <c r="A166" s="23"/>
      <c r="B166" s="20"/>
      <c r="C166" s="22"/>
      <c r="D166" s="20"/>
      <c r="E166" s="20"/>
    </row>
    <row r="167">
      <c r="A167" s="23"/>
      <c r="B167" s="20"/>
      <c r="C167" s="22"/>
      <c r="D167" s="20"/>
      <c r="E167" s="20"/>
    </row>
    <row r="168">
      <c r="A168" s="23"/>
      <c r="B168" s="20"/>
      <c r="C168" s="22"/>
      <c r="D168" s="20"/>
      <c r="E168" s="20"/>
    </row>
    <row r="169">
      <c r="A169" s="23"/>
      <c r="B169" s="20"/>
      <c r="C169" s="22"/>
      <c r="D169" s="20"/>
      <c r="E169" s="20"/>
    </row>
    <row r="170">
      <c r="A170" s="23"/>
      <c r="B170" s="20"/>
      <c r="C170" s="22"/>
      <c r="D170" s="20"/>
      <c r="E170" s="20"/>
    </row>
    <row r="171">
      <c r="A171" s="23"/>
      <c r="B171" s="20"/>
      <c r="C171" s="22"/>
      <c r="D171" s="20"/>
      <c r="E171" s="20"/>
    </row>
    <row r="172">
      <c r="A172" s="23"/>
      <c r="B172" s="20"/>
      <c r="C172" s="22"/>
      <c r="D172" s="20"/>
      <c r="E172" s="20"/>
    </row>
    <row r="173">
      <c r="A173" s="23"/>
      <c r="B173" s="20"/>
      <c r="C173" s="22"/>
      <c r="D173" s="20"/>
      <c r="E173" s="20"/>
    </row>
    <row r="174">
      <c r="A174" s="23"/>
      <c r="B174" s="20"/>
      <c r="C174" s="22"/>
      <c r="D174" s="20"/>
      <c r="E174" s="20"/>
    </row>
    <row r="175">
      <c r="A175" s="23"/>
      <c r="B175" s="20"/>
      <c r="C175" s="22"/>
      <c r="D175" s="20"/>
      <c r="E175" s="20"/>
    </row>
    <row r="176">
      <c r="A176" s="23"/>
      <c r="B176" s="20"/>
      <c r="C176" s="22"/>
      <c r="D176" s="20"/>
      <c r="E176" s="20"/>
    </row>
    <row r="177">
      <c r="A177" s="23"/>
      <c r="B177" s="20"/>
      <c r="C177" s="22"/>
      <c r="D177" s="20"/>
      <c r="E177" s="20"/>
    </row>
    <row r="178">
      <c r="A178" s="23"/>
      <c r="B178" s="20"/>
      <c r="C178" s="22"/>
      <c r="D178" s="20"/>
      <c r="E178" s="20"/>
    </row>
    <row r="179">
      <c r="A179" s="23"/>
      <c r="B179" s="20"/>
      <c r="C179" s="22"/>
      <c r="D179" s="20"/>
      <c r="E179" s="20"/>
    </row>
    <row r="180">
      <c r="A180" s="23"/>
      <c r="B180" s="20"/>
      <c r="C180" s="22"/>
      <c r="D180" s="20"/>
      <c r="E180" s="20"/>
    </row>
    <row r="181">
      <c r="A181" s="23"/>
      <c r="B181" s="20"/>
      <c r="C181" s="22"/>
      <c r="D181" s="20"/>
      <c r="E181" s="20"/>
    </row>
    <row r="182">
      <c r="A182" s="23"/>
      <c r="B182" s="20"/>
      <c r="C182" s="22"/>
      <c r="D182" s="20"/>
      <c r="E182" s="20"/>
    </row>
    <row r="183">
      <c r="A183" s="23"/>
      <c r="B183" s="20"/>
      <c r="C183" s="22"/>
      <c r="D183" s="20"/>
      <c r="E183" s="20"/>
    </row>
    <row r="184">
      <c r="A184" s="23"/>
      <c r="B184" s="20"/>
      <c r="C184" s="22"/>
      <c r="D184" s="20"/>
      <c r="E184" s="20"/>
    </row>
    <row r="185">
      <c r="A185" s="23"/>
      <c r="B185" s="20"/>
      <c r="C185" s="22"/>
      <c r="D185" s="20"/>
      <c r="E185" s="20"/>
    </row>
    <row r="186">
      <c r="A186" s="23"/>
      <c r="B186" s="20"/>
      <c r="C186" s="22"/>
      <c r="D186" s="20"/>
      <c r="E186" s="20"/>
    </row>
    <row r="187">
      <c r="A187" s="23"/>
      <c r="B187" s="20"/>
      <c r="C187" s="22"/>
      <c r="D187" s="20"/>
      <c r="E187" s="20"/>
    </row>
    <row r="188">
      <c r="A188" s="23"/>
      <c r="B188" s="20"/>
      <c r="C188" s="22"/>
      <c r="D188" s="20"/>
      <c r="E188" s="20"/>
    </row>
    <row r="189">
      <c r="A189" s="23"/>
      <c r="B189" s="20"/>
      <c r="C189" s="22"/>
      <c r="D189" s="20"/>
      <c r="E189" s="20"/>
    </row>
    <row r="190">
      <c r="A190" s="23"/>
      <c r="B190" s="20"/>
      <c r="C190" s="22"/>
      <c r="D190" s="20"/>
      <c r="E190" s="20"/>
    </row>
    <row r="191">
      <c r="A191" s="23"/>
      <c r="B191" s="20"/>
      <c r="C191" s="22"/>
      <c r="D191" s="20"/>
      <c r="E191" s="20"/>
    </row>
    <row r="192">
      <c r="A192" s="23"/>
      <c r="B192" s="20"/>
      <c r="C192" s="22"/>
      <c r="D192" s="20"/>
      <c r="E192" s="20"/>
    </row>
    <row r="193">
      <c r="A193" s="23"/>
      <c r="B193" s="20"/>
      <c r="C193" s="22"/>
      <c r="D193" s="20"/>
      <c r="E193" s="20"/>
    </row>
    <row r="194">
      <c r="A194" s="23"/>
      <c r="B194" s="20"/>
      <c r="C194" s="22"/>
      <c r="D194" s="20"/>
      <c r="E194" s="20"/>
    </row>
    <row r="195">
      <c r="A195" s="23"/>
      <c r="B195" s="20"/>
      <c r="C195" s="22"/>
      <c r="D195" s="20"/>
      <c r="E195" s="20"/>
    </row>
    <row r="196">
      <c r="A196" s="23"/>
      <c r="B196" s="20"/>
      <c r="C196" s="22"/>
      <c r="D196" s="20"/>
      <c r="E196" s="20"/>
    </row>
    <row r="197">
      <c r="A197" s="23"/>
      <c r="B197" s="20"/>
      <c r="C197" s="22"/>
      <c r="D197" s="20"/>
      <c r="E197" s="20"/>
    </row>
    <row r="198">
      <c r="A198" s="23"/>
      <c r="B198" s="20"/>
      <c r="C198" s="22"/>
      <c r="D198" s="20"/>
      <c r="E198" s="20"/>
    </row>
    <row r="199">
      <c r="A199" s="23"/>
      <c r="B199" s="20"/>
      <c r="C199" s="22"/>
      <c r="D199" s="20"/>
      <c r="E199" s="20"/>
    </row>
    <row r="200">
      <c r="A200" s="23"/>
      <c r="B200" s="20"/>
      <c r="C200" s="22"/>
      <c r="D200" s="20"/>
      <c r="E200" s="20"/>
    </row>
    <row r="201">
      <c r="A201" s="23"/>
      <c r="B201" s="20"/>
      <c r="C201" s="22"/>
      <c r="D201" s="20"/>
      <c r="E201" s="20"/>
    </row>
    <row r="202">
      <c r="A202" s="23"/>
      <c r="B202" s="20"/>
      <c r="C202" s="22"/>
      <c r="D202" s="20"/>
      <c r="E202" s="20"/>
    </row>
    <row r="203">
      <c r="A203" s="23"/>
      <c r="B203" s="20"/>
      <c r="C203" s="22"/>
      <c r="D203" s="20"/>
      <c r="E203" s="20"/>
    </row>
    <row r="204">
      <c r="A204" s="23"/>
      <c r="B204" s="20"/>
      <c r="C204" s="22"/>
      <c r="D204" s="20"/>
      <c r="E204" s="20"/>
    </row>
    <row r="205">
      <c r="A205" s="23"/>
      <c r="B205" s="20"/>
      <c r="C205" s="22"/>
      <c r="D205" s="20"/>
      <c r="E205" s="20"/>
    </row>
    <row r="206">
      <c r="A206" s="23"/>
      <c r="B206" s="20"/>
      <c r="C206" s="22"/>
      <c r="D206" s="20"/>
      <c r="E206" s="20"/>
    </row>
    <row r="207">
      <c r="A207" s="23"/>
      <c r="B207" s="20"/>
      <c r="C207" s="22"/>
      <c r="D207" s="20"/>
      <c r="E207" s="20"/>
    </row>
    <row r="208">
      <c r="A208" s="23"/>
      <c r="B208" s="20"/>
      <c r="C208" s="22"/>
      <c r="D208" s="20"/>
      <c r="E208" s="20"/>
    </row>
    <row r="209">
      <c r="A209" s="23"/>
      <c r="B209" s="20"/>
      <c r="C209" s="22"/>
      <c r="D209" s="20"/>
      <c r="E209" s="20"/>
    </row>
    <row r="210">
      <c r="A210" s="23"/>
      <c r="B210" s="20"/>
      <c r="C210" s="22"/>
      <c r="D210" s="20"/>
      <c r="E210" s="20"/>
    </row>
    <row r="211">
      <c r="A211" s="23"/>
      <c r="B211" s="20"/>
      <c r="C211" s="22"/>
      <c r="D211" s="20"/>
      <c r="E211" s="20"/>
    </row>
    <row r="212">
      <c r="A212" s="23"/>
      <c r="B212" s="20"/>
      <c r="C212" s="22"/>
      <c r="D212" s="20"/>
      <c r="E212" s="20"/>
    </row>
    <row r="213">
      <c r="A213" s="23"/>
      <c r="B213" s="20"/>
      <c r="C213" s="22"/>
      <c r="D213" s="20"/>
      <c r="E213" s="20"/>
    </row>
    <row r="214">
      <c r="A214" s="23"/>
      <c r="B214" s="20"/>
      <c r="C214" s="22"/>
      <c r="D214" s="20"/>
      <c r="E214" s="20"/>
    </row>
    <row r="215">
      <c r="A215" s="23"/>
      <c r="B215" s="20"/>
      <c r="C215" s="22"/>
      <c r="D215" s="20"/>
      <c r="E215" s="20"/>
    </row>
    <row r="216">
      <c r="A216" s="23"/>
      <c r="B216" s="20"/>
      <c r="C216" s="22"/>
      <c r="D216" s="20"/>
      <c r="E216" s="20"/>
    </row>
    <row r="217">
      <c r="A217" s="23"/>
      <c r="B217" s="20"/>
      <c r="C217" s="22"/>
      <c r="D217" s="20"/>
      <c r="E217" s="20"/>
    </row>
    <row r="218">
      <c r="A218" s="23"/>
      <c r="B218" s="20"/>
      <c r="C218" s="22"/>
      <c r="D218" s="20"/>
      <c r="E218" s="20"/>
    </row>
    <row r="219">
      <c r="A219" s="23"/>
      <c r="B219" s="20"/>
      <c r="C219" s="22"/>
      <c r="D219" s="20"/>
      <c r="E219" s="20"/>
    </row>
    <row r="220">
      <c r="A220" s="23"/>
      <c r="B220" s="20"/>
      <c r="C220" s="22"/>
      <c r="D220" s="20"/>
      <c r="E220" s="20"/>
    </row>
    <row r="221">
      <c r="A221" s="23"/>
      <c r="B221" s="20"/>
      <c r="C221" s="22"/>
      <c r="D221" s="20"/>
      <c r="E221" s="20"/>
    </row>
    <row r="222">
      <c r="A222" s="23"/>
      <c r="B222" s="20"/>
      <c r="C222" s="22"/>
      <c r="D222" s="20"/>
      <c r="E222" s="20"/>
    </row>
    <row r="223">
      <c r="A223" s="23"/>
      <c r="B223" s="20"/>
      <c r="C223" s="22"/>
      <c r="D223" s="20"/>
      <c r="E223" s="20"/>
    </row>
    <row r="224">
      <c r="A224" s="23"/>
      <c r="B224" s="20"/>
      <c r="C224" s="22"/>
      <c r="D224" s="20"/>
      <c r="E224" s="20"/>
    </row>
    <row r="225">
      <c r="A225" s="23"/>
      <c r="B225" s="20"/>
      <c r="C225" s="22"/>
      <c r="D225" s="20"/>
      <c r="E225" s="20"/>
    </row>
    <row r="226">
      <c r="A226" s="23"/>
      <c r="B226" s="20"/>
      <c r="C226" s="22"/>
      <c r="D226" s="20"/>
      <c r="E226" s="20"/>
    </row>
    <row r="227">
      <c r="A227" s="23"/>
      <c r="B227" s="20"/>
      <c r="C227" s="22"/>
      <c r="D227" s="20"/>
      <c r="E227" s="20"/>
    </row>
    <row r="228">
      <c r="A228" s="23"/>
      <c r="B228" s="20"/>
      <c r="C228" s="22"/>
      <c r="D228" s="20"/>
      <c r="E228" s="20"/>
    </row>
    <row r="229">
      <c r="A229" s="23"/>
      <c r="B229" s="20"/>
      <c r="C229" s="22"/>
      <c r="D229" s="20"/>
      <c r="E229" s="20"/>
    </row>
    <row r="230">
      <c r="A230" s="23"/>
      <c r="B230" s="20"/>
      <c r="C230" s="22"/>
      <c r="D230" s="20"/>
      <c r="E230" s="20"/>
    </row>
    <row r="231">
      <c r="A231" s="23"/>
      <c r="B231" s="20"/>
      <c r="C231" s="22"/>
      <c r="D231" s="20"/>
      <c r="E231" s="20"/>
    </row>
    <row r="232">
      <c r="A232" s="23"/>
      <c r="B232" s="20"/>
      <c r="C232" s="22"/>
      <c r="D232" s="20"/>
      <c r="E232" s="20"/>
    </row>
    <row r="233">
      <c r="A233" s="23"/>
      <c r="B233" s="20"/>
      <c r="C233" s="22"/>
      <c r="D233" s="20"/>
      <c r="E233" s="20"/>
    </row>
    <row r="234">
      <c r="A234" s="23"/>
      <c r="B234" s="20"/>
      <c r="C234" s="22"/>
      <c r="D234" s="20"/>
      <c r="E234" s="20"/>
    </row>
    <row r="235">
      <c r="A235" s="23"/>
      <c r="B235" s="20"/>
      <c r="C235" s="22"/>
      <c r="D235" s="20"/>
      <c r="E235" s="20"/>
    </row>
    <row r="236">
      <c r="A236" s="23"/>
      <c r="B236" s="20"/>
      <c r="C236" s="22"/>
      <c r="D236" s="20"/>
      <c r="E236" s="20"/>
    </row>
    <row r="237">
      <c r="A237" s="23"/>
      <c r="B237" s="20"/>
      <c r="C237" s="22"/>
      <c r="D237" s="20"/>
      <c r="E237" s="20"/>
    </row>
    <row r="238">
      <c r="A238" s="23"/>
      <c r="B238" s="20"/>
      <c r="C238" s="22"/>
      <c r="D238" s="20"/>
      <c r="E238" s="20"/>
    </row>
    <row r="239">
      <c r="A239" s="23"/>
      <c r="B239" s="20"/>
      <c r="C239" s="22"/>
      <c r="D239" s="20"/>
      <c r="E239" s="20"/>
    </row>
    <row r="240">
      <c r="A240" s="23"/>
      <c r="B240" s="20"/>
      <c r="C240" s="22"/>
      <c r="D240" s="20"/>
      <c r="E240" s="20"/>
    </row>
    <row r="241">
      <c r="A241" s="23"/>
      <c r="B241" s="20"/>
      <c r="C241" s="22"/>
      <c r="D241" s="20"/>
      <c r="E241" s="20"/>
    </row>
    <row r="242">
      <c r="A242" s="23"/>
      <c r="B242" s="20"/>
      <c r="C242" s="22"/>
      <c r="D242" s="20"/>
      <c r="E242" s="20"/>
    </row>
    <row r="243">
      <c r="A243" s="23"/>
      <c r="B243" s="20"/>
      <c r="C243" s="22"/>
      <c r="D243" s="20"/>
      <c r="E243" s="20"/>
    </row>
    <row r="244">
      <c r="A244" s="23"/>
      <c r="B244" s="20"/>
      <c r="C244" s="22"/>
      <c r="D244" s="20"/>
      <c r="E244" s="20"/>
    </row>
    <row r="245">
      <c r="A245" s="23"/>
      <c r="B245" s="20"/>
      <c r="C245" s="22"/>
      <c r="D245" s="20"/>
      <c r="E245" s="20"/>
    </row>
    <row r="246">
      <c r="A246" s="23"/>
      <c r="B246" s="20"/>
      <c r="C246" s="22"/>
      <c r="D246" s="20"/>
      <c r="E246" s="20"/>
    </row>
    <row r="247">
      <c r="A247" s="23"/>
      <c r="B247" s="20"/>
      <c r="C247" s="22"/>
      <c r="D247" s="20"/>
      <c r="E247" s="20"/>
    </row>
    <row r="248">
      <c r="A248" s="23"/>
      <c r="B248" s="20"/>
      <c r="C248" s="22"/>
      <c r="D248" s="20"/>
      <c r="E248" s="20"/>
    </row>
    <row r="249">
      <c r="A249" s="23"/>
      <c r="B249" s="20"/>
      <c r="C249" s="22"/>
      <c r="D249" s="20"/>
      <c r="E249" s="20"/>
    </row>
    <row r="250">
      <c r="A250" s="23"/>
      <c r="B250" s="20"/>
      <c r="C250" s="22"/>
      <c r="D250" s="20"/>
      <c r="E250" s="20"/>
    </row>
    <row r="251">
      <c r="A251" s="23"/>
      <c r="B251" s="20"/>
      <c r="C251" s="22"/>
      <c r="D251" s="20"/>
      <c r="E251" s="20"/>
    </row>
    <row r="252">
      <c r="A252" s="23"/>
      <c r="B252" s="20"/>
      <c r="C252" s="22"/>
      <c r="D252" s="20"/>
      <c r="E252" s="20"/>
    </row>
    <row r="253">
      <c r="A253" s="23"/>
      <c r="B253" s="20"/>
      <c r="C253" s="22"/>
      <c r="D253" s="20"/>
      <c r="E253" s="20"/>
    </row>
    <row r="254">
      <c r="A254" s="23"/>
      <c r="B254" s="20"/>
      <c r="C254" s="22"/>
      <c r="D254" s="20"/>
      <c r="E254" s="20"/>
    </row>
    <row r="255">
      <c r="A255" s="23"/>
      <c r="B255" s="20"/>
      <c r="C255" s="22"/>
      <c r="D255" s="20"/>
      <c r="E255" s="20"/>
    </row>
    <row r="256">
      <c r="A256" s="23"/>
      <c r="B256" s="20"/>
      <c r="C256" s="22"/>
      <c r="D256" s="20"/>
      <c r="E256" s="20"/>
    </row>
    <row r="257">
      <c r="A257" s="23"/>
      <c r="B257" s="20"/>
      <c r="C257" s="22"/>
      <c r="D257" s="20"/>
      <c r="E257" s="20"/>
    </row>
    <row r="258">
      <c r="A258" s="23"/>
      <c r="B258" s="20"/>
      <c r="C258" s="22"/>
      <c r="D258" s="20"/>
      <c r="E258" s="20"/>
    </row>
    <row r="259">
      <c r="A259" s="23"/>
      <c r="B259" s="20"/>
      <c r="C259" s="22"/>
      <c r="D259" s="20"/>
      <c r="E259" s="20"/>
    </row>
    <row r="260">
      <c r="A260" s="23"/>
      <c r="B260" s="20"/>
      <c r="C260" s="22"/>
      <c r="D260" s="20"/>
      <c r="E260" s="20"/>
    </row>
    <row r="261">
      <c r="A261" s="23"/>
      <c r="B261" s="20"/>
      <c r="C261" s="22"/>
      <c r="D261" s="20"/>
      <c r="E261" s="20"/>
    </row>
    <row r="262">
      <c r="A262" s="23"/>
      <c r="B262" s="20"/>
      <c r="C262" s="22"/>
      <c r="D262" s="20"/>
      <c r="E262" s="20"/>
    </row>
    <row r="263">
      <c r="A263" s="23"/>
      <c r="B263" s="20"/>
      <c r="C263" s="22"/>
      <c r="D263" s="20"/>
      <c r="E263" s="20"/>
    </row>
    <row r="264">
      <c r="A264" s="23"/>
      <c r="B264" s="20"/>
      <c r="C264" s="22"/>
      <c r="D264" s="20"/>
      <c r="E264" s="20"/>
    </row>
    <row r="265">
      <c r="A265" s="23"/>
      <c r="B265" s="20"/>
      <c r="C265" s="22"/>
      <c r="D265" s="20"/>
      <c r="E265" s="20"/>
    </row>
    <row r="266">
      <c r="A266" s="23"/>
      <c r="B266" s="20"/>
      <c r="C266" s="22"/>
      <c r="D266" s="20"/>
      <c r="E266" s="20"/>
    </row>
    <row r="267">
      <c r="A267" s="23"/>
      <c r="B267" s="20"/>
      <c r="C267" s="22"/>
      <c r="D267" s="20"/>
      <c r="E267" s="20"/>
    </row>
    <row r="268">
      <c r="A268" s="23"/>
      <c r="B268" s="20"/>
      <c r="C268" s="22"/>
      <c r="D268" s="20"/>
      <c r="E268" s="20"/>
    </row>
    <row r="269">
      <c r="A269" s="23"/>
      <c r="B269" s="20"/>
      <c r="C269" s="22"/>
      <c r="D269" s="20"/>
      <c r="E269" s="20"/>
    </row>
    <row r="270">
      <c r="A270" s="23"/>
      <c r="B270" s="20"/>
      <c r="C270" s="22"/>
      <c r="D270" s="20"/>
      <c r="E270" s="20"/>
    </row>
    <row r="271">
      <c r="A271" s="23"/>
      <c r="B271" s="20"/>
      <c r="C271" s="22"/>
      <c r="D271" s="20"/>
      <c r="E271" s="20"/>
    </row>
    <row r="272">
      <c r="A272" s="23"/>
      <c r="B272" s="20"/>
      <c r="C272" s="22"/>
      <c r="D272" s="20"/>
      <c r="E272" s="20"/>
    </row>
    <row r="273">
      <c r="A273" s="23"/>
      <c r="B273" s="20"/>
      <c r="C273" s="22"/>
      <c r="D273" s="20"/>
      <c r="E273" s="20"/>
    </row>
    <row r="274">
      <c r="A274" s="23"/>
      <c r="B274" s="20"/>
      <c r="C274" s="22"/>
      <c r="D274" s="20"/>
      <c r="E274" s="20"/>
    </row>
    <row r="275">
      <c r="A275" s="23"/>
      <c r="B275" s="20"/>
      <c r="C275" s="22"/>
      <c r="D275" s="20"/>
      <c r="E275" s="20"/>
    </row>
    <row r="276">
      <c r="A276" s="23"/>
      <c r="B276" s="20"/>
      <c r="C276" s="22"/>
      <c r="D276" s="20"/>
      <c r="E276" s="20"/>
    </row>
    <row r="277">
      <c r="A277" s="23"/>
      <c r="B277" s="20"/>
      <c r="C277" s="22"/>
      <c r="D277" s="20"/>
      <c r="E277" s="20"/>
    </row>
    <row r="278">
      <c r="A278" s="23"/>
      <c r="B278" s="20"/>
      <c r="C278" s="22"/>
      <c r="D278" s="20"/>
      <c r="E278" s="20"/>
    </row>
    <row r="279">
      <c r="A279" s="23"/>
      <c r="B279" s="20"/>
      <c r="C279" s="22"/>
      <c r="D279" s="20"/>
      <c r="E279" s="20"/>
    </row>
    <row r="280">
      <c r="A280" s="23"/>
      <c r="B280" s="20"/>
      <c r="C280" s="22"/>
      <c r="D280" s="20"/>
      <c r="E280" s="20"/>
    </row>
    <row r="281">
      <c r="A281" s="23"/>
      <c r="B281" s="20"/>
      <c r="C281" s="22"/>
      <c r="D281" s="20"/>
      <c r="E281" s="20"/>
    </row>
    <row r="282">
      <c r="A282" s="23"/>
      <c r="B282" s="20"/>
      <c r="C282" s="22"/>
      <c r="D282" s="20"/>
      <c r="E282" s="20"/>
    </row>
    <row r="283">
      <c r="A283" s="23"/>
      <c r="B283" s="20"/>
      <c r="C283" s="22"/>
      <c r="D283" s="20"/>
      <c r="E283" s="20"/>
    </row>
    <row r="284">
      <c r="A284" s="23"/>
      <c r="B284" s="20"/>
      <c r="C284" s="22"/>
      <c r="D284" s="20"/>
      <c r="E284" s="20"/>
    </row>
    <row r="285">
      <c r="A285" s="23"/>
      <c r="B285" s="20"/>
      <c r="C285" s="22"/>
      <c r="D285" s="20"/>
      <c r="E285" s="20"/>
    </row>
    <row r="286">
      <c r="A286" s="23"/>
      <c r="B286" s="20"/>
      <c r="C286" s="22"/>
      <c r="D286" s="20"/>
      <c r="E286" s="20"/>
    </row>
    <row r="287">
      <c r="A287" s="23"/>
      <c r="B287" s="20"/>
      <c r="C287" s="22"/>
      <c r="D287" s="20"/>
      <c r="E287" s="20"/>
    </row>
    <row r="288">
      <c r="A288" s="23"/>
      <c r="B288" s="20"/>
      <c r="C288" s="22"/>
      <c r="D288" s="20"/>
      <c r="E288" s="20"/>
    </row>
    <row r="289">
      <c r="A289" s="23"/>
      <c r="B289" s="20"/>
      <c r="C289" s="22"/>
      <c r="D289" s="20"/>
      <c r="E289" s="20"/>
    </row>
    <row r="290">
      <c r="A290" s="23"/>
      <c r="B290" s="20"/>
      <c r="C290" s="22"/>
      <c r="D290" s="20"/>
      <c r="E290" s="20"/>
    </row>
    <row r="291">
      <c r="A291" s="23"/>
      <c r="B291" s="20"/>
      <c r="C291" s="22"/>
      <c r="D291" s="20"/>
      <c r="E291" s="20"/>
    </row>
    <row r="292">
      <c r="A292" s="23"/>
      <c r="B292" s="20"/>
      <c r="C292" s="22"/>
      <c r="D292" s="20"/>
      <c r="E292" s="20"/>
    </row>
    <row r="293">
      <c r="A293" s="23"/>
      <c r="B293" s="20"/>
      <c r="C293" s="22"/>
      <c r="D293" s="20"/>
      <c r="E293" s="20"/>
    </row>
    <row r="294">
      <c r="A294" s="23"/>
      <c r="B294" s="20"/>
      <c r="C294" s="22"/>
      <c r="D294" s="20"/>
      <c r="E294" s="20"/>
    </row>
    <row r="295">
      <c r="A295" s="23"/>
      <c r="B295" s="20"/>
      <c r="C295" s="22"/>
      <c r="D295" s="20"/>
      <c r="E295" s="20"/>
    </row>
    <row r="296">
      <c r="A296" s="23"/>
      <c r="B296" s="20"/>
      <c r="C296" s="22"/>
      <c r="D296" s="20"/>
      <c r="E296" s="20"/>
    </row>
    <row r="297">
      <c r="A297" s="23"/>
      <c r="B297" s="20"/>
      <c r="C297" s="22"/>
      <c r="D297" s="20"/>
      <c r="E297" s="20"/>
    </row>
    <row r="298">
      <c r="A298" s="23"/>
      <c r="B298" s="20"/>
      <c r="C298" s="22"/>
      <c r="D298" s="20"/>
      <c r="E298" s="20"/>
    </row>
    <row r="299">
      <c r="A299" s="23"/>
      <c r="B299" s="20"/>
      <c r="C299" s="22"/>
      <c r="D299" s="20"/>
      <c r="E299" s="20"/>
    </row>
    <row r="300">
      <c r="A300" s="23"/>
      <c r="B300" s="20"/>
      <c r="C300" s="22"/>
      <c r="D300" s="20"/>
      <c r="E300" s="20"/>
    </row>
    <row r="301">
      <c r="A301" s="23"/>
      <c r="B301" s="20"/>
      <c r="C301" s="22"/>
      <c r="D301" s="20"/>
      <c r="E301" s="20"/>
    </row>
  </sheetData>
  <dataValidations count="2">
    <dataValidation type="list" allowBlank="1" showInputMessage="1" showErrorMessage="0" sqref="B2:B301">
      <formula1>'Config'!$N$2:$N$15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3.00" customWidth="1"/>
    <col min="3" max="3" width="30.00" customWidth="1"/>
    <col min="4" max="4" width="11.00" customWidth="1"/>
    <col min="5" max="5" width="16.00" customWidth="1"/>
    <col min="6" max="6" width="16.00" customWidth="1"/>
    <col min="7" max="7" width="16.00" customWidth="1"/>
    <col min="8" max="8" width="16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</t>
        </is>
      </c>
      <c r="E1" s="1" t="inlineStr">
        <is>
          <t xml:space="preserve">Origen</t>
        </is>
      </c>
      <c r="F1" s="1" t="inlineStr">
        <is>
          <t xml:space="preserve">Destino</t>
        </is>
      </c>
      <c r="G1" s="1" t="inlineStr">
        <is>
          <t xml:space="preserve">claveOrigen</t>
        </is>
      </c>
      <c r="H1" s="1" t="inlineStr">
        <is>
          <t xml:space="preserve">claveDestino</t>
        </is>
      </c>
    </row>
    <row r="2">
      <c r="A2" s="23"/>
      <c r="B2" s="20"/>
      <c r="C2" s="19">
        <f>IF($B2="","",IFERROR(VLOOKUP($B2,'Catálogo'!$A:$B,2,FALSE),"⚠ Código no existe"))</f>
      </c>
      <c r="D2" s="21"/>
      <c r="E2" s="20"/>
      <c r="F2" s="20"/>
      <c r="G2" s="19">
        <f>IF($B2="","",$B2&amp;"|"&amp;$E2)</f>
      </c>
      <c r="H2" s="19">
        <f>IF($B2="","",$B2&amp;"|"&amp;$F2)</f>
      </c>
    </row>
    <row r="3">
      <c r="A3" s="23"/>
      <c r="B3" s="20"/>
      <c r="C3" s="19">
        <f>IF($B3="","",IFERROR(VLOOKUP($B3,'Catálogo'!$A:$B,2,FALSE),"⚠ Código no existe"))</f>
      </c>
      <c r="D3" s="21"/>
      <c r="E3" s="20"/>
      <c r="F3" s="20"/>
      <c r="G3" s="19">
        <f>IF($B3="","",$B3&amp;"|"&amp;$E3)</f>
      </c>
      <c r="H3" s="19">
        <f>IF($B3="","",$B3&amp;"|"&amp;$F3)</f>
      </c>
    </row>
    <row r="4">
      <c r="A4" s="23"/>
      <c r="B4" s="20"/>
      <c r="C4" s="19">
        <f>IF($B4="","",IFERROR(VLOOKUP($B4,'Catálogo'!$A:$B,2,FALSE),"⚠ Código no existe"))</f>
      </c>
      <c r="D4" s="21"/>
      <c r="E4" s="20"/>
      <c r="F4" s="20"/>
      <c r="G4" s="19">
        <f>IF($B4="","",$B4&amp;"|"&amp;$E4)</f>
      </c>
      <c r="H4" s="19">
        <f>IF($B4="","",$B4&amp;"|"&amp;$F4)</f>
      </c>
    </row>
    <row r="5">
      <c r="A5" s="23"/>
      <c r="B5" s="20"/>
      <c r="C5" s="19">
        <f>IF($B5="","",IFERROR(VLOOKUP($B5,'Catálogo'!$A:$B,2,FALSE),"⚠ Código no existe"))</f>
      </c>
      <c r="D5" s="21"/>
      <c r="E5" s="20"/>
      <c r="F5" s="20"/>
      <c r="G5" s="19">
        <f>IF($B5="","",$B5&amp;"|"&amp;$E5)</f>
      </c>
      <c r="H5" s="19">
        <f>IF($B5="","",$B5&amp;"|"&amp;$F5)</f>
      </c>
    </row>
    <row r="6">
      <c r="A6" s="23"/>
      <c r="B6" s="20"/>
      <c r="C6" s="19">
        <f>IF($B6="","",IFERROR(VLOOKUP($B6,'Catálogo'!$A:$B,2,FALSE),"⚠ Código no existe"))</f>
      </c>
      <c r="D6" s="21"/>
      <c r="E6" s="20"/>
      <c r="F6" s="20"/>
      <c r="G6" s="19">
        <f>IF($B6="","",$B6&amp;"|"&amp;$E6)</f>
      </c>
      <c r="H6" s="19">
        <f>IF($B6="","",$B6&amp;"|"&amp;$F6)</f>
      </c>
    </row>
    <row r="7">
      <c r="A7" s="23"/>
      <c r="B7" s="20"/>
      <c r="C7" s="19">
        <f>IF($B7="","",IFERROR(VLOOKUP($B7,'Catálogo'!$A:$B,2,FALSE),"⚠ Código no existe"))</f>
      </c>
      <c r="D7" s="21"/>
      <c r="E7" s="20"/>
      <c r="F7" s="20"/>
      <c r="G7" s="19">
        <f>IF($B7="","",$B7&amp;"|"&amp;$E7)</f>
      </c>
      <c r="H7" s="19">
        <f>IF($B7="","",$B7&amp;"|"&amp;$F7)</f>
      </c>
    </row>
    <row r="8">
      <c r="A8" s="23"/>
      <c r="B8" s="20"/>
      <c r="C8" s="19">
        <f>IF($B8="","",IFERROR(VLOOKUP($B8,'Catálogo'!$A:$B,2,FALSE),"⚠ Código no existe"))</f>
      </c>
      <c r="D8" s="21"/>
      <c r="E8" s="20"/>
      <c r="F8" s="20"/>
      <c r="G8" s="19">
        <f>IF($B8="","",$B8&amp;"|"&amp;$E8)</f>
      </c>
      <c r="H8" s="19">
        <f>IF($B8="","",$B8&amp;"|"&amp;$F8)</f>
      </c>
    </row>
    <row r="9">
      <c r="A9" s="23"/>
      <c r="B9" s="20"/>
      <c r="C9" s="19">
        <f>IF($B9="","",IFERROR(VLOOKUP($B9,'Catálogo'!$A:$B,2,FALSE),"⚠ Código no existe"))</f>
      </c>
      <c r="D9" s="21"/>
      <c r="E9" s="20"/>
      <c r="F9" s="20"/>
      <c r="G9" s="19">
        <f>IF($B9="","",$B9&amp;"|"&amp;$E9)</f>
      </c>
      <c r="H9" s="19">
        <f>IF($B9="","",$B9&amp;"|"&amp;$F9)</f>
      </c>
    </row>
    <row r="10">
      <c r="A10" s="23"/>
      <c r="B10" s="20"/>
      <c r="C10" s="19">
        <f>IF($B10="","",IFERROR(VLOOKUP($B10,'Catálogo'!$A:$B,2,FALSE),"⚠ Código no existe"))</f>
      </c>
      <c r="D10" s="21"/>
      <c r="E10" s="20"/>
      <c r="F10" s="20"/>
      <c r="G10" s="19">
        <f>IF($B10="","",$B10&amp;"|"&amp;$E10)</f>
      </c>
      <c r="H10" s="19">
        <f>IF($B10="","",$B10&amp;"|"&amp;$F10)</f>
      </c>
    </row>
    <row r="11">
      <c r="A11" s="23"/>
      <c r="B11" s="20"/>
      <c r="C11" s="19">
        <f>IF($B11="","",IFERROR(VLOOKUP($B11,'Catálogo'!$A:$B,2,FALSE),"⚠ Código no existe"))</f>
      </c>
      <c r="D11" s="21"/>
      <c r="E11" s="20"/>
      <c r="F11" s="20"/>
      <c r="G11" s="19">
        <f>IF($B11="","",$B11&amp;"|"&amp;$E11)</f>
      </c>
      <c r="H11" s="19">
        <f>IF($B11="","",$B11&amp;"|"&amp;$F11)</f>
      </c>
    </row>
    <row r="12">
      <c r="A12" s="23"/>
      <c r="B12" s="20"/>
      <c r="C12" s="19">
        <f>IF($B12="","",IFERROR(VLOOKUP($B12,'Catálogo'!$A:$B,2,FALSE),"⚠ Código no existe"))</f>
      </c>
      <c r="D12" s="21"/>
      <c r="E12" s="20"/>
      <c r="F12" s="20"/>
      <c r="G12" s="19">
        <f>IF($B12="","",$B12&amp;"|"&amp;$E12)</f>
      </c>
      <c r="H12" s="19">
        <f>IF($B12="","",$B12&amp;"|"&amp;$F12)</f>
      </c>
    </row>
    <row r="13">
      <c r="A13" s="23"/>
      <c r="B13" s="20"/>
      <c r="C13" s="19">
        <f>IF($B13="","",IFERROR(VLOOKUP($B13,'Catálogo'!$A:$B,2,FALSE),"⚠ Código no existe"))</f>
      </c>
      <c r="D13" s="21"/>
      <c r="E13" s="20"/>
      <c r="F13" s="20"/>
      <c r="G13" s="19">
        <f>IF($B13="","",$B13&amp;"|"&amp;$E13)</f>
      </c>
      <c r="H13" s="19">
        <f>IF($B13="","",$B13&amp;"|"&amp;$F13)</f>
      </c>
    </row>
    <row r="14">
      <c r="A14" s="23"/>
      <c r="B14" s="20"/>
      <c r="C14" s="19">
        <f>IF($B14="","",IFERROR(VLOOKUP($B14,'Catálogo'!$A:$B,2,FALSE),"⚠ Código no existe"))</f>
      </c>
      <c r="D14" s="21"/>
      <c r="E14" s="20"/>
      <c r="F14" s="20"/>
      <c r="G14" s="19">
        <f>IF($B14="","",$B14&amp;"|"&amp;$E14)</f>
      </c>
      <c r="H14" s="19">
        <f>IF($B14="","",$B14&amp;"|"&amp;$F14)</f>
      </c>
    </row>
    <row r="15">
      <c r="A15" s="23"/>
      <c r="B15" s="20"/>
      <c r="C15" s="19">
        <f>IF($B15="","",IFERROR(VLOOKUP($B15,'Catálogo'!$A:$B,2,FALSE),"⚠ Código no existe"))</f>
      </c>
      <c r="D15" s="21"/>
      <c r="E15" s="20"/>
      <c r="F15" s="20"/>
      <c r="G15" s="19">
        <f>IF($B15="","",$B15&amp;"|"&amp;$E15)</f>
      </c>
      <c r="H15" s="19">
        <f>IF($B15="","",$B15&amp;"|"&amp;$F15)</f>
      </c>
    </row>
    <row r="16">
      <c r="A16" s="23"/>
      <c r="B16" s="20"/>
      <c r="C16" s="19">
        <f>IF($B16="","",IFERROR(VLOOKUP($B16,'Catálogo'!$A:$B,2,FALSE),"⚠ Código no existe"))</f>
      </c>
      <c r="D16" s="21"/>
      <c r="E16" s="20"/>
      <c r="F16" s="20"/>
      <c r="G16" s="19">
        <f>IF($B16="","",$B16&amp;"|"&amp;$E16)</f>
      </c>
      <c r="H16" s="19">
        <f>IF($B16="","",$B16&amp;"|"&amp;$F16)</f>
      </c>
    </row>
    <row r="17">
      <c r="A17" s="23"/>
      <c r="B17" s="20"/>
      <c r="C17" s="19">
        <f>IF($B17="","",IFERROR(VLOOKUP($B17,'Catálogo'!$A:$B,2,FALSE),"⚠ Código no existe"))</f>
      </c>
      <c r="D17" s="21"/>
      <c r="E17" s="20"/>
      <c r="F17" s="20"/>
      <c r="G17" s="19">
        <f>IF($B17="","",$B17&amp;"|"&amp;$E17)</f>
      </c>
      <c r="H17" s="19">
        <f>IF($B17="","",$B17&amp;"|"&amp;$F17)</f>
      </c>
    </row>
    <row r="18">
      <c r="A18" s="23"/>
      <c r="B18" s="20"/>
      <c r="C18" s="19">
        <f>IF($B18="","",IFERROR(VLOOKUP($B18,'Catálogo'!$A:$B,2,FALSE),"⚠ Código no existe"))</f>
      </c>
      <c r="D18" s="21"/>
      <c r="E18" s="20"/>
      <c r="F18" s="20"/>
      <c r="G18" s="19">
        <f>IF($B18="","",$B18&amp;"|"&amp;$E18)</f>
      </c>
      <c r="H18" s="19">
        <f>IF($B18="","",$B18&amp;"|"&amp;$F18)</f>
      </c>
    </row>
    <row r="19">
      <c r="A19" s="23"/>
      <c r="B19" s="20"/>
      <c r="C19" s="19">
        <f>IF($B19="","",IFERROR(VLOOKUP($B19,'Catálogo'!$A:$B,2,FALSE),"⚠ Código no existe"))</f>
      </c>
      <c r="D19" s="21"/>
      <c r="E19" s="20"/>
      <c r="F19" s="20"/>
      <c r="G19" s="19">
        <f>IF($B19="","",$B19&amp;"|"&amp;$E19)</f>
      </c>
      <c r="H19" s="19">
        <f>IF($B19="","",$B19&amp;"|"&amp;$F19)</f>
      </c>
    </row>
    <row r="20">
      <c r="A20" s="23"/>
      <c r="B20" s="20"/>
      <c r="C20" s="19">
        <f>IF($B20="","",IFERROR(VLOOKUP($B20,'Catálogo'!$A:$B,2,FALSE),"⚠ Código no existe"))</f>
      </c>
      <c r="D20" s="21"/>
      <c r="E20" s="20"/>
      <c r="F20" s="20"/>
      <c r="G20" s="19">
        <f>IF($B20="","",$B20&amp;"|"&amp;$E20)</f>
      </c>
      <c r="H20" s="19">
        <f>IF($B20="","",$B20&amp;"|"&amp;$F20)</f>
      </c>
    </row>
    <row r="21">
      <c r="A21" s="23"/>
      <c r="B21" s="20"/>
      <c r="C21" s="19">
        <f>IF($B21="","",IFERROR(VLOOKUP($B21,'Catálogo'!$A:$B,2,FALSE),"⚠ Código no existe"))</f>
      </c>
      <c r="D21" s="21"/>
      <c r="E21" s="20"/>
      <c r="F21" s="20"/>
      <c r="G21" s="19">
        <f>IF($B21="","",$B21&amp;"|"&amp;$E21)</f>
      </c>
      <c r="H21" s="19">
        <f>IF($B21="","",$B21&amp;"|"&amp;$F21)</f>
      </c>
    </row>
    <row r="22">
      <c r="A22" s="23"/>
      <c r="B22" s="20"/>
      <c r="C22" s="19">
        <f>IF($B22="","",IFERROR(VLOOKUP($B22,'Catálogo'!$A:$B,2,FALSE),"⚠ Código no existe"))</f>
      </c>
      <c r="D22" s="21"/>
      <c r="E22" s="20"/>
      <c r="F22" s="20"/>
      <c r="G22" s="19">
        <f>IF($B22="","",$B22&amp;"|"&amp;$E22)</f>
      </c>
      <c r="H22" s="19">
        <f>IF($B22="","",$B22&amp;"|"&amp;$F22)</f>
      </c>
    </row>
    <row r="23">
      <c r="A23" s="23"/>
      <c r="B23" s="20"/>
      <c r="C23" s="19">
        <f>IF($B23="","",IFERROR(VLOOKUP($B23,'Catálogo'!$A:$B,2,FALSE),"⚠ Código no existe"))</f>
      </c>
      <c r="D23" s="21"/>
      <c r="E23" s="20"/>
      <c r="F23" s="20"/>
      <c r="G23" s="19">
        <f>IF($B23="","",$B23&amp;"|"&amp;$E23)</f>
      </c>
      <c r="H23" s="19">
        <f>IF($B23="","",$B23&amp;"|"&amp;$F23)</f>
      </c>
    </row>
    <row r="24">
      <c r="A24" s="23"/>
      <c r="B24" s="20"/>
      <c r="C24" s="19">
        <f>IF($B24="","",IFERROR(VLOOKUP($B24,'Catálogo'!$A:$B,2,FALSE),"⚠ Código no existe"))</f>
      </c>
      <c r="D24" s="21"/>
      <c r="E24" s="20"/>
      <c r="F24" s="20"/>
      <c r="G24" s="19">
        <f>IF($B24="","",$B24&amp;"|"&amp;$E24)</f>
      </c>
      <c r="H24" s="19">
        <f>IF($B24="","",$B24&amp;"|"&amp;$F24)</f>
      </c>
    </row>
    <row r="25">
      <c r="A25" s="23"/>
      <c r="B25" s="20"/>
      <c r="C25" s="19">
        <f>IF($B25="","",IFERROR(VLOOKUP($B25,'Catálogo'!$A:$B,2,FALSE),"⚠ Código no existe"))</f>
      </c>
      <c r="D25" s="21"/>
      <c r="E25" s="20"/>
      <c r="F25" s="20"/>
      <c r="G25" s="19">
        <f>IF($B25="","",$B25&amp;"|"&amp;$E25)</f>
      </c>
      <c r="H25" s="19">
        <f>IF($B25="","",$B25&amp;"|"&amp;$F25)</f>
      </c>
    </row>
    <row r="26">
      <c r="A26" s="23"/>
      <c r="B26" s="20"/>
      <c r="C26" s="19">
        <f>IF($B26="","",IFERROR(VLOOKUP($B26,'Catálogo'!$A:$B,2,FALSE),"⚠ Código no existe"))</f>
      </c>
      <c r="D26" s="21"/>
      <c r="E26" s="20"/>
      <c r="F26" s="20"/>
      <c r="G26" s="19">
        <f>IF($B26="","",$B26&amp;"|"&amp;$E26)</f>
      </c>
      <c r="H26" s="19">
        <f>IF($B26="","",$B26&amp;"|"&amp;$F26)</f>
      </c>
    </row>
    <row r="27">
      <c r="A27" s="23"/>
      <c r="B27" s="20"/>
      <c r="C27" s="19">
        <f>IF($B27="","",IFERROR(VLOOKUP($B27,'Catálogo'!$A:$B,2,FALSE),"⚠ Código no existe"))</f>
      </c>
      <c r="D27" s="21"/>
      <c r="E27" s="20"/>
      <c r="F27" s="20"/>
      <c r="G27" s="19">
        <f>IF($B27="","",$B27&amp;"|"&amp;$E27)</f>
      </c>
      <c r="H27" s="19">
        <f>IF($B27="","",$B27&amp;"|"&amp;$F27)</f>
      </c>
    </row>
    <row r="28">
      <c r="A28" s="23"/>
      <c r="B28" s="20"/>
      <c r="C28" s="19">
        <f>IF($B28="","",IFERROR(VLOOKUP($B28,'Catálogo'!$A:$B,2,FALSE),"⚠ Código no existe"))</f>
      </c>
      <c r="D28" s="21"/>
      <c r="E28" s="20"/>
      <c r="F28" s="20"/>
      <c r="G28" s="19">
        <f>IF($B28="","",$B28&amp;"|"&amp;$E28)</f>
      </c>
      <c r="H28" s="19">
        <f>IF($B28="","",$B28&amp;"|"&amp;$F28)</f>
      </c>
    </row>
    <row r="29">
      <c r="A29" s="23"/>
      <c r="B29" s="20"/>
      <c r="C29" s="19">
        <f>IF($B29="","",IFERROR(VLOOKUP($B29,'Catálogo'!$A:$B,2,FALSE),"⚠ Código no existe"))</f>
      </c>
      <c r="D29" s="21"/>
      <c r="E29" s="20"/>
      <c r="F29" s="20"/>
      <c r="G29" s="19">
        <f>IF($B29="","",$B29&amp;"|"&amp;$E29)</f>
      </c>
      <c r="H29" s="19">
        <f>IF($B29="","",$B29&amp;"|"&amp;$F29)</f>
      </c>
    </row>
    <row r="30">
      <c r="A30" s="23"/>
      <c r="B30" s="20"/>
      <c r="C30" s="19">
        <f>IF($B30="","",IFERROR(VLOOKUP($B30,'Catálogo'!$A:$B,2,FALSE),"⚠ Código no existe"))</f>
      </c>
      <c r="D30" s="21"/>
      <c r="E30" s="20"/>
      <c r="F30" s="20"/>
      <c r="G30" s="19">
        <f>IF($B30="","",$B30&amp;"|"&amp;$E30)</f>
      </c>
      <c r="H30" s="19">
        <f>IF($B30="","",$B30&amp;"|"&amp;$F30)</f>
      </c>
    </row>
    <row r="31">
      <c r="A31" s="23"/>
      <c r="B31" s="20"/>
      <c r="C31" s="19">
        <f>IF($B31="","",IFERROR(VLOOKUP($B31,'Catálogo'!$A:$B,2,FALSE),"⚠ Código no existe"))</f>
      </c>
      <c r="D31" s="21"/>
      <c r="E31" s="20"/>
      <c r="F31" s="20"/>
      <c r="G31" s="19">
        <f>IF($B31="","",$B31&amp;"|"&amp;$E31)</f>
      </c>
      <c r="H31" s="19">
        <f>IF($B31="","",$B31&amp;"|"&amp;$F31)</f>
      </c>
    </row>
    <row r="32">
      <c r="A32" s="23"/>
      <c r="B32" s="20"/>
      <c r="C32" s="19">
        <f>IF($B32="","",IFERROR(VLOOKUP($B32,'Catálogo'!$A:$B,2,FALSE),"⚠ Código no existe"))</f>
      </c>
      <c r="D32" s="21"/>
      <c r="E32" s="20"/>
      <c r="F32" s="20"/>
      <c r="G32" s="19">
        <f>IF($B32="","",$B32&amp;"|"&amp;$E32)</f>
      </c>
      <c r="H32" s="19">
        <f>IF($B32="","",$B32&amp;"|"&amp;$F32)</f>
      </c>
    </row>
    <row r="33">
      <c r="A33" s="23"/>
      <c r="B33" s="20"/>
      <c r="C33" s="19">
        <f>IF($B33="","",IFERROR(VLOOKUP($B33,'Catálogo'!$A:$B,2,FALSE),"⚠ Código no existe"))</f>
      </c>
      <c r="D33" s="21"/>
      <c r="E33" s="20"/>
      <c r="F33" s="20"/>
      <c r="G33" s="19">
        <f>IF($B33="","",$B33&amp;"|"&amp;$E33)</f>
      </c>
      <c r="H33" s="19">
        <f>IF($B33="","",$B33&amp;"|"&amp;$F33)</f>
      </c>
    </row>
    <row r="34">
      <c r="A34" s="23"/>
      <c r="B34" s="20"/>
      <c r="C34" s="19">
        <f>IF($B34="","",IFERROR(VLOOKUP($B34,'Catálogo'!$A:$B,2,FALSE),"⚠ Código no existe"))</f>
      </c>
      <c r="D34" s="21"/>
      <c r="E34" s="20"/>
      <c r="F34" s="20"/>
      <c r="G34" s="19">
        <f>IF($B34="","",$B34&amp;"|"&amp;$E34)</f>
      </c>
      <c r="H34" s="19">
        <f>IF($B34="","",$B34&amp;"|"&amp;$F34)</f>
      </c>
    </row>
    <row r="35">
      <c r="A35" s="23"/>
      <c r="B35" s="20"/>
      <c r="C35" s="19">
        <f>IF($B35="","",IFERROR(VLOOKUP($B35,'Catálogo'!$A:$B,2,FALSE),"⚠ Código no existe"))</f>
      </c>
      <c r="D35" s="21"/>
      <c r="E35" s="20"/>
      <c r="F35" s="20"/>
      <c r="G35" s="19">
        <f>IF($B35="","",$B35&amp;"|"&amp;$E35)</f>
      </c>
      <c r="H35" s="19">
        <f>IF($B35="","",$B35&amp;"|"&amp;$F35)</f>
      </c>
    </row>
    <row r="36">
      <c r="A36" s="23"/>
      <c r="B36" s="20"/>
      <c r="C36" s="19">
        <f>IF($B36="","",IFERROR(VLOOKUP($B36,'Catálogo'!$A:$B,2,FALSE),"⚠ Código no existe"))</f>
      </c>
      <c r="D36" s="21"/>
      <c r="E36" s="20"/>
      <c r="F36" s="20"/>
      <c r="G36" s="19">
        <f>IF($B36="","",$B36&amp;"|"&amp;$E36)</f>
      </c>
      <c r="H36" s="19">
        <f>IF($B36="","",$B36&amp;"|"&amp;$F36)</f>
      </c>
    </row>
    <row r="37">
      <c r="A37" s="23"/>
      <c r="B37" s="20"/>
      <c r="C37" s="19">
        <f>IF($B37="","",IFERROR(VLOOKUP($B37,'Catálogo'!$A:$B,2,FALSE),"⚠ Código no existe"))</f>
      </c>
      <c r="D37" s="21"/>
      <c r="E37" s="20"/>
      <c r="F37" s="20"/>
      <c r="G37" s="19">
        <f>IF($B37="","",$B37&amp;"|"&amp;$E37)</f>
      </c>
      <c r="H37" s="19">
        <f>IF($B37="","",$B37&amp;"|"&amp;$F37)</f>
      </c>
    </row>
    <row r="38">
      <c r="A38" s="23"/>
      <c r="B38" s="20"/>
      <c r="C38" s="19">
        <f>IF($B38="","",IFERROR(VLOOKUP($B38,'Catálogo'!$A:$B,2,FALSE),"⚠ Código no existe"))</f>
      </c>
      <c r="D38" s="21"/>
      <c r="E38" s="20"/>
      <c r="F38" s="20"/>
      <c r="G38" s="19">
        <f>IF($B38="","",$B38&amp;"|"&amp;$E38)</f>
      </c>
      <c r="H38" s="19">
        <f>IF($B38="","",$B38&amp;"|"&amp;$F38)</f>
      </c>
    </row>
    <row r="39">
      <c r="A39" s="23"/>
      <c r="B39" s="20"/>
      <c r="C39" s="19">
        <f>IF($B39="","",IFERROR(VLOOKUP($B39,'Catálogo'!$A:$B,2,FALSE),"⚠ Código no existe"))</f>
      </c>
      <c r="D39" s="21"/>
      <c r="E39" s="20"/>
      <c r="F39" s="20"/>
      <c r="G39" s="19">
        <f>IF($B39="","",$B39&amp;"|"&amp;$E39)</f>
      </c>
      <c r="H39" s="19">
        <f>IF($B39="","",$B39&amp;"|"&amp;$F39)</f>
      </c>
    </row>
    <row r="40">
      <c r="A40" s="23"/>
      <c r="B40" s="20"/>
      <c r="C40" s="19">
        <f>IF($B40="","",IFERROR(VLOOKUP($B40,'Catálogo'!$A:$B,2,FALSE),"⚠ Código no existe"))</f>
      </c>
      <c r="D40" s="21"/>
      <c r="E40" s="20"/>
      <c r="F40" s="20"/>
      <c r="G40" s="19">
        <f>IF($B40="","",$B40&amp;"|"&amp;$E40)</f>
      </c>
      <c r="H40" s="19">
        <f>IF($B40="","",$B40&amp;"|"&amp;$F40)</f>
      </c>
    </row>
    <row r="41">
      <c r="A41" s="23"/>
      <c r="B41" s="20"/>
      <c r="C41" s="19">
        <f>IF($B41="","",IFERROR(VLOOKUP($B41,'Catálogo'!$A:$B,2,FALSE),"⚠ Código no existe"))</f>
      </c>
      <c r="D41" s="21"/>
      <c r="E41" s="20"/>
      <c r="F41" s="20"/>
      <c r="G41" s="19">
        <f>IF($B41="","",$B41&amp;"|"&amp;$E41)</f>
      </c>
      <c r="H41" s="19">
        <f>IF($B41="","",$B41&amp;"|"&amp;$F41)</f>
      </c>
    </row>
    <row r="42">
      <c r="A42" s="23"/>
      <c r="B42" s="20"/>
      <c r="C42" s="19">
        <f>IF($B42="","",IFERROR(VLOOKUP($B42,'Catálogo'!$A:$B,2,FALSE),"⚠ Código no existe"))</f>
      </c>
      <c r="D42" s="21"/>
      <c r="E42" s="20"/>
      <c r="F42" s="20"/>
      <c r="G42" s="19">
        <f>IF($B42="","",$B42&amp;"|"&amp;$E42)</f>
      </c>
      <c r="H42" s="19">
        <f>IF($B42="","",$B42&amp;"|"&amp;$F42)</f>
      </c>
    </row>
    <row r="43">
      <c r="A43" s="23"/>
      <c r="B43" s="20"/>
      <c r="C43" s="19">
        <f>IF($B43="","",IFERROR(VLOOKUP($B43,'Catálogo'!$A:$B,2,FALSE),"⚠ Código no existe"))</f>
      </c>
      <c r="D43" s="21"/>
      <c r="E43" s="20"/>
      <c r="F43" s="20"/>
      <c r="G43" s="19">
        <f>IF($B43="","",$B43&amp;"|"&amp;$E43)</f>
      </c>
      <c r="H43" s="19">
        <f>IF($B43="","",$B43&amp;"|"&amp;$F43)</f>
      </c>
    </row>
    <row r="44">
      <c r="A44" s="23"/>
      <c r="B44" s="20"/>
      <c r="C44" s="19">
        <f>IF($B44="","",IFERROR(VLOOKUP($B44,'Catálogo'!$A:$B,2,FALSE),"⚠ Código no existe"))</f>
      </c>
      <c r="D44" s="21"/>
      <c r="E44" s="20"/>
      <c r="F44" s="20"/>
      <c r="G44" s="19">
        <f>IF($B44="","",$B44&amp;"|"&amp;$E44)</f>
      </c>
      <c r="H44" s="19">
        <f>IF($B44="","",$B44&amp;"|"&amp;$F44)</f>
      </c>
    </row>
    <row r="45">
      <c r="A45" s="23"/>
      <c r="B45" s="20"/>
      <c r="C45" s="19">
        <f>IF($B45="","",IFERROR(VLOOKUP($B45,'Catálogo'!$A:$B,2,FALSE),"⚠ Código no existe"))</f>
      </c>
      <c r="D45" s="21"/>
      <c r="E45" s="20"/>
      <c r="F45" s="20"/>
      <c r="G45" s="19">
        <f>IF($B45="","",$B45&amp;"|"&amp;$E45)</f>
      </c>
      <c r="H45" s="19">
        <f>IF($B45="","",$B45&amp;"|"&amp;$F45)</f>
      </c>
    </row>
    <row r="46">
      <c r="A46" s="23"/>
      <c r="B46" s="20"/>
      <c r="C46" s="19">
        <f>IF($B46="","",IFERROR(VLOOKUP($B46,'Catálogo'!$A:$B,2,FALSE),"⚠ Código no existe"))</f>
      </c>
      <c r="D46" s="21"/>
      <c r="E46" s="20"/>
      <c r="F46" s="20"/>
      <c r="G46" s="19">
        <f>IF($B46="","",$B46&amp;"|"&amp;$E46)</f>
      </c>
      <c r="H46" s="19">
        <f>IF($B46="","",$B46&amp;"|"&amp;$F46)</f>
      </c>
    </row>
    <row r="47">
      <c r="A47" s="23"/>
      <c r="B47" s="20"/>
      <c r="C47" s="19">
        <f>IF($B47="","",IFERROR(VLOOKUP($B47,'Catálogo'!$A:$B,2,FALSE),"⚠ Código no existe"))</f>
      </c>
      <c r="D47" s="21"/>
      <c r="E47" s="20"/>
      <c r="F47" s="20"/>
      <c r="G47" s="19">
        <f>IF($B47="","",$B47&amp;"|"&amp;$E47)</f>
      </c>
      <c r="H47" s="19">
        <f>IF($B47="","",$B47&amp;"|"&amp;$F47)</f>
      </c>
    </row>
    <row r="48">
      <c r="A48" s="23"/>
      <c r="B48" s="20"/>
      <c r="C48" s="19">
        <f>IF($B48="","",IFERROR(VLOOKUP($B48,'Catálogo'!$A:$B,2,FALSE),"⚠ Código no existe"))</f>
      </c>
      <c r="D48" s="21"/>
      <c r="E48" s="20"/>
      <c r="F48" s="20"/>
      <c r="G48" s="19">
        <f>IF($B48="","",$B48&amp;"|"&amp;$E48)</f>
      </c>
      <c r="H48" s="19">
        <f>IF($B48="","",$B48&amp;"|"&amp;$F48)</f>
      </c>
    </row>
    <row r="49">
      <c r="A49" s="23"/>
      <c r="B49" s="20"/>
      <c r="C49" s="19">
        <f>IF($B49="","",IFERROR(VLOOKUP($B49,'Catálogo'!$A:$B,2,FALSE),"⚠ Código no existe"))</f>
      </c>
      <c r="D49" s="21"/>
      <c r="E49" s="20"/>
      <c r="F49" s="20"/>
      <c r="G49" s="19">
        <f>IF($B49="","",$B49&amp;"|"&amp;$E49)</f>
      </c>
      <c r="H49" s="19">
        <f>IF($B49="","",$B49&amp;"|"&amp;$F49)</f>
      </c>
    </row>
    <row r="50">
      <c r="A50" s="23"/>
      <c r="B50" s="20"/>
      <c r="C50" s="19">
        <f>IF($B50="","",IFERROR(VLOOKUP($B50,'Catálogo'!$A:$B,2,FALSE),"⚠ Código no existe"))</f>
      </c>
      <c r="D50" s="21"/>
      <c r="E50" s="20"/>
      <c r="F50" s="20"/>
      <c r="G50" s="19">
        <f>IF($B50="","",$B50&amp;"|"&amp;$E50)</f>
      </c>
      <c r="H50" s="19">
        <f>IF($B50="","",$B50&amp;"|"&amp;$F50)</f>
      </c>
    </row>
    <row r="51">
      <c r="A51" s="23"/>
      <c r="B51" s="20"/>
      <c r="C51" s="19">
        <f>IF($B51="","",IFERROR(VLOOKUP($B51,'Catálogo'!$A:$B,2,FALSE),"⚠ Código no existe"))</f>
      </c>
      <c r="D51" s="21"/>
      <c r="E51" s="20"/>
      <c r="F51" s="20"/>
      <c r="G51" s="19">
        <f>IF($B51="","",$B51&amp;"|"&amp;$E51)</f>
      </c>
      <c r="H51" s="19">
        <f>IF($B51="","",$B51&amp;"|"&amp;$F51)</f>
      </c>
    </row>
    <row r="52">
      <c r="A52" s="23"/>
      <c r="B52" s="20"/>
      <c r="C52" s="19">
        <f>IF($B52="","",IFERROR(VLOOKUP($B52,'Catálogo'!$A:$B,2,FALSE),"⚠ Código no existe"))</f>
      </c>
      <c r="D52" s="21"/>
      <c r="E52" s="20"/>
      <c r="F52" s="20"/>
      <c r="G52" s="19">
        <f>IF($B52="","",$B52&amp;"|"&amp;$E52)</f>
      </c>
      <c r="H52" s="19">
        <f>IF($B52="","",$B52&amp;"|"&amp;$F52)</f>
      </c>
    </row>
    <row r="53">
      <c r="A53" s="23"/>
      <c r="B53" s="20"/>
      <c r="C53" s="19">
        <f>IF($B53="","",IFERROR(VLOOKUP($B53,'Catálogo'!$A:$B,2,FALSE),"⚠ Código no existe"))</f>
      </c>
      <c r="D53" s="21"/>
      <c r="E53" s="20"/>
      <c r="F53" s="20"/>
      <c r="G53" s="19">
        <f>IF($B53="","",$B53&amp;"|"&amp;$E53)</f>
      </c>
      <c r="H53" s="19">
        <f>IF($B53="","",$B53&amp;"|"&amp;$F53)</f>
      </c>
    </row>
    <row r="54">
      <c r="A54" s="23"/>
      <c r="B54" s="20"/>
      <c r="C54" s="19">
        <f>IF($B54="","",IFERROR(VLOOKUP($B54,'Catálogo'!$A:$B,2,FALSE),"⚠ Código no existe"))</f>
      </c>
      <c r="D54" s="21"/>
      <c r="E54" s="20"/>
      <c r="F54" s="20"/>
      <c r="G54" s="19">
        <f>IF($B54="","",$B54&amp;"|"&amp;$E54)</f>
      </c>
      <c r="H54" s="19">
        <f>IF($B54="","",$B54&amp;"|"&amp;$F54)</f>
      </c>
    </row>
    <row r="55">
      <c r="A55" s="23"/>
      <c r="B55" s="20"/>
      <c r="C55" s="19">
        <f>IF($B55="","",IFERROR(VLOOKUP($B55,'Catálogo'!$A:$B,2,FALSE),"⚠ Código no existe"))</f>
      </c>
      <c r="D55" s="21"/>
      <c r="E55" s="20"/>
      <c r="F55" s="20"/>
      <c r="G55" s="19">
        <f>IF($B55="","",$B55&amp;"|"&amp;$E55)</f>
      </c>
      <c r="H55" s="19">
        <f>IF($B55="","",$B55&amp;"|"&amp;$F55)</f>
      </c>
    </row>
    <row r="56">
      <c r="A56" s="23"/>
      <c r="B56" s="20"/>
      <c r="C56" s="19">
        <f>IF($B56="","",IFERROR(VLOOKUP($B56,'Catálogo'!$A:$B,2,FALSE),"⚠ Código no existe"))</f>
      </c>
      <c r="D56" s="21"/>
      <c r="E56" s="20"/>
      <c r="F56" s="20"/>
      <c r="G56" s="19">
        <f>IF($B56="","",$B56&amp;"|"&amp;$E56)</f>
      </c>
      <c r="H56" s="19">
        <f>IF($B56="","",$B56&amp;"|"&amp;$F56)</f>
      </c>
    </row>
    <row r="57">
      <c r="A57" s="23"/>
      <c r="B57" s="20"/>
      <c r="C57" s="19">
        <f>IF($B57="","",IFERROR(VLOOKUP($B57,'Catálogo'!$A:$B,2,FALSE),"⚠ Código no existe"))</f>
      </c>
      <c r="D57" s="21"/>
      <c r="E57" s="20"/>
      <c r="F57" s="20"/>
      <c r="G57" s="19">
        <f>IF($B57="","",$B57&amp;"|"&amp;$E57)</f>
      </c>
      <c r="H57" s="19">
        <f>IF($B57="","",$B57&amp;"|"&amp;$F57)</f>
      </c>
    </row>
    <row r="58">
      <c r="A58" s="23"/>
      <c r="B58" s="20"/>
      <c r="C58" s="19">
        <f>IF($B58="","",IFERROR(VLOOKUP($B58,'Catálogo'!$A:$B,2,FALSE),"⚠ Código no existe"))</f>
      </c>
      <c r="D58" s="21"/>
      <c r="E58" s="20"/>
      <c r="F58" s="20"/>
      <c r="G58" s="19">
        <f>IF($B58="","",$B58&amp;"|"&amp;$E58)</f>
      </c>
      <c r="H58" s="19">
        <f>IF($B58="","",$B58&amp;"|"&amp;$F58)</f>
      </c>
    </row>
    <row r="59">
      <c r="A59" s="23"/>
      <c r="B59" s="20"/>
      <c r="C59" s="19">
        <f>IF($B59="","",IFERROR(VLOOKUP($B59,'Catálogo'!$A:$B,2,FALSE),"⚠ Código no existe"))</f>
      </c>
      <c r="D59" s="21"/>
      <c r="E59" s="20"/>
      <c r="F59" s="20"/>
      <c r="G59" s="19">
        <f>IF($B59="","",$B59&amp;"|"&amp;$E59)</f>
      </c>
      <c r="H59" s="19">
        <f>IF($B59="","",$B59&amp;"|"&amp;$F59)</f>
      </c>
    </row>
    <row r="60">
      <c r="A60" s="23"/>
      <c r="B60" s="20"/>
      <c r="C60" s="19">
        <f>IF($B60="","",IFERROR(VLOOKUP($B60,'Catálogo'!$A:$B,2,FALSE),"⚠ Código no existe"))</f>
      </c>
      <c r="D60" s="21"/>
      <c r="E60" s="20"/>
      <c r="F60" s="20"/>
      <c r="G60" s="19">
        <f>IF($B60="","",$B60&amp;"|"&amp;$E60)</f>
      </c>
      <c r="H60" s="19">
        <f>IF($B60="","",$B60&amp;"|"&amp;$F60)</f>
      </c>
    </row>
    <row r="61">
      <c r="A61" s="23"/>
      <c r="B61" s="20"/>
      <c r="C61" s="19">
        <f>IF($B61="","",IFERROR(VLOOKUP($B61,'Catálogo'!$A:$B,2,FALSE),"⚠ Código no existe"))</f>
      </c>
      <c r="D61" s="21"/>
      <c r="E61" s="20"/>
      <c r="F61" s="20"/>
      <c r="G61" s="19">
        <f>IF($B61="","",$B61&amp;"|"&amp;$E61)</f>
      </c>
      <c r="H61" s="19">
        <f>IF($B61="","",$B61&amp;"|"&amp;$F61)</f>
      </c>
    </row>
    <row r="62">
      <c r="A62" s="23"/>
      <c r="B62" s="20"/>
      <c r="C62" s="19">
        <f>IF($B62="","",IFERROR(VLOOKUP($B62,'Catálogo'!$A:$B,2,FALSE),"⚠ Código no existe"))</f>
      </c>
      <c r="D62" s="21"/>
      <c r="E62" s="20"/>
      <c r="F62" s="20"/>
      <c r="G62" s="19">
        <f>IF($B62="","",$B62&amp;"|"&amp;$E62)</f>
      </c>
      <c r="H62" s="19">
        <f>IF($B62="","",$B62&amp;"|"&amp;$F62)</f>
      </c>
    </row>
    <row r="63">
      <c r="A63" s="23"/>
      <c r="B63" s="20"/>
      <c r="C63" s="19">
        <f>IF($B63="","",IFERROR(VLOOKUP($B63,'Catálogo'!$A:$B,2,FALSE),"⚠ Código no existe"))</f>
      </c>
      <c r="D63" s="21"/>
      <c r="E63" s="20"/>
      <c r="F63" s="20"/>
      <c r="G63" s="19">
        <f>IF($B63="","",$B63&amp;"|"&amp;$E63)</f>
      </c>
      <c r="H63" s="19">
        <f>IF($B63="","",$B63&amp;"|"&amp;$F63)</f>
      </c>
    </row>
    <row r="64">
      <c r="A64" s="23"/>
      <c r="B64" s="20"/>
      <c r="C64" s="19">
        <f>IF($B64="","",IFERROR(VLOOKUP($B64,'Catálogo'!$A:$B,2,FALSE),"⚠ Código no existe"))</f>
      </c>
      <c r="D64" s="21"/>
      <c r="E64" s="20"/>
      <c r="F64" s="20"/>
      <c r="G64" s="19">
        <f>IF($B64="","",$B64&amp;"|"&amp;$E64)</f>
      </c>
      <c r="H64" s="19">
        <f>IF($B64="","",$B64&amp;"|"&amp;$F64)</f>
      </c>
    </row>
    <row r="65">
      <c r="A65" s="23"/>
      <c r="B65" s="20"/>
      <c r="C65" s="19">
        <f>IF($B65="","",IFERROR(VLOOKUP($B65,'Catálogo'!$A:$B,2,FALSE),"⚠ Código no existe"))</f>
      </c>
      <c r="D65" s="21"/>
      <c r="E65" s="20"/>
      <c r="F65" s="20"/>
      <c r="G65" s="19">
        <f>IF($B65="","",$B65&amp;"|"&amp;$E65)</f>
      </c>
      <c r="H65" s="19">
        <f>IF($B65="","",$B65&amp;"|"&amp;$F65)</f>
      </c>
    </row>
    <row r="66">
      <c r="A66" s="23"/>
      <c r="B66" s="20"/>
      <c r="C66" s="19">
        <f>IF($B66="","",IFERROR(VLOOKUP($B66,'Catálogo'!$A:$B,2,FALSE),"⚠ Código no existe"))</f>
      </c>
      <c r="D66" s="21"/>
      <c r="E66" s="20"/>
      <c r="F66" s="20"/>
      <c r="G66" s="19">
        <f>IF($B66="","",$B66&amp;"|"&amp;$E66)</f>
      </c>
      <c r="H66" s="19">
        <f>IF($B66="","",$B66&amp;"|"&amp;$F66)</f>
      </c>
    </row>
    <row r="67">
      <c r="A67" s="23"/>
      <c r="B67" s="20"/>
      <c r="C67" s="19">
        <f>IF($B67="","",IFERROR(VLOOKUP($B67,'Catálogo'!$A:$B,2,FALSE),"⚠ Código no existe"))</f>
      </c>
      <c r="D67" s="21"/>
      <c r="E67" s="20"/>
      <c r="F67" s="20"/>
      <c r="G67" s="19">
        <f>IF($B67="","",$B67&amp;"|"&amp;$E67)</f>
      </c>
      <c r="H67" s="19">
        <f>IF($B67="","",$B67&amp;"|"&amp;$F67)</f>
      </c>
    </row>
    <row r="68">
      <c r="A68" s="23"/>
      <c r="B68" s="20"/>
      <c r="C68" s="19">
        <f>IF($B68="","",IFERROR(VLOOKUP($B68,'Catálogo'!$A:$B,2,FALSE),"⚠ Código no existe"))</f>
      </c>
      <c r="D68" s="21"/>
      <c r="E68" s="20"/>
      <c r="F68" s="20"/>
      <c r="G68" s="19">
        <f>IF($B68="","",$B68&amp;"|"&amp;$E68)</f>
      </c>
      <c r="H68" s="19">
        <f>IF($B68="","",$B68&amp;"|"&amp;$F68)</f>
      </c>
    </row>
    <row r="69">
      <c r="A69" s="23"/>
      <c r="B69" s="20"/>
      <c r="C69" s="19">
        <f>IF($B69="","",IFERROR(VLOOKUP($B69,'Catálogo'!$A:$B,2,FALSE),"⚠ Código no existe"))</f>
      </c>
      <c r="D69" s="21"/>
      <c r="E69" s="20"/>
      <c r="F69" s="20"/>
      <c r="G69" s="19">
        <f>IF($B69="","",$B69&amp;"|"&amp;$E69)</f>
      </c>
      <c r="H69" s="19">
        <f>IF($B69="","",$B69&amp;"|"&amp;$F69)</f>
      </c>
    </row>
    <row r="70">
      <c r="A70" s="23"/>
      <c r="B70" s="20"/>
      <c r="C70" s="19">
        <f>IF($B70="","",IFERROR(VLOOKUP($B70,'Catálogo'!$A:$B,2,FALSE),"⚠ Código no existe"))</f>
      </c>
      <c r="D70" s="21"/>
      <c r="E70" s="20"/>
      <c r="F70" s="20"/>
      <c r="G70" s="19">
        <f>IF($B70="","",$B70&amp;"|"&amp;$E70)</f>
      </c>
      <c r="H70" s="19">
        <f>IF($B70="","",$B70&amp;"|"&amp;$F70)</f>
      </c>
    </row>
    <row r="71">
      <c r="A71" s="23"/>
      <c r="B71" s="20"/>
      <c r="C71" s="19">
        <f>IF($B71="","",IFERROR(VLOOKUP($B71,'Catálogo'!$A:$B,2,FALSE),"⚠ Código no existe"))</f>
      </c>
      <c r="D71" s="21"/>
      <c r="E71" s="20"/>
      <c r="F71" s="20"/>
      <c r="G71" s="19">
        <f>IF($B71="","",$B71&amp;"|"&amp;$E71)</f>
      </c>
      <c r="H71" s="19">
        <f>IF($B71="","",$B71&amp;"|"&amp;$F71)</f>
      </c>
    </row>
    <row r="72">
      <c r="A72" s="23"/>
      <c r="B72" s="20"/>
      <c r="C72" s="19">
        <f>IF($B72="","",IFERROR(VLOOKUP($B72,'Catálogo'!$A:$B,2,FALSE),"⚠ Código no existe"))</f>
      </c>
      <c r="D72" s="21"/>
      <c r="E72" s="20"/>
      <c r="F72" s="20"/>
      <c r="G72" s="19">
        <f>IF($B72="","",$B72&amp;"|"&amp;$E72)</f>
      </c>
      <c r="H72" s="19">
        <f>IF($B72="","",$B72&amp;"|"&amp;$F72)</f>
      </c>
    </row>
    <row r="73">
      <c r="A73" s="23"/>
      <c r="B73" s="20"/>
      <c r="C73" s="19">
        <f>IF($B73="","",IFERROR(VLOOKUP($B73,'Catálogo'!$A:$B,2,FALSE),"⚠ Código no existe"))</f>
      </c>
      <c r="D73" s="21"/>
      <c r="E73" s="20"/>
      <c r="F73" s="20"/>
      <c r="G73" s="19">
        <f>IF($B73="","",$B73&amp;"|"&amp;$E73)</f>
      </c>
      <c r="H73" s="19">
        <f>IF($B73="","",$B73&amp;"|"&amp;$F73)</f>
      </c>
    </row>
    <row r="74">
      <c r="A74" s="23"/>
      <c r="B74" s="20"/>
      <c r="C74" s="19">
        <f>IF($B74="","",IFERROR(VLOOKUP($B74,'Catálogo'!$A:$B,2,FALSE),"⚠ Código no existe"))</f>
      </c>
      <c r="D74" s="21"/>
      <c r="E74" s="20"/>
      <c r="F74" s="20"/>
      <c r="G74" s="19">
        <f>IF($B74="","",$B74&amp;"|"&amp;$E74)</f>
      </c>
      <c r="H74" s="19">
        <f>IF($B74="","",$B74&amp;"|"&amp;$F74)</f>
      </c>
    </row>
    <row r="75">
      <c r="A75" s="23"/>
      <c r="B75" s="20"/>
      <c r="C75" s="19">
        <f>IF($B75="","",IFERROR(VLOOKUP($B75,'Catálogo'!$A:$B,2,FALSE),"⚠ Código no existe"))</f>
      </c>
      <c r="D75" s="21"/>
      <c r="E75" s="20"/>
      <c r="F75" s="20"/>
      <c r="G75" s="19">
        <f>IF($B75="","",$B75&amp;"|"&amp;$E75)</f>
      </c>
      <c r="H75" s="19">
        <f>IF($B75="","",$B75&amp;"|"&amp;$F75)</f>
      </c>
    </row>
    <row r="76">
      <c r="A76" s="23"/>
      <c r="B76" s="20"/>
      <c r="C76" s="19">
        <f>IF($B76="","",IFERROR(VLOOKUP($B76,'Catálogo'!$A:$B,2,FALSE),"⚠ Código no existe"))</f>
      </c>
      <c r="D76" s="21"/>
      <c r="E76" s="20"/>
      <c r="F76" s="20"/>
      <c r="G76" s="19">
        <f>IF($B76="","",$B76&amp;"|"&amp;$E76)</f>
      </c>
      <c r="H76" s="19">
        <f>IF($B76="","",$B76&amp;"|"&amp;$F76)</f>
      </c>
    </row>
    <row r="77">
      <c r="A77" s="23"/>
      <c r="B77" s="20"/>
      <c r="C77" s="19">
        <f>IF($B77="","",IFERROR(VLOOKUP($B77,'Catálogo'!$A:$B,2,FALSE),"⚠ Código no existe"))</f>
      </c>
      <c r="D77" s="21"/>
      <c r="E77" s="20"/>
      <c r="F77" s="20"/>
      <c r="G77" s="19">
        <f>IF($B77="","",$B77&amp;"|"&amp;$E77)</f>
      </c>
      <c r="H77" s="19">
        <f>IF($B77="","",$B77&amp;"|"&amp;$F77)</f>
      </c>
    </row>
    <row r="78">
      <c r="A78" s="23"/>
      <c r="B78" s="20"/>
      <c r="C78" s="19">
        <f>IF($B78="","",IFERROR(VLOOKUP($B78,'Catálogo'!$A:$B,2,FALSE),"⚠ Código no existe"))</f>
      </c>
      <c r="D78" s="21"/>
      <c r="E78" s="20"/>
      <c r="F78" s="20"/>
      <c r="G78" s="19">
        <f>IF($B78="","",$B78&amp;"|"&amp;$E78)</f>
      </c>
      <c r="H78" s="19">
        <f>IF($B78="","",$B78&amp;"|"&amp;$F78)</f>
      </c>
    </row>
    <row r="79">
      <c r="A79" s="23"/>
      <c r="B79" s="20"/>
      <c r="C79" s="19">
        <f>IF($B79="","",IFERROR(VLOOKUP($B79,'Catálogo'!$A:$B,2,FALSE),"⚠ Código no existe"))</f>
      </c>
      <c r="D79" s="21"/>
      <c r="E79" s="20"/>
      <c r="F79" s="20"/>
      <c r="G79" s="19">
        <f>IF($B79="","",$B79&amp;"|"&amp;$E79)</f>
      </c>
      <c r="H79" s="19">
        <f>IF($B79="","",$B79&amp;"|"&amp;$F79)</f>
      </c>
    </row>
    <row r="80">
      <c r="A80" s="23"/>
      <c r="B80" s="20"/>
      <c r="C80" s="19">
        <f>IF($B80="","",IFERROR(VLOOKUP($B80,'Catálogo'!$A:$B,2,FALSE),"⚠ Código no existe"))</f>
      </c>
      <c r="D80" s="21"/>
      <c r="E80" s="20"/>
      <c r="F80" s="20"/>
      <c r="G80" s="19">
        <f>IF($B80="","",$B80&amp;"|"&amp;$E80)</f>
      </c>
      <c r="H80" s="19">
        <f>IF($B80="","",$B80&amp;"|"&amp;$F80)</f>
      </c>
    </row>
    <row r="81">
      <c r="A81" s="23"/>
      <c r="B81" s="20"/>
      <c r="C81" s="19">
        <f>IF($B81="","",IFERROR(VLOOKUP($B81,'Catálogo'!$A:$B,2,FALSE),"⚠ Código no existe"))</f>
      </c>
      <c r="D81" s="21"/>
      <c r="E81" s="20"/>
      <c r="F81" s="20"/>
      <c r="G81" s="19">
        <f>IF($B81="","",$B81&amp;"|"&amp;$E81)</f>
      </c>
      <c r="H81" s="19">
        <f>IF($B81="","",$B81&amp;"|"&amp;$F81)</f>
      </c>
    </row>
    <row r="82">
      <c r="A82" s="23"/>
      <c r="B82" s="20"/>
      <c r="C82" s="19">
        <f>IF($B82="","",IFERROR(VLOOKUP($B82,'Catálogo'!$A:$B,2,FALSE),"⚠ Código no existe"))</f>
      </c>
      <c r="D82" s="21"/>
      <c r="E82" s="20"/>
      <c r="F82" s="20"/>
      <c r="G82" s="19">
        <f>IF($B82="","",$B82&amp;"|"&amp;$E82)</f>
      </c>
      <c r="H82" s="19">
        <f>IF($B82="","",$B82&amp;"|"&amp;$F82)</f>
      </c>
    </row>
    <row r="83">
      <c r="A83" s="23"/>
      <c r="B83" s="20"/>
      <c r="C83" s="19">
        <f>IF($B83="","",IFERROR(VLOOKUP($B83,'Catálogo'!$A:$B,2,FALSE),"⚠ Código no existe"))</f>
      </c>
      <c r="D83" s="21"/>
      <c r="E83" s="20"/>
      <c r="F83" s="20"/>
      <c r="G83" s="19">
        <f>IF($B83="","",$B83&amp;"|"&amp;$E83)</f>
      </c>
      <c r="H83" s="19">
        <f>IF($B83="","",$B83&amp;"|"&amp;$F83)</f>
      </c>
    </row>
    <row r="84">
      <c r="A84" s="23"/>
      <c r="B84" s="20"/>
      <c r="C84" s="19">
        <f>IF($B84="","",IFERROR(VLOOKUP($B84,'Catálogo'!$A:$B,2,FALSE),"⚠ Código no existe"))</f>
      </c>
      <c r="D84" s="21"/>
      <c r="E84" s="20"/>
      <c r="F84" s="20"/>
      <c r="G84" s="19">
        <f>IF($B84="","",$B84&amp;"|"&amp;$E84)</f>
      </c>
      <c r="H84" s="19">
        <f>IF($B84="","",$B84&amp;"|"&amp;$F84)</f>
      </c>
    </row>
    <row r="85">
      <c r="A85" s="23"/>
      <c r="B85" s="20"/>
      <c r="C85" s="19">
        <f>IF($B85="","",IFERROR(VLOOKUP($B85,'Catálogo'!$A:$B,2,FALSE),"⚠ Código no existe"))</f>
      </c>
      <c r="D85" s="21"/>
      <c r="E85" s="20"/>
      <c r="F85" s="20"/>
      <c r="G85" s="19">
        <f>IF($B85="","",$B85&amp;"|"&amp;$E85)</f>
      </c>
      <c r="H85" s="19">
        <f>IF($B85="","",$B85&amp;"|"&amp;$F85)</f>
      </c>
    </row>
    <row r="86">
      <c r="A86" s="23"/>
      <c r="B86" s="20"/>
      <c r="C86" s="19">
        <f>IF($B86="","",IFERROR(VLOOKUP($B86,'Catálogo'!$A:$B,2,FALSE),"⚠ Código no existe"))</f>
      </c>
      <c r="D86" s="21"/>
      <c r="E86" s="20"/>
      <c r="F86" s="20"/>
      <c r="G86" s="19">
        <f>IF($B86="","",$B86&amp;"|"&amp;$E86)</f>
      </c>
      <c r="H86" s="19">
        <f>IF($B86="","",$B86&amp;"|"&amp;$F86)</f>
      </c>
    </row>
    <row r="87">
      <c r="A87" s="23"/>
      <c r="B87" s="20"/>
      <c r="C87" s="19">
        <f>IF($B87="","",IFERROR(VLOOKUP($B87,'Catálogo'!$A:$B,2,FALSE),"⚠ Código no existe"))</f>
      </c>
      <c r="D87" s="21"/>
      <c r="E87" s="20"/>
      <c r="F87" s="20"/>
      <c r="G87" s="19">
        <f>IF($B87="","",$B87&amp;"|"&amp;$E87)</f>
      </c>
      <c r="H87" s="19">
        <f>IF($B87="","",$B87&amp;"|"&amp;$F87)</f>
      </c>
    </row>
    <row r="88">
      <c r="A88" s="23"/>
      <c r="B88" s="20"/>
      <c r="C88" s="19">
        <f>IF($B88="","",IFERROR(VLOOKUP($B88,'Catálogo'!$A:$B,2,FALSE),"⚠ Código no existe"))</f>
      </c>
      <c r="D88" s="21"/>
      <c r="E88" s="20"/>
      <c r="F88" s="20"/>
      <c r="G88" s="19">
        <f>IF($B88="","",$B88&amp;"|"&amp;$E88)</f>
      </c>
      <c r="H88" s="19">
        <f>IF($B88="","",$B88&amp;"|"&amp;$F88)</f>
      </c>
    </row>
    <row r="89">
      <c r="A89" s="23"/>
      <c r="B89" s="20"/>
      <c r="C89" s="19">
        <f>IF($B89="","",IFERROR(VLOOKUP($B89,'Catálogo'!$A:$B,2,FALSE),"⚠ Código no existe"))</f>
      </c>
      <c r="D89" s="21"/>
      <c r="E89" s="20"/>
      <c r="F89" s="20"/>
      <c r="G89" s="19">
        <f>IF($B89="","",$B89&amp;"|"&amp;$E89)</f>
      </c>
      <c r="H89" s="19">
        <f>IF($B89="","",$B89&amp;"|"&amp;$F89)</f>
      </c>
    </row>
    <row r="90">
      <c r="A90" s="23"/>
      <c r="B90" s="20"/>
      <c r="C90" s="19">
        <f>IF($B90="","",IFERROR(VLOOKUP($B90,'Catálogo'!$A:$B,2,FALSE),"⚠ Código no existe"))</f>
      </c>
      <c r="D90" s="21"/>
      <c r="E90" s="20"/>
      <c r="F90" s="20"/>
      <c r="G90" s="19">
        <f>IF($B90="","",$B90&amp;"|"&amp;$E90)</f>
      </c>
      <c r="H90" s="19">
        <f>IF($B90="","",$B90&amp;"|"&amp;$F90)</f>
      </c>
    </row>
    <row r="91">
      <c r="A91" s="23"/>
      <c r="B91" s="20"/>
      <c r="C91" s="19">
        <f>IF($B91="","",IFERROR(VLOOKUP($B91,'Catálogo'!$A:$B,2,FALSE),"⚠ Código no existe"))</f>
      </c>
      <c r="D91" s="21"/>
      <c r="E91" s="20"/>
      <c r="F91" s="20"/>
      <c r="G91" s="19">
        <f>IF($B91="","",$B91&amp;"|"&amp;$E91)</f>
      </c>
      <c r="H91" s="19">
        <f>IF($B91="","",$B91&amp;"|"&amp;$F91)</f>
      </c>
    </row>
    <row r="92">
      <c r="A92" s="23"/>
      <c r="B92" s="20"/>
      <c r="C92" s="19">
        <f>IF($B92="","",IFERROR(VLOOKUP($B92,'Catálogo'!$A:$B,2,FALSE),"⚠ Código no existe"))</f>
      </c>
      <c r="D92" s="21"/>
      <c r="E92" s="20"/>
      <c r="F92" s="20"/>
      <c r="G92" s="19">
        <f>IF($B92="","",$B92&amp;"|"&amp;$E92)</f>
      </c>
      <c r="H92" s="19">
        <f>IF($B92="","",$B92&amp;"|"&amp;$F92)</f>
      </c>
    </row>
    <row r="93">
      <c r="A93" s="23"/>
      <c r="B93" s="20"/>
      <c r="C93" s="19">
        <f>IF($B93="","",IFERROR(VLOOKUP($B93,'Catálogo'!$A:$B,2,FALSE),"⚠ Código no existe"))</f>
      </c>
      <c r="D93" s="21"/>
      <c r="E93" s="20"/>
      <c r="F93" s="20"/>
      <c r="G93" s="19">
        <f>IF($B93="","",$B93&amp;"|"&amp;$E93)</f>
      </c>
      <c r="H93" s="19">
        <f>IF($B93="","",$B93&amp;"|"&amp;$F93)</f>
      </c>
    </row>
    <row r="94">
      <c r="A94" s="23"/>
      <c r="B94" s="20"/>
      <c r="C94" s="19">
        <f>IF($B94="","",IFERROR(VLOOKUP($B94,'Catálogo'!$A:$B,2,FALSE),"⚠ Código no existe"))</f>
      </c>
      <c r="D94" s="21"/>
      <c r="E94" s="20"/>
      <c r="F94" s="20"/>
      <c r="G94" s="19">
        <f>IF($B94="","",$B94&amp;"|"&amp;$E94)</f>
      </c>
      <c r="H94" s="19">
        <f>IF($B94="","",$B94&amp;"|"&amp;$F94)</f>
      </c>
    </row>
    <row r="95">
      <c r="A95" s="23"/>
      <c r="B95" s="20"/>
      <c r="C95" s="19">
        <f>IF($B95="","",IFERROR(VLOOKUP($B95,'Catálogo'!$A:$B,2,FALSE),"⚠ Código no existe"))</f>
      </c>
      <c r="D95" s="21"/>
      <c r="E95" s="20"/>
      <c r="F95" s="20"/>
      <c r="G95" s="19">
        <f>IF($B95="","",$B95&amp;"|"&amp;$E95)</f>
      </c>
      <c r="H95" s="19">
        <f>IF($B95="","",$B95&amp;"|"&amp;$F95)</f>
      </c>
    </row>
    <row r="96">
      <c r="A96" s="23"/>
      <c r="B96" s="20"/>
      <c r="C96" s="19">
        <f>IF($B96="","",IFERROR(VLOOKUP($B96,'Catálogo'!$A:$B,2,FALSE),"⚠ Código no existe"))</f>
      </c>
      <c r="D96" s="21"/>
      <c r="E96" s="20"/>
      <c r="F96" s="20"/>
      <c r="G96" s="19">
        <f>IF($B96="","",$B96&amp;"|"&amp;$E96)</f>
      </c>
      <c r="H96" s="19">
        <f>IF($B96="","",$B96&amp;"|"&amp;$F96)</f>
      </c>
    </row>
    <row r="97">
      <c r="A97" s="23"/>
      <c r="B97" s="20"/>
      <c r="C97" s="19">
        <f>IF($B97="","",IFERROR(VLOOKUP($B97,'Catálogo'!$A:$B,2,FALSE),"⚠ Código no existe"))</f>
      </c>
      <c r="D97" s="21"/>
      <c r="E97" s="20"/>
      <c r="F97" s="20"/>
      <c r="G97" s="19">
        <f>IF($B97="","",$B97&amp;"|"&amp;$E97)</f>
      </c>
      <c r="H97" s="19">
        <f>IF($B97="","",$B97&amp;"|"&amp;$F97)</f>
      </c>
    </row>
    <row r="98">
      <c r="A98" s="23"/>
      <c r="B98" s="20"/>
      <c r="C98" s="19">
        <f>IF($B98="","",IFERROR(VLOOKUP($B98,'Catálogo'!$A:$B,2,FALSE),"⚠ Código no existe"))</f>
      </c>
      <c r="D98" s="21"/>
      <c r="E98" s="20"/>
      <c r="F98" s="20"/>
      <c r="G98" s="19">
        <f>IF($B98="","",$B98&amp;"|"&amp;$E98)</f>
      </c>
      <c r="H98" s="19">
        <f>IF($B98="","",$B98&amp;"|"&amp;$F98)</f>
      </c>
    </row>
    <row r="99">
      <c r="A99" s="23"/>
      <c r="B99" s="20"/>
      <c r="C99" s="19">
        <f>IF($B99="","",IFERROR(VLOOKUP($B99,'Catálogo'!$A:$B,2,FALSE),"⚠ Código no existe"))</f>
      </c>
      <c r="D99" s="21"/>
      <c r="E99" s="20"/>
      <c r="F99" s="20"/>
      <c r="G99" s="19">
        <f>IF($B99="","",$B99&amp;"|"&amp;$E99)</f>
      </c>
      <c r="H99" s="19">
        <f>IF($B99="","",$B99&amp;"|"&amp;$F99)</f>
      </c>
    </row>
    <row r="100">
      <c r="A100" s="23"/>
      <c r="B100" s="20"/>
      <c r="C100" s="19">
        <f>IF($B100="","",IFERROR(VLOOKUP($B100,'Catálogo'!$A:$B,2,FALSE),"⚠ Código no existe"))</f>
      </c>
      <c r="D100" s="21"/>
      <c r="E100" s="20"/>
      <c r="F100" s="20"/>
      <c r="G100" s="19">
        <f>IF($B100="","",$B100&amp;"|"&amp;$E100)</f>
      </c>
      <c r="H100" s="19">
        <f>IF($B100="","",$B100&amp;"|"&amp;$F100)</f>
      </c>
    </row>
    <row r="101">
      <c r="A101" s="23"/>
      <c r="B101" s="20"/>
      <c r="C101" s="19">
        <f>IF($B101="","",IFERROR(VLOOKUP($B101,'Catálogo'!$A:$B,2,FALSE),"⚠ Código no existe"))</f>
      </c>
      <c r="D101" s="21"/>
      <c r="E101" s="20"/>
      <c r="F101" s="20"/>
      <c r="G101" s="19">
        <f>IF($B101="","",$B101&amp;"|"&amp;$E101)</f>
      </c>
      <c r="H101" s="19">
        <f>IF($B101="","",$B101&amp;"|"&amp;$F101)</f>
      </c>
    </row>
    <row r="102">
      <c r="A102" s="23"/>
      <c r="B102" s="20"/>
      <c r="C102" s="19">
        <f>IF($B102="","",IFERROR(VLOOKUP($B102,'Catálogo'!$A:$B,2,FALSE),"⚠ Código no existe"))</f>
      </c>
      <c r="D102" s="21"/>
      <c r="E102" s="20"/>
      <c r="F102" s="20"/>
      <c r="G102" s="19">
        <f>IF($B102="","",$B102&amp;"|"&amp;$E102)</f>
      </c>
      <c r="H102" s="19">
        <f>IF($B102="","",$B102&amp;"|"&amp;$F102)</f>
      </c>
    </row>
    <row r="103">
      <c r="A103" s="23"/>
      <c r="B103" s="20"/>
      <c r="C103" s="19">
        <f>IF($B103="","",IFERROR(VLOOKUP($B103,'Catálogo'!$A:$B,2,FALSE),"⚠ Código no existe"))</f>
      </c>
      <c r="D103" s="21"/>
      <c r="E103" s="20"/>
      <c r="F103" s="20"/>
      <c r="G103" s="19">
        <f>IF($B103="","",$B103&amp;"|"&amp;$E103)</f>
      </c>
      <c r="H103" s="19">
        <f>IF($B103="","",$B103&amp;"|"&amp;$F103)</f>
      </c>
    </row>
    <row r="104">
      <c r="A104" s="23"/>
      <c r="B104" s="20"/>
      <c r="C104" s="19">
        <f>IF($B104="","",IFERROR(VLOOKUP($B104,'Catálogo'!$A:$B,2,FALSE),"⚠ Código no existe"))</f>
      </c>
      <c r="D104" s="21"/>
      <c r="E104" s="20"/>
      <c r="F104" s="20"/>
      <c r="G104" s="19">
        <f>IF($B104="","",$B104&amp;"|"&amp;$E104)</f>
      </c>
      <c r="H104" s="19">
        <f>IF($B104="","",$B104&amp;"|"&amp;$F104)</f>
      </c>
    </row>
    <row r="105">
      <c r="A105" s="23"/>
      <c r="B105" s="20"/>
      <c r="C105" s="19">
        <f>IF($B105="","",IFERROR(VLOOKUP($B105,'Catálogo'!$A:$B,2,FALSE),"⚠ Código no existe"))</f>
      </c>
      <c r="D105" s="21"/>
      <c r="E105" s="20"/>
      <c r="F105" s="20"/>
      <c r="G105" s="19">
        <f>IF($B105="","",$B105&amp;"|"&amp;$E105)</f>
      </c>
      <c r="H105" s="19">
        <f>IF($B105="","",$B105&amp;"|"&amp;$F105)</f>
      </c>
    </row>
    <row r="106">
      <c r="A106" s="23"/>
      <c r="B106" s="20"/>
      <c r="C106" s="19">
        <f>IF($B106="","",IFERROR(VLOOKUP($B106,'Catálogo'!$A:$B,2,FALSE),"⚠ Código no existe"))</f>
      </c>
      <c r="D106" s="21"/>
      <c r="E106" s="20"/>
      <c r="F106" s="20"/>
      <c r="G106" s="19">
        <f>IF($B106="","",$B106&amp;"|"&amp;$E106)</f>
      </c>
      <c r="H106" s="19">
        <f>IF($B106="","",$B106&amp;"|"&amp;$F106)</f>
      </c>
    </row>
    <row r="107">
      <c r="A107" s="23"/>
      <c r="B107" s="20"/>
      <c r="C107" s="19">
        <f>IF($B107="","",IFERROR(VLOOKUP($B107,'Catálogo'!$A:$B,2,FALSE),"⚠ Código no existe"))</f>
      </c>
      <c r="D107" s="21"/>
      <c r="E107" s="20"/>
      <c r="F107" s="20"/>
      <c r="G107" s="19">
        <f>IF($B107="","",$B107&amp;"|"&amp;$E107)</f>
      </c>
      <c r="H107" s="19">
        <f>IF($B107="","",$B107&amp;"|"&amp;$F107)</f>
      </c>
    </row>
    <row r="108">
      <c r="A108" s="23"/>
      <c r="B108" s="20"/>
      <c r="C108" s="19">
        <f>IF($B108="","",IFERROR(VLOOKUP($B108,'Catálogo'!$A:$B,2,FALSE),"⚠ Código no existe"))</f>
      </c>
      <c r="D108" s="21"/>
      <c r="E108" s="20"/>
      <c r="F108" s="20"/>
      <c r="G108" s="19">
        <f>IF($B108="","",$B108&amp;"|"&amp;$E108)</f>
      </c>
      <c r="H108" s="19">
        <f>IF($B108="","",$B108&amp;"|"&amp;$F108)</f>
      </c>
    </row>
    <row r="109">
      <c r="A109" s="23"/>
      <c r="B109" s="20"/>
      <c r="C109" s="19">
        <f>IF($B109="","",IFERROR(VLOOKUP($B109,'Catálogo'!$A:$B,2,FALSE),"⚠ Código no existe"))</f>
      </c>
      <c r="D109" s="21"/>
      <c r="E109" s="20"/>
      <c r="F109" s="20"/>
      <c r="G109" s="19">
        <f>IF($B109="","",$B109&amp;"|"&amp;$E109)</f>
      </c>
      <c r="H109" s="19">
        <f>IF($B109="","",$B109&amp;"|"&amp;$F109)</f>
      </c>
    </row>
    <row r="110">
      <c r="A110" s="23"/>
      <c r="B110" s="20"/>
      <c r="C110" s="19">
        <f>IF($B110="","",IFERROR(VLOOKUP($B110,'Catálogo'!$A:$B,2,FALSE),"⚠ Código no existe"))</f>
      </c>
      <c r="D110" s="21"/>
      <c r="E110" s="20"/>
      <c r="F110" s="20"/>
      <c r="G110" s="19">
        <f>IF($B110="","",$B110&amp;"|"&amp;$E110)</f>
      </c>
      <c r="H110" s="19">
        <f>IF($B110="","",$B110&amp;"|"&amp;$F110)</f>
      </c>
    </row>
    <row r="111">
      <c r="A111" s="23"/>
      <c r="B111" s="20"/>
      <c r="C111" s="19">
        <f>IF($B111="","",IFERROR(VLOOKUP($B111,'Catálogo'!$A:$B,2,FALSE),"⚠ Código no existe"))</f>
      </c>
      <c r="D111" s="21"/>
      <c r="E111" s="20"/>
      <c r="F111" s="20"/>
      <c r="G111" s="19">
        <f>IF($B111="","",$B111&amp;"|"&amp;$E111)</f>
      </c>
      <c r="H111" s="19">
        <f>IF($B111="","",$B111&amp;"|"&amp;$F111)</f>
      </c>
    </row>
    <row r="112">
      <c r="A112" s="23"/>
      <c r="B112" s="20"/>
      <c r="C112" s="19">
        <f>IF($B112="","",IFERROR(VLOOKUP($B112,'Catálogo'!$A:$B,2,FALSE),"⚠ Código no existe"))</f>
      </c>
      <c r="D112" s="21"/>
      <c r="E112" s="20"/>
      <c r="F112" s="20"/>
      <c r="G112" s="19">
        <f>IF($B112="","",$B112&amp;"|"&amp;$E112)</f>
      </c>
      <c r="H112" s="19">
        <f>IF($B112="","",$B112&amp;"|"&amp;$F112)</f>
      </c>
    </row>
    <row r="113">
      <c r="A113" s="23"/>
      <c r="B113" s="20"/>
      <c r="C113" s="19">
        <f>IF($B113="","",IFERROR(VLOOKUP($B113,'Catálogo'!$A:$B,2,FALSE),"⚠ Código no existe"))</f>
      </c>
      <c r="D113" s="21"/>
      <c r="E113" s="20"/>
      <c r="F113" s="20"/>
      <c r="G113" s="19">
        <f>IF($B113="","",$B113&amp;"|"&amp;$E113)</f>
      </c>
      <c r="H113" s="19">
        <f>IF($B113="","",$B113&amp;"|"&amp;$F113)</f>
      </c>
    </row>
    <row r="114">
      <c r="A114" s="23"/>
      <c r="B114" s="20"/>
      <c r="C114" s="19">
        <f>IF($B114="","",IFERROR(VLOOKUP($B114,'Catálogo'!$A:$B,2,FALSE),"⚠ Código no existe"))</f>
      </c>
      <c r="D114" s="21"/>
      <c r="E114" s="20"/>
      <c r="F114" s="20"/>
      <c r="G114" s="19">
        <f>IF($B114="","",$B114&amp;"|"&amp;$E114)</f>
      </c>
      <c r="H114" s="19">
        <f>IF($B114="","",$B114&amp;"|"&amp;$F114)</f>
      </c>
    </row>
    <row r="115">
      <c r="A115" s="23"/>
      <c r="B115" s="20"/>
      <c r="C115" s="19">
        <f>IF($B115="","",IFERROR(VLOOKUP($B115,'Catálogo'!$A:$B,2,FALSE),"⚠ Código no existe"))</f>
      </c>
      <c r="D115" s="21"/>
      <c r="E115" s="20"/>
      <c r="F115" s="20"/>
      <c r="G115" s="19">
        <f>IF($B115="","",$B115&amp;"|"&amp;$E115)</f>
      </c>
      <c r="H115" s="19">
        <f>IF($B115="","",$B115&amp;"|"&amp;$F115)</f>
      </c>
    </row>
    <row r="116">
      <c r="A116" s="23"/>
      <c r="B116" s="20"/>
      <c r="C116" s="19">
        <f>IF($B116="","",IFERROR(VLOOKUP($B116,'Catálogo'!$A:$B,2,FALSE),"⚠ Código no existe"))</f>
      </c>
      <c r="D116" s="21"/>
      <c r="E116" s="20"/>
      <c r="F116" s="20"/>
      <c r="G116" s="19">
        <f>IF($B116="","",$B116&amp;"|"&amp;$E116)</f>
      </c>
      <c r="H116" s="19">
        <f>IF($B116="","",$B116&amp;"|"&amp;$F116)</f>
      </c>
    </row>
    <row r="117">
      <c r="A117" s="23"/>
      <c r="B117" s="20"/>
      <c r="C117" s="19">
        <f>IF($B117="","",IFERROR(VLOOKUP($B117,'Catálogo'!$A:$B,2,FALSE),"⚠ Código no existe"))</f>
      </c>
      <c r="D117" s="21"/>
      <c r="E117" s="20"/>
      <c r="F117" s="20"/>
      <c r="G117" s="19">
        <f>IF($B117="","",$B117&amp;"|"&amp;$E117)</f>
      </c>
      <c r="H117" s="19">
        <f>IF($B117="","",$B117&amp;"|"&amp;$F117)</f>
      </c>
    </row>
    <row r="118">
      <c r="A118" s="23"/>
      <c r="B118" s="20"/>
      <c r="C118" s="19">
        <f>IF($B118="","",IFERROR(VLOOKUP($B118,'Catálogo'!$A:$B,2,FALSE),"⚠ Código no existe"))</f>
      </c>
      <c r="D118" s="21"/>
      <c r="E118" s="20"/>
      <c r="F118" s="20"/>
      <c r="G118" s="19">
        <f>IF($B118="","",$B118&amp;"|"&amp;$E118)</f>
      </c>
      <c r="H118" s="19">
        <f>IF($B118="","",$B118&amp;"|"&amp;$F118)</f>
      </c>
    </row>
    <row r="119">
      <c r="A119" s="23"/>
      <c r="B119" s="20"/>
      <c r="C119" s="19">
        <f>IF($B119="","",IFERROR(VLOOKUP($B119,'Catálogo'!$A:$B,2,FALSE),"⚠ Código no existe"))</f>
      </c>
      <c r="D119" s="21"/>
      <c r="E119" s="20"/>
      <c r="F119" s="20"/>
      <c r="G119" s="19">
        <f>IF($B119="","",$B119&amp;"|"&amp;$E119)</f>
      </c>
      <c r="H119" s="19">
        <f>IF($B119="","",$B119&amp;"|"&amp;$F119)</f>
      </c>
    </row>
    <row r="120">
      <c r="A120" s="23"/>
      <c r="B120" s="20"/>
      <c r="C120" s="19">
        <f>IF($B120="","",IFERROR(VLOOKUP($B120,'Catálogo'!$A:$B,2,FALSE),"⚠ Código no existe"))</f>
      </c>
      <c r="D120" s="21"/>
      <c r="E120" s="20"/>
      <c r="F120" s="20"/>
      <c r="G120" s="19">
        <f>IF($B120="","",$B120&amp;"|"&amp;$E120)</f>
      </c>
      <c r="H120" s="19">
        <f>IF($B120="","",$B120&amp;"|"&amp;$F120)</f>
      </c>
    </row>
    <row r="121">
      <c r="A121" s="23"/>
      <c r="B121" s="20"/>
      <c r="C121" s="19">
        <f>IF($B121="","",IFERROR(VLOOKUP($B121,'Catálogo'!$A:$B,2,FALSE),"⚠ Código no existe"))</f>
      </c>
      <c r="D121" s="21"/>
      <c r="E121" s="20"/>
      <c r="F121" s="20"/>
      <c r="G121" s="19">
        <f>IF($B121="","",$B121&amp;"|"&amp;$E121)</f>
      </c>
      <c r="H121" s="19">
        <f>IF($B121="","",$B121&amp;"|"&amp;$F121)</f>
      </c>
    </row>
    <row r="122">
      <c r="A122" s="23"/>
      <c r="B122" s="20"/>
      <c r="C122" s="19">
        <f>IF($B122="","",IFERROR(VLOOKUP($B122,'Catálogo'!$A:$B,2,FALSE),"⚠ Código no existe"))</f>
      </c>
      <c r="D122" s="21"/>
      <c r="E122" s="20"/>
      <c r="F122" s="20"/>
      <c r="G122" s="19">
        <f>IF($B122="","",$B122&amp;"|"&amp;$E122)</f>
      </c>
      <c r="H122" s="19">
        <f>IF($B122="","",$B122&amp;"|"&amp;$F122)</f>
      </c>
    </row>
    <row r="123">
      <c r="A123" s="23"/>
      <c r="B123" s="20"/>
      <c r="C123" s="19">
        <f>IF($B123="","",IFERROR(VLOOKUP($B123,'Catálogo'!$A:$B,2,FALSE),"⚠ Código no existe"))</f>
      </c>
      <c r="D123" s="21"/>
      <c r="E123" s="20"/>
      <c r="F123" s="20"/>
      <c r="G123" s="19">
        <f>IF($B123="","",$B123&amp;"|"&amp;$E123)</f>
      </c>
      <c r="H123" s="19">
        <f>IF($B123="","",$B123&amp;"|"&amp;$F123)</f>
      </c>
    </row>
    <row r="124">
      <c r="A124" s="23"/>
      <c r="B124" s="20"/>
      <c r="C124" s="19">
        <f>IF($B124="","",IFERROR(VLOOKUP($B124,'Catálogo'!$A:$B,2,FALSE),"⚠ Código no existe"))</f>
      </c>
      <c r="D124" s="21"/>
      <c r="E124" s="20"/>
      <c r="F124" s="20"/>
      <c r="G124" s="19">
        <f>IF($B124="","",$B124&amp;"|"&amp;$E124)</f>
      </c>
      <c r="H124" s="19">
        <f>IF($B124="","",$B124&amp;"|"&amp;$F124)</f>
      </c>
    </row>
    <row r="125">
      <c r="A125" s="23"/>
      <c r="B125" s="20"/>
      <c r="C125" s="19">
        <f>IF($B125="","",IFERROR(VLOOKUP($B125,'Catálogo'!$A:$B,2,FALSE),"⚠ Código no existe"))</f>
      </c>
      <c r="D125" s="21"/>
      <c r="E125" s="20"/>
      <c r="F125" s="20"/>
      <c r="G125" s="19">
        <f>IF($B125="","",$B125&amp;"|"&amp;$E125)</f>
      </c>
      <c r="H125" s="19">
        <f>IF($B125="","",$B125&amp;"|"&amp;$F125)</f>
      </c>
    </row>
    <row r="126">
      <c r="A126" s="23"/>
      <c r="B126" s="20"/>
      <c r="C126" s="19">
        <f>IF($B126="","",IFERROR(VLOOKUP($B126,'Catálogo'!$A:$B,2,FALSE),"⚠ Código no existe"))</f>
      </c>
      <c r="D126" s="21"/>
      <c r="E126" s="20"/>
      <c r="F126" s="20"/>
      <c r="G126" s="19">
        <f>IF($B126="","",$B126&amp;"|"&amp;$E126)</f>
      </c>
      <c r="H126" s="19">
        <f>IF($B126="","",$B126&amp;"|"&amp;$F126)</f>
      </c>
    </row>
    <row r="127">
      <c r="A127" s="23"/>
      <c r="B127" s="20"/>
      <c r="C127" s="19">
        <f>IF($B127="","",IFERROR(VLOOKUP($B127,'Catálogo'!$A:$B,2,FALSE),"⚠ Código no existe"))</f>
      </c>
      <c r="D127" s="21"/>
      <c r="E127" s="20"/>
      <c r="F127" s="20"/>
      <c r="G127" s="19">
        <f>IF($B127="","",$B127&amp;"|"&amp;$E127)</f>
      </c>
      <c r="H127" s="19">
        <f>IF($B127="","",$B127&amp;"|"&amp;$F127)</f>
      </c>
    </row>
    <row r="128">
      <c r="A128" s="23"/>
      <c r="B128" s="20"/>
      <c r="C128" s="19">
        <f>IF($B128="","",IFERROR(VLOOKUP($B128,'Catálogo'!$A:$B,2,FALSE),"⚠ Código no existe"))</f>
      </c>
      <c r="D128" s="21"/>
      <c r="E128" s="20"/>
      <c r="F128" s="20"/>
      <c r="G128" s="19">
        <f>IF($B128="","",$B128&amp;"|"&amp;$E128)</f>
      </c>
      <c r="H128" s="19">
        <f>IF($B128="","",$B128&amp;"|"&amp;$F128)</f>
      </c>
    </row>
    <row r="129">
      <c r="A129" s="23"/>
      <c r="B129" s="20"/>
      <c r="C129" s="19">
        <f>IF($B129="","",IFERROR(VLOOKUP($B129,'Catálogo'!$A:$B,2,FALSE),"⚠ Código no existe"))</f>
      </c>
      <c r="D129" s="21"/>
      <c r="E129" s="20"/>
      <c r="F129" s="20"/>
      <c r="G129" s="19">
        <f>IF($B129="","",$B129&amp;"|"&amp;$E129)</f>
      </c>
      <c r="H129" s="19">
        <f>IF($B129="","",$B129&amp;"|"&amp;$F129)</f>
      </c>
    </row>
    <row r="130">
      <c r="A130" s="23"/>
      <c r="B130" s="20"/>
      <c r="C130" s="19">
        <f>IF($B130="","",IFERROR(VLOOKUP($B130,'Catálogo'!$A:$B,2,FALSE),"⚠ Código no existe"))</f>
      </c>
      <c r="D130" s="21"/>
      <c r="E130" s="20"/>
      <c r="F130" s="20"/>
      <c r="G130" s="19">
        <f>IF($B130="","",$B130&amp;"|"&amp;$E130)</f>
      </c>
      <c r="H130" s="19">
        <f>IF($B130="","",$B130&amp;"|"&amp;$F130)</f>
      </c>
    </row>
    <row r="131">
      <c r="A131" s="23"/>
      <c r="B131" s="20"/>
      <c r="C131" s="19">
        <f>IF($B131="","",IFERROR(VLOOKUP($B131,'Catálogo'!$A:$B,2,FALSE),"⚠ Código no existe"))</f>
      </c>
      <c r="D131" s="21"/>
      <c r="E131" s="20"/>
      <c r="F131" s="20"/>
      <c r="G131" s="19">
        <f>IF($B131="","",$B131&amp;"|"&amp;$E131)</f>
      </c>
      <c r="H131" s="19">
        <f>IF($B131="","",$B131&amp;"|"&amp;$F131)</f>
      </c>
    </row>
    <row r="132">
      <c r="A132" s="23"/>
      <c r="B132" s="20"/>
      <c r="C132" s="19">
        <f>IF($B132="","",IFERROR(VLOOKUP($B132,'Catálogo'!$A:$B,2,FALSE),"⚠ Código no existe"))</f>
      </c>
      <c r="D132" s="21"/>
      <c r="E132" s="20"/>
      <c r="F132" s="20"/>
      <c r="G132" s="19">
        <f>IF($B132="","",$B132&amp;"|"&amp;$E132)</f>
      </c>
      <c r="H132" s="19">
        <f>IF($B132="","",$B132&amp;"|"&amp;$F132)</f>
      </c>
    </row>
    <row r="133">
      <c r="A133" s="23"/>
      <c r="B133" s="20"/>
      <c r="C133" s="19">
        <f>IF($B133="","",IFERROR(VLOOKUP($B133,'Catálogo'!$A:$B,2,FALSE),"⚠ Código no existe"))</f>
      </c>
      <c r="D133" s="21"/>
      <c r="E133" s="20"/>
      <c r="F133" s="20"/>
      <c r="G133" s="19">
        <f>IF($B133="","",$B133&amp;"|"&amp;$E133)</f>
      </c>
      <c r="H133" s="19">
        <f>IF($B133="","",$B133&amp;"|"&amp;$F133)</f>
      </c>
    </row>
    <row r="134">
      <c r="A134" s="23"/>
      <c r="B134" s="20"/>
      <c r="C134" s="19">
        <f>IF($B134="","",IFERROR(VLOOKUP($B134,'Catálogo'!$A:$B,2,FALSE),"⚠ Código no existe"))</f>
      </c>
      <c r="D134" s="21"/>
      <c r="E134" s="20"/>
      <c r="F134" s="20"/>
      <c r="G134" s="19">
        <f>IF($B134="","",$B134&amp;"|"&amp;$E134)</f>
      </c>
      <c r="H134" s="19">
        <f>IF($B134="","",$B134&amp;"|"&amp;$F134)</f>
      </c>
    </row>
    <row r="135">
      <c r="A135" s="23"/>
      <c r="B135" s="20"/>
      <c r="C135" s="19">
        <f>IF($B135="","",IFERROR(VLOOKUP($B135,'Catálogo'!$A:$B,2,FALSE),"⚠ Código no existe"))</f>
      </c>
      <c r="D135" s="21"/>
      <c r="E135" s="20"/>
      <c r="F135" s="20"/>
      <c r="G135" s="19">
        <f>IF($B135="","",$B135&amp;"|"&amp;$E135)</f>
      </c>
      <c r="H135" s="19">
        <f>IF($B135="","",$B135&amp;"|"&amp;$F135)</f>
      </c>
    </row>
    <row r="136">
      <c r="A136" s="23"/>
      <c r="B136" s="20"/>
      <c r="C136" s="19">
        <f>IF($B136="","",IFERROR(VLOOKUP($B136,'Catálogo'!$A:$B,2,FALSE),"⚠ Código no existe"))</f>
      </c>
      <c r="D136" s="21"/>
      <c r="E136" s="20"/>
      <c r="F136" s="20"/>
      <c r="G136" s="19">
        <f>IF($B136="","",$B136&amp;"|"&amp;$E136)</f>
      </c>
      <c r="H136" s="19">
        <f>IF($B136="","",$B136&amp;"|"&amp;$F136)</f>
      </c>
    </row>
    <row r="137">
      <c r="A137" s="23"/>
      <c r="B137" s="20"/>
      <c r="C137" s="19">
        <f>IF($B137="","",IFERROR(VLOOKUP($B137,'Catálogo'!$A:$B,2,FALSE),"⚠ Código no existe"))</f>
      </c>
      <c r="D137" s="21"/>
      <c r="E137" s="20"/>
      <c r="F137" s="20"/>
      <c r="G137" s="19">
        <f>IF($B137="","",$B137&amp;"|"&amp;$E137)</f>
      </c>
      <c r="H137" s="19">
        <f>IF($B137="","",$B137&amp;"|"&amp;$F137)</f>
      </c>
    </row>
    <row r="138">
      <c r="A138" s="23"/>
      <c r="B138" s="20"/>
      <c r="C138" s="19">
        <f>IF($B138="","",IFERROR(VLOOKUP($B138,'Catálogo'!$A:$B,2,FALSE),"⚠ Código no existe"))</f>
      </c>
      <c r="D138" s="21"/>
      <c r="E138" s="20"/>
      <c r="F138" s="20"/>
      <c r="G138" s="19">
        <f>IF($B138="","",$B138&amp;"|"&amp;$E138)</f>
      </c>
      <c r="H138" s="19">
        <f>IF($B138="","",$B138&amp;"|"&amp;$F138)</f>
      </c>
    </row>
    <row r="139">
      <c r="A139" s="23"/>
      <c r="B139" s="20"/>
      <c r="C139" s="19">
        <f>IF($B139="","",IFERROR(VLOOKUP($B139,'Catálogo'!$A:$B,2,FALSE),"⚠ Código no existe"))</f>
      </c>
      <c r="D139" s="21"/>
      <c r="E139" s="20"/>
      <c r="F139" s="20"/>
      <c r="G139" s="19">
        <f>IF($B139="","",$B139&amp;"|"&amp;$E139)</f>
      </c>
      <c r="H139" s="19">
        <f>IF($B139="","",$B139&amp;"|"&amp;$F139)</f>
      </c>
    </row>
    <row r="140">
      <c r="A140" s="23"/>
      <c r="B140" s="20"/>
      <c r="C140" s="19">
        <f>IF($B140="","",IFERROR(VLOOKUP($B140,'Catálogo'!$A:$B,2,FALSE),"⚠ Código no existe"))</f>
      </c>
      <c r="D140" s="21"/>
      <c r="E140" s="20"/>
      <c r="F140" s="20"/>
      <c r="G140" s="19">
        <f>IF($B140="","",$B140&amp;"|"&amp;$E140)</f>
      </c>
      <c r="H140" s="19">
        <f>IF($B140="","",$B140&amp;"|"&amp;$F140)</f>
      </c>
    </row>
    <row r="141">
      <c r="A141" s="23"/>
      <c r="B141" s="20"/>
      <c r="C141" s="19">
        <f>IF($B141="","",IFERROR(VLOOKUP($B141,'Catálogo'!$A:$B,2,FALSE),"⚠ Código no existe"))</f>
      </c>
      <c r="D141" s="21"/>
      <c r="E141" s="20"/>
      <c r="F141" s="20"/>
      <c r="G141" s="19">
        <f>IF($B141="","",$B141&amp;"|"&amp;$E141)</f>
      </c>
      <c r="H141" s="19">
        <f>IF($B141="","",$B141&amp;"|"&amp;$F141)</f>
      </c>
    </row>
    <row r="142">
      <c r="A142" s="23"/>
      <c r="B142" s="20"/>
      <c r="C142" s="19">
        <f>IF($B142="","",IFERROR(VLOOKUP($B142,'Catálogo'!$A:$B,2,FALSE),"⚠ Código no existe"))</f>
      </c>
      <c r="D142" s="21"/>
      <c r="E142" s="20"/>
      <c r="F142" s="20"/>
      <c r="G142" s="19">
        <f>IF($B142="","",$B142&amp;"|"&amp;$E142)</f>
      </c>
      <c r="H142" s="19">
        <f>IF($B142="","",$B142&amp;"|"&amp;$F142)</f>
      </c>
    </row>
    <row r="143">
      <c r="A143" s="23"/>
      <c r="B143" s="20"/>
      <c r="C143" s="19">
        <f>IF($B143="","",IFERROR(VLOOKUP($B143,'Catálogo'!$A:$B,2,FALSE),"⚠ Código no existe"))</f>
      </c>
      <c r="D143" s="21"/>
      <c r="E143" s="20"/>
      <c r="F143" s="20"/>
      <c r="G143" s="19">
        <f>IF($B143="","",$B143&amp;"|"&amp;$E143)</f>
      </c>
      <c r="H143" s="19">
        <f>IF($B143="","",$B143&amp;"|"&amp;$F143)</f>
      </c>
    </row>
    <row r="144">
      <c r="A144" s="23"/>
      <c r="B144" s="20"/>
      <c r="C144" s="19">
        <f>IF($B144="","",IFERROR(VLOOKUP($B144,'Catálogo'!$A:$B,2,FALSE),"⚠ Código no existe"))</f>
      </c>
      <c r="D144" s="21"/>
      <c r="E144" s="20"/>
      <c r="F144" s="20"/>
      <c r="G144" s="19">
        <f>IF($B144="","",$B144&amp;"|"&amp;$E144)</f>
      </c>
      <c r="H144" s="19">
        <f>IF($B144="","",$B144&amp;"|"&amp;$F144)</f>
      </c>
    </row>
    <row r="145">
      <c r="A145" s="23"/>
      <c r="B145" s="20"/>
      <c r="C145" s="19">
        <f>IF($B145="","",IFERROR(VLOOKUP($B145,'Catálogo'!$A:$B,2,FALSE),"⚠ Código no existe"))</f>
      </c>
      <c r="D145" s="21"/>
      <c r="E145" s="20"/>
      <c r="F145" s="20"/>
      <c r="G145" s="19">
        <f>IF($B145="","",$B145&amp;"|"&amp;$E145)</f>
      </c>
      <c r="H145" s="19">
        <f>IF($B145="","",$B145&amp;"|"&amp;$F145)</f>
      </c>
    </row>
    <row r="146">
      <c r="A146" s="23"/>
      <c r="B146" s="20"/>
      <c r="C146" s="19">
        <f>IF($B146="","",IFERROR(VLOOKUP($B146,'Catálogo'!$A:$B,2,FALSE),"⚠ Código no existe"))</f>
      </c>
      <c r="D146" s="21"/>
      <c r="E146" s="20"/>
      <c r="F146" s="20"/>
      <c r="G146" s="19">
        <f>IF($B146="","",$B146&amp;"|"&amp;$E146)</f>
      </c>
      <c r="H146" s="19">
        <f>IF($B146="","",$B146&amp;"|"&amp;$F146)</f>
      </c>
    </row>
    <row r="147">
      <c r="A147" s="23"/>
      <c r="B147" s="20"/>
      <c r="C147" s="19">
        <f>IF($B147="","",IFERROR(VLOOKUP($B147,'Catálogo'!$A:$B,2,FALSE),"⚠ Código no existe"))</f>
      </c>
      <c r="D147" s="21"/>
      <c r="E147" s="20"/>
      <c r="F147" s="20"/>
      <c r="G147" s="19">
        <f>IF($B147="","",$B147&amp;"|"&amp;$E147)</f>
      </c>
      <c r="H147" s="19">
        <f>IF($B147="","",$B147&amp;"|"&amp;$F147)</f>
      </c>
    </row>
    <row r="148">
      <c r="A148" s="23"/>
      <c r="B148" s="20"/>
      <c r="C148" s="19">
        <f>IF($B148="","",IFERROR(VLOOKUP($B148,'Catálogo'!$A:$B,2,FALSE),"⚠ Código no existe"))</f>
      </c>
      <c r="D148" s="21"/>
      <c r="E148" s="20"/>
      <c r="F148" s="20"/>
      <c r="G148" s="19">
        <f>IF($B148="","",$B148&amp;"|"&amp;$E148)</f>
      </c>
      <c r="H148" s="19">
        <f>IF($B148="","",$B148&amp;"|"&amp;$F148)</f>
      </c>
    </row>
    <row r="149">
      <c r="A149" s="23"/>
      <c r="B149" s="20"/>
      <c r="C149" s="19">
        <f>IF($B149="","",IFERROR(VLOOKUP($B149,'Catálogo'!$A:$B,2,FALSE),"⚠ Código no existe"))</f>
      </c>
      <c r="D149" s="21"/>
      <c r="E149" s="20"/>
      <c r="F149" s="20"/>
      <c r="G149" s="19">
        <f>IF($B149="","",$B149&amp;"|"&amp;$E149)</f>
      </c>
      <c r="H149" s="19">
        <f>IF($B149="","",$B149&amp;"|"&amp;$F149)</f>
      </c>
    </row>
    <row r="150">
      <c r="A150" s="23"/>
      <c r="B150" s="20"/>
      <c r="C150" s="19">
        <f>IF($B150="","",IFERROR(VLOOKUP($B150,'Catálogo'!$A:$B,2,FALSE),"⚠ Código no existe"))</f>
      </c>
      <c r="D150" s="21"/>
      <c r="E150" s="20"/>
      <c r="F150" s="20"/>
      <c r="G150" s="19">
        <f>IF($B150="","",$B150&amp;"|"&amp;$E150)</f>
      </c>
      <c r="H150" s="19">
        <f>IF($B150="","",$B150&amp;"|"&amp;$F150)</f>
      </c>
    </row>
    <row r="151">
      <c r="A151" s="23"/>
      <c r="B151" s="20"/>
      <c r="C151" s="19">
        <f>IF($B151="","",IFERROR(VLOOKUP($B151,'Catálogo'!$A:$B,2,FALSE),"⚠ Código no existe"))</f>
      </c>
      <c r="D151" s="21"/>
      <c r="E151" s="20"/>
      <c r="F151" s="20"/>
      <c r="G151" s="19">
        <f>IF($B151="","",$B151&amp;"|"&amp;$E151)</f>
      </c>
      <c r="H151" s="19">
        <f>IF($B151="","",$B151&amp;"|"&amp;$F151)</f>
      </c>
    </row>
    <row r="152">
      <c r="A152" s="23"/>
      <c r="B152" s="20"/>
      <c r="C152" s="19">
        <f>IF($B152="","",IFERROR(VLOOKUP($B152,'Catálogo'!$A:$B,2,FALSE),"⚠ Código no existe"))</f>
      </c>
      <c r="D152" s="21"/>
      <c r="E152" s="20"/>
      <c r="F152" s="20"/>
      <c r="G152" s="19">
        <f>IF($B152="","",$B152&amp;"|"&amp;$E152)</f>
      </c>
      <c r="H152" s="19">
        <f>IF($B152="","",$B152&amp;"|"&amp;$F152)</f>
      </c>
    </row>
    <row r="153">
      <c r="A153" s="23"/>
      <c r="B153" s="20"/>
      <c r="C153" s="19">
        <f>IF($B153="","",IFERROR(VLOOKUP($B153,'Catálogo'!$A:$B,2,FALSE),"⚠ Código no existe"))</f>
      </c>
      <c r="D153" s="21"/>
      <c r="E153" s="20"/>
      <c r="F153" s="20"/>
      <c r="G153" s="19">
        <f>IF($B153="","",$B153&amp;"|"&amp;$E153)</f>
      </c>
      <c r="H153" s="19">
        <f>IF($B153="","",$B153&amp;"|"&amp;$F153)</f>
      </c>
    </row>
    <row r="154">
      <c r="A154" s="23"/>
      <c r="B154" s="20"/>
      <c r="C154" s="19">
        <f>IF($B154="","",IFERROR(VLOOKUP($B154,'Catálogo'!$A:$B,2,FALSE),"⚠ Código no existe"))</f>
      </c>
      <c r="D154" s="21"/>
      <c r="E154" s="20"/>
      <c r="F154" s="20"/>
      <c r="G154" s="19">
        <f>IF($B154="","",$B154&amp;"|"&amp;$E154)</f>
      </c>
      <c r="H154" s="19">
        <f>IF($B154="","",$B154&amp;"|"&amp;$F154)</f>
      </c>
    </row>
    <row r="155">
      <c r="A155" s="23"/>
      <c r="B155" s="20"/>
      <c r="C155" s="19">
        <f>IF($B155="","",IFERROR(VLOOKUP($B155,'Catálogo'!$A:$B,2,FALSE),"⚠ Código no existe"))</f>
      </c>
      <c r="D155" s="21"/>
      <c r="E155" s="20"/>
      <c r="F155" s="20"/>
      <c r="G155" s="19">
        <f>IF($B155="","",$B155&amp;"|"&amp;$E155)</f>
      </c>
      <c r="H155" s="19">
        <f>IF($B155="","",$B155&amp;"|"&amp;$F155)</f>
      </c>
    </row>
    <row r="156">
      <c r="A156" s="23"/>
      <c r="B156" s="20"/>
      <c r="C156" s="19">
        <f>IF($B156="","",IFERROR(VLOOKUP($B156,'Catálogo'!$A:$B,2,FALSE),"⚠ Código no existe"))</f>
      </c>
      <c r="D156" s="21"/>
      <c r="E156" s="20"/>
      <c r="F156" s="20"/>
      <c r="G156" s="19">
        <f>IF($B156="","",$B156&amp;"|"&amp;$E156)</f>
      </c>
      <c r="H156" s="19">
        <f>IF($B156="","",$B156&amp;"|"&amp;$F156)</f>
      </c>
    </row>
    <row r="157">
      <c r="A157" s="23"/>
      <c r="B157" s="20"/>
      <c r="C157" s="19">
        <f>IF($B157="","",IFERROR(VLOOKUP($B157,'Catálogo'!$A:$B,2,FALSE),"⚠ Código no existe"))</f>
      </c>
      <c r="D157" s="21"/>
      <c r="E157" s="20"/>
      <c r="F157" s="20"/>
      <c r="G157" s="19">
        <f>IF($B157="","",$B157&amp;"|"&amp;$E157)</f>
      </c>
      <c r="H157" s="19">
        <f>IF($B157="","",$B157&amp;"|"&amp;$F157)</f>
      </c>
    </row>
    <row r="158">
      <c r="A158" s="23"/>
      <c r="B158" s="20"/>
      <c r="C158" s="19">
        <f>IF($B158="","",IFERROR(VLOOKUP($B158,'Catálogo'!$A:$B,2,FALSE),"⚠ Código no existe"))</f>
      </c>
      <c r="D158" s="21"/>
      <c r="E158" s="20"/>
      <c r="F158" s="20"/>
      <c r="G158" s="19">
        <f>IF($B158="","",$B158&amp;"|"&amp;$E158)</f>
      </c>
      <c r="H158" s="19">
        <f>IF($B158="","",$B158&amp;"|"&amp;$F158)</f>
      </c>
    </row>
    <row r="159">
      <c r="A159" s="23"/>
      <c r="B159" s="20"/>
      <c r="C159" s="19">
        <f>IF($B159="","",IFERROR(VLOOKUP($B159,'Catálogo'!$A:$B,2,FALSE),"⚠ Código no existe"))</f>
      </c>
      <c r="D159" s="21"/>
      <c r="E159" s="20"/>
      <c r="F159" s="20"/>
      <c r="G159" s="19">
        <f>IF($B159="","",$B159&amp;"|"&amp;$E159)</f>
      </c>
      <c r="H159" s="19">
        <f>IF($B159="","",$B159&amp;"|"&amp;$F159)</f>
      </c>
    </row>
    <row r="160">
      <c r="A160" s="23"/>
      <c r="B160" s="20"/>
      <c r="C160" s="19">
        <f>IF($B160="","",IFERROR(VLOOKUP($B160,'Catálogo'!$A:$B,2,FALSE),"⚠ Código no existe"))</f>
      </c>
      <c r="D160" s="21"/>
      <c r="E160" s="20"/>
      <c r="F160" s="20"/>
      <c r="G160" s="19">
        <f>IF($B160="","",$B160&amp;"|"&amp;$E160)</f>
      </c>
      <c r="H160" s="19">
        <f>IF($B160="","",$B160&amp;"|"&amp;$F160)</f>
      </c>
    </row>
    <row r="161">
      <c r="A161" s="23"/>
      <c r="B161" s="20"/>
      <c r="C161" s="19">
        <f>IF($B161="","",IFERROR(VLOOKUP($B161,'Catálogo'!$A:$B,2,FALSE),"⚠ Código no existe"))</f>
      </c>
      <c r="D161" s="21"/>
      <c r="E161" s="20"/>
      <c r="F161" s="20"/>
      <c r="G161" s="19">
        <f>IF($B161="","",$B161&amp;"|"&amp;$E161)</f>
      </c>
      <c r="H161" s="19">
        <f>IF($B161="","",$B161&amp;"|"&amp;$F161)</f>
      </c>
    </row>
    <row r="162">
      <c r="A162" s="23"/>
      <c r="B162" s="20"/>
      <c r="C162" s="19">
        <f>IF($B162="","",IFERROR(VLOOKUP($B162,'Catálogo'!$A:$B,2,FALSE),"⚠ Código no existe"))</f>
      </c>
      <c r="D162" s="21"/>
      <c r="E162" s="20"/>
      <c r="F162" s="20"/>
      <c r="G162" s="19">
        <f>IF($B162="","",$B162&amp;"|"&amp;$E162)</f>
      </c>
      <c r="H162" s="19">
        <f>IF($B162="","",$B162&amp;"|"&amp;$F162)</f>
      </c>
    </row>
    <row r="163">
      <c r="A163" s="23"/>
      <c r="B163" s="20"/>
      <c r="C163" s="19">
        <f>IF($B163="","",IFERROR(VLOOKUP($B163,'Catálogo'!$A:$B,2,FALSE),"⚠ Código no existe"))</f>
      </c>
      <c r="D163" s="21"/>
      <c r="E163" s="20"/>
      <c r="F163" s="20"/>
      <c r="G163" s="19">
        <f>IF($B163="","",$B163&amp;"|"&amp;$E163)</f>
      </c>
      <c r="H163" s="19">
        <f>IF($B163="","",$B163&amp;"|"&amp;$F163)</f>
      </c>
    </row>
    <row r="164">
      <c r="A164" s="23"/>
      <c r="B164" s="20"/>
      <c r="C164" s="19">
        <f>IF($B164="","",IFERROR(VLOOKUP($B164,'Catálogo'!$A:$B,2,FALSE),"⚠ Código no existe"))</f>
      </c>
      <c r="D164" s="21"/>
      <c r="E164" s="20"/>
      <c r="F164" s="20"/>
      <c r="G164" s="19">
        <f>IF($B164="","",$B164&amp;"|"&amp;$E164)</f>
      </c>
      <c r="H164" s="19">
        <f>IF($B164="","",$B164&amp;"|"&amp;$F164)</f>
      </c>
    </row>
    <row r="165">
      <c r="A165" s="23"/>
      <c r="B165" s="20"/>
      <c r="C165" s="19">
        <f>IF($B165="","",IFERROR(VLOOKUP($B165,'Catálogo'!$A:$B,2,FALSE),"⚠ Código no existe"))</f>
      </c>
      <c r="D165" s="21"/>
      <c r="E165" s="20"/>
      <c r="F165" s="20"/>
      <c r="G165" s="19">
        <f>IF($B165="","",$B165&amp;"|"&amp;$E165)</f>
      </c>
      <c r="H165" s="19">
        <f>IF($B165="","",$B165&amp;"|"&amp;$F165)</f>
      </c>
    </row>
    <row r="166">
      <c r="A166" s="23"/>
      <c r="B166" s="20"/>
      <c r="C166" s="19">
        <f>IF($B166="","",IFERROR(VLOOKUP($B166,'Catálogo'!$A:$B,2,FALSE),"⚠ Código no existe"))</f>
      </c>
      <c r="D166" s="21"/>
      <c r="E166" s="20"/>
      <c r="F166" s="20"/>
      <c r="G166" s="19">
        <f>IF($B166="","",$B166&amp;"|"&amp;$E166)</f>
      </c>
      <c r="H166" s="19">
        <f>IF($B166="","",$B166&amp;"|"&amp;$F166)</f>
      </c>
    </row>
    <row r="167">
      <c r="A167" s="23"/>
      <c r="B167" s="20"/>
      <c r="C167" s="19">
        <f>IF($B167="","",IFERROR(VLOOKUP($B167,'Catálogo'!$A:$B,2,FALSE),"⚠ Código no existe"))</f>
      </c>
      <c r="D167" s="21"/>
      <c r="E167" s="20"/>
      <c r="F167" s="20"/>
      <c r="G167" s="19">
        <f>IF($B167="","",$B167&amp;"|"&amp;$E167)</f>
      </c>
      <c r="H167" s="19">
        <f>IF($B167="","",$B167&amp;"|"&amp;$F167)</f>
      </c>
    </row>
    <row r="168">
      <c r="A168" s="23"/>
      <c r="B168" s="20"/>
      <c r="C168" s="19">
        <f>IF($B168="","",IFERROR(VLOOKUP($B168,'Catálogo'!$A:$B,2,FALSE),"⚠ Código no existe"))</f>
      </c>
      <c r="D168" s="21"/>
      <c r="E168" s="20"/>
      <c r="F168" s="20"/>
      <c r="G168" s="19">
        <f>IF($B168="","",$B168&amp;"|"&amp;$E168)</f>
      </c>
      <c r="H168" s="19">
        <f>IF($B168="","",$B168&amp;"|"&amp;$F168)</f>
      </c>
    </row>
    <row r="169">
      <c r="A169" s="23"/>
      <c r="B169" s="20"/>
      <c r="C169" s="19">
        <f>IF($B169="","",IFERROR(VLOOKUP($B169,'Catálogo'!$A:$B,2,FALSE),"⚠ Código no existe"))</f>
      </c>
      <c r="D169" s="21"/>
      <c r="E169" s="20"/>
      <c r="F169" s="20"/>
      <c r="G169" s="19">
        <f>IF($B169="","",$B169&amp;"|"&amp;$E169)</f>
      </c>
      <c r="H169" s="19">
        <f>IF($B169="","",$B169&amp;"|"&amp;$F169)</f>
      </c>
    </row>
    <row r="170">
      <c r="A170" s="23"/>
      <c r="B170" s="20"/>
      <c r="C170" s="19">
        <f>IF($B170="","",IFERROR(VLOOKUP($B170,'Catálogo'!$A:$B,2,FALSE),"⚠ Código no existe"))</f>
      </c>
      <c r="D170" s="21"/>
      <c r="E170" s="20"/>
      <c r="F170" s="20"/>
      <c r="G170" s="19">
        <f>IF($B170="","",$B170&amp;"|"&amp;$E170)</f>
      </c>
      <c r="H170" s="19">
        <f>IF($B170="","",$B170&amp;"|"&amp;$F170)</f>
      </c>
    </row>
    <row r="171">
      <c r="A171" s="23"/>
      <c r="B171" s="20"/>
      <c r="C171" s="19">
        <f>IF($B171="","",IFERROR(VLOOKUP($B171,'Catálogo'!$A:$B,2,FALSE),"⚠ Código no existe"))</f>
      </c>
      <c r="D171" s="21"/>
      <c r="E171" s="20"/>
      <c r="F171" s="20"/>
      <c r="G171" s="19">
        <f>IF($B171="","",$B171&amp;"|"&amp;$E171)</f>
      </c>
      <c r="H171" s="19">
        <f>IF($B171="","",$B171&amp;"|"&amp;$F171)</f>
      </c>
    </row>
    <row r="172">
      <c r="A172" s="23"/>
      <c r="B172" s="20"/>
      <c r="C172" s="19">
        <f>IF($B172="","",IFERROR(VLOOKUP($B172,'Catálogo'!$A:$B,2,FALSE),"⚠ Código no existe"))</f>
      </c>
      <c r="D172" s="21"/>
      <c r="E172" s="20"/>
      <c r="F172" s="20"/>
      <c r="G172" s="19">
        <f>IF($B172="","",$B172&amp;"|"&amp;$E172)</f>
      </c>
      <c r="H172" s="19">
        <f>IF($B172="","",$B172&amp;"|"&amp;$F172)</f>
      </c>
    </row>
    <row r="173">
      <c r="A173" s="23"/>
      <c r="B173" s="20"/>
      <c r="C173" s="19">
        <f>IF($B173="","",IFERROR(VLOOKUP($B173,'Catálogo'!$A:$B,2,FALSE),"⚠ Código no existe"))</f>
      </c>
      <c r="D173" s="21"/>
      <c r="E173" s="20"/>
      <c r="F173" s="20"/>
      <c r="G173" s="19">
        <f>IF($B173="","",$B173&amp;"|"&amp;$E173)</f>
      </c>
      <c r="H173" s="19">
        <f>IF($B173="","",$B173&amp;"|"&amp;$F173)</f>
      </c>
    </row>
    <row r="174">
      <c r="A174" s="23"/>
      <c r="B174" s="20"/>
      <c r="C174" s="19">
        <f>IF($B174="","",IFERROR(VLOOKUP($B174,'Catálogo'!$A:$B,2,FALSE),"⚠ Código no existe"))</f>
      </c>
      <c r="D174" s="21"/>
      <c r="E174" s="20"/>
      <c r="F174" s="20"/>
      <c r="G174" s="19">
        <f>IF($B174="","",$B174&amp;"|"&amp;$E174)</f>
      </c>
      <c r="H174" s="19">
        <f>IF($B174="","",$B174&amp;"|"&amp;$F174)</f>
      </c>
    </row>
    <row r="175">
      <c r="A175" s="23"/>
      <c r="B175" s="20"/>
      <c r="C175" s="19">
        <f>IF($B175="","",IFERROR(VLOOKUP($B175,'Catálogo'!$A:$B,2,FALSE),"⚠ Código no existe"))</f>
      </c>
      <c r="D175" s="21"/>
      <c r="E175" s="20"/>
      <c r="F175" s="20"/>
      <c r="G175" s="19">
        <f>IF($B175="","",$B175&amp;"|"&amp;$E175)</f>
      </c>
      <c r="H175" s="19">
        <f>IF($B175="","",$B175&amp;"|"&amp;$F175)</f>
      </c>
    </row>
    <row r="176">
      <c r="A176" s="23"/>
      <c r="B176" s="20"/>
      <c r="C176" s="19">
        <f>IF($B176="","",IFERROR(VLOOKUP($B176,'Catálogo'!$A:$B,2,FALSE),"⚠ Código no existe"))</f>
      </c>
      <c r="D176" s="21"/>
      <c r="E176" s="20"/>
      <c r="F176" s="20"/>
      <c r="G176" s="19">
        <f>IF($B176="","",$B176&amp;"|"&amp;$E176)</f>
      </c>
      <c r="H176" s="19">
        <f>IF($B176="","",$B176&amp;"|"&amp;$F176)</f>
      </c>
    </row>
    <row r="177">
      <c r="A177" s="23"/>
      <c r="B177" s="20"/>
      <c r="C177" s="19">
        <f>IF($B177="","",IFERROR(VLOOKUP($B177,'Catálogo'!$A:$B,2,FALSE),"⚠ Código no existe"))</f>
      </c>
      <c r="D177" s="21"/>
      <c r="E177" s="20"/>
      <c r="F177" s="20"/>
      <c r="G177" s="19">
        <f>IF($B177="","",$B177&amp;"|"&amp;$E177)</f>
      </c>
      <c r="H177" s="19">
        <f>IF($B177="","",$B177&amp;"|"&amp;$F177)</f>
      </c>
    </row>
    <row r="178">
      <c r="A178" s="23"/>
      <c r="B178" s="20"/>
      <c r="C178" s="19">
        <f>IF($B178="","",IFERROR(VLOOKUP($B178,'Catálogo'!$A:$B,2,FALSE),"⚠ Código no existe"))</f>
      </c>
      <c r="D178" s="21"/>
      <c r="E178" s="20"/>
      <c r="F178" s="20"/>
      <c r="G178" s="19">
        <f>IF($B178="","",$B178&amp;"|"&amp;$E178)</f>
      </c>
      <c r="H178" s="19">
        <f>IF($B178="","",$B178&amp;"|"&amp;$F178)</f>
      </c>
    </row>
    <row r="179">
      <c r="A179" s="23"/>
      <c r="B179" s="20"/>
      <c r="C179" s="19">
        <f>IF($B179="","",IFERROR(VLOOKUP($B179,'Catálogo'!$A:$B,2,FALSE),"⚠ Código no existe"))</f>
      </c>
      <c r="D179" s="21"/>
      <c r="E179" s="20"/>
      <c r="F179" s="20"/>
      <c r="G179" s="19">
        <f>IF($B179="","",$B179&amp;"|"&amp;$E179)</f>
      </c>
      <c r="H179" s="19">
        <f>IF($B179="","",$B179&amp;"|"&amp;$F179)</f>
      </c>
    </row>
    <row r="180">
      <c r="A180" s="23"/>
      <c r="B180" s="20"/>
      <c r="C180" s="19">
        <f>IF($B180="","",IFERROR(VLOOKUP($B180,'Catálogo'!$A:$B,2,FALSE),"⚠ Código no existe"))</f>
      </c>
      <c r="D180" s="21"/>
      <c r="E180" s="20"/>
      <c r="F180" s="20"/>
      <c r="G180" s="19">
        <f>IF($B180="","",$B180&amp;"|"&amp;$E180)</f>
      </c>
      <c r="H180" s="19">
        <f>IF($B180="","",$B180&amp;"|"&amp;$F180)</f>
      </c>
    </row>
    <row r="181">
      <c r="A181" s="23"/>
      <c r="B181" s="20"/>
      <c r="C181" s="19">
        <f>IF($B181="","",IFERROR(VLOOKUP($B181,'Catálogo'!$A:$B,2,FALSE),"⚠ Código no existe"))</f>
      </c>
      <c r="D181" s="21"/>
      <c r="E181" s="20"/>
      <c r="F181" s="20"/>
      <c r="G181" s="19">
        <f>IF($B181="","",$B181&amp;"|"&amp;$E181)</f>
      </c>
      <c r="H181" s="19">
        <f>IF($B181="","",$B181&amp;"|"&amp;$F181)</f>
      </c>
    </row>
    <row r="182">
      <c r="A182" s="23"/>
      <c r="B182" s="20"/>
      <c r="C182" s="19">
        <f>IF($B182="","",IFERROR(VLOOKUP($B182,'Catálogo'!$A:$B,2,FALSE),"⚠ Código no existe"))</f>
      </c>
      <c r="D182" s="21"/>
      <c r="E182" s="20"/>
      <c r="F182" s="20"/>
      <c r="G182" s="19">
        <f>IF($B182="","",$B182&amp;"|"&amp;$E182)</f>
      </c>
      <c r="H182" s="19">
        <f>IF($B182="","",$B182&amp;"|"&amp;$F182)</f>
      </c>
    </row>
    <row r="183">
      <c r="A183" s="23"/>
      <c r="B183" s="20"/>
      <c r="C183" s="19">
        <f>IF($B183="","",IFERROR(VLOOKUP($B183,'Catálogo'!$A:$B,2,FALSE),"⚠ Código no existe"))</f>
      </c>
      <c r="D183" s="21"/>
      <c r="E183" s="20"/>
      <c r="F183" s="20"/>
      <c r="G183" s="19">
        <f>IF($B183="","",$B183&amp;"|"&amp;$E183)</f>
      </c>
      <c r="H183" s="19">
        <f>IF($B183="","",$B183&amp;"|"&amp;$F183)</f>
      </c>
    </row>
    <row r="184">
      <c r="A184" s="23"/>
      <c r="B184" s="20"/>
      <c r="C184" s="19">
        <f>IF($B184="","",IFERROR(VLOOKUP($B184,'Catálogo'!$A:$B,2,FALSE),"⚠ Código no existe"))</f>
      </c>
      <c r="D184" s="21"/>
      <c r="E184" s="20"/>
      <c r="F184" s="20"/>
      <c r="G184" s="19">
        <f>IF($B184="","",$B184&amp;"|"&amp;$E184)</f>
      </c>
      <c r="H184" s="19">
        <f>IF($B184="","",$B184&amp;"|"&amp;$F184)</f>
      </c>
    </row>
    <row r="185">
      <c r="A185" s="23"/>
      <c r="B185" s="20"/>
      <c r="C185" s="19">
        <f>IF($B185="","",IFERROR(VLOOKUP($B185,'Catálogo'!$A:$B,2,FALSE),"⚠ Código no existe"))</f>
      </c>
      <c r="D185" s="21"/>
      <c r="E185" s="20"/>
      <c r="F185" s="20"/>
      <c r="G185" s="19">
        <f>IF($B185="","",$B185&amp;"|"&amp;$E185)</f>
      </c>
      <c r="H185" s="19">
        <f>IF($B185="","",$B185&amp;"|"&amp;$F185)</f>
      </c>
    </row>
    <row r="186">
      <c r="A186" s="23"/>
      <c r="B186" s="20"/>
      <c r="C186" s="19">
        <f>IF($B186="","",IFERROR(VLOOKUP($B186,'Catálogo'!$A:$B,2,FALSE),"⚠ Código no existe"))</f>
      </c>
      <c r="D186" s="21"/>
      <c r="E186" s="20"/>
      <c r="F186" s="20"/>
      <c r="G186" s="19">
        <f>IF($B186="","",$B186&amp;"|"&amp;$E186)</f>
      </c>
      <c r="H186" s="19">
        <f>IF($B186="","",$B186&amp;"|"&amp;$F186)</f>
      </c>
    </row>
    <row r="187">
      <c r="A187" s="23"/>
      <c r="B187" s="20"/>
      <c r="C187" s="19">
        <f>IF($B187="","",IFERROR(VLOOKUP($B187,'Catálogo'!$A:$B,2,FALSE),"⚠ Código no existe"))</f>
      </c>
      <c r="D187" s="21"/>
      <c r="E187" s="20"/>
      <c r="F187" s="20"/>
      <c r="G187" s="19">
        <f>IF($B187="","",$B187&amp;"|"&amp;$E187)</f>
      </c>
      <c r="H187" s="19">
        <f>IF($B187="","",$B187&amp;"|"&amp;$F187)</f>
      </c>
    </row>
    <row r="188">
      <c r="A188" s="23"/>
      <c r="B188" s="20"/>
      <c r="C188" s="19">
        <f>IF($B188="","",IFERROR(VLOOKUP($B188,'Catálogo'!$A:$B,2,FALSE),"⚠ Código no existe"))</f>
      </c>
      <c r="D188" s="21"/>
      <c r="E188" s="20"/>
      <c r="F188" s="20"/>
      <c r="G188" s="19">
        <f>IF($B188="","",$B188&amp;"|"&amp;$E188)</f>
      </c>
      <c r="H188" s="19">
        <f>IF($B188="","",$B188&amp;"|"&amp;$F188)</f>
      </c>
    </row>
    <row r="189">
      <c r="A189" s="23"/>
      <c r="B189" s="20"/>
      <c r="C189" s="19">
        <f>IF($B189="","",IFERROR(VLOOKUP($B189,'Catálogo'!$A:$B,2,FALSE),"⚠ Código no existe"))</f>
      </c>
      <c r="D189" s="21"/>
      <c r="E189" s="20"/>
      <c r="F189" s="20"/>
      <c r="G189" s="19">
        <f>IF($B189="","",$B189&amp;"|"&amp;$E189)</f>
      </c>
      <c r="H189" s="19">
        <f>IF($B189="","",$B189&amp;"|"&amp;$F189)</f>
      </c>
    </row>
    <row r="190">
      <c r="A190" s="23"/>
      <c r="B190" s="20"/>
      <c r="C190" s="19">
        <f>IF($B190="","",IFERROR(VLOOKUP($B190,'Catálogo'!$A:$B,2,FALSE),"⚠ Código no existe"))</f>
      </c>
      <c r="D190" s="21"/>
      <c r="E190" s="20"/>
      <c r="F190" s="20"/>
      <c r="G190" s="19">
        <f>IF($B190="","",$B190&amp;"|"&amp;$E190)</f>
      </c>
      <c r="H190" s="19">
        <f>IF($B190="","",$B190&amp;"|"&amp;$F190)</f>
      </c>
    </row>
    <row r="191">
      <c r="A191" s="23"/>
      <c r="B191" s="20"/>
      <c r="C191" s="19">
        <f>IF($B191="","",IFERROR(VLOOKUP($B191,'Catálogo'!$A:$B,2,FALSE),"⚠ Código no existe"))</f>
      </c>
      <c r="D191" s="21"/>
      <c r="E191" s="20"/>
      <c r="F191" s="20"/>
      <c r="G191" s="19">
        <f>IF($B191="","",$B191&amp;"|"&amp;$E191)</f>
      </c>
      <c r="H191" s="19">
        <f>IF($B191="","",$B191&amp;"|"&amp;$F191)</f>
      </c>
    </row>
    <row r="192">
      <c r="A192" s="23"/>
      <c r="B192" s="20"/>
      <c r="C192" s="19">
        <f>IF($B192="","",IFERROR(VLOOKUP($B192,'Catálogo'!$A:$B,2,FALSE),"⚠ Código no existe"))</f>
      </c>
      <c r="D192" s="21"/>
      <c r="E192" s="20"/>
      <c r="F192" s="20"/>
      <c r="G192" s="19">
        <f>IF($B192="","",$B192&amp;"|"&amp;$E192)</f>
      </c>
      <c r="H192" s="19">
        <f>IF($B192="","",$B192&amp;"|"&amp;$F192)</f>
      </c>
    </row>
    <row r="193">
      <c r="A193" s="23"/>
      <c r="B193" s="20"/>
      <c r="C193" s="19">
        <f>IF($B193="","",IFERROR(VLOOKUP($B193,'Catálogo'!$A:$B,2,FALSE),"⚠ Código no existe"))</f>
      </c>
      <c r="D193" s="21"/>
      <c r="E193" s="20"/>
      <c r="F193" s="20"/>
      <c r="G193" s="19">
        <f>IF($B193="","",$B193&amp;"|"&amp;$E193)</f>
      </c>
      <c r="H193" s="19">
        <f>IF($B193="","",$B193&amp;"|"&amp;$F193)</f>
      </c>
    </row>
    <row r="194">
      <c r="A194" s="23"/>
      <c r="B194" s="20"/>
      <c r="C194" s="19">
        <f>IF($B194="","",IFERROR(VLOOKUP($B194,'Catálogo'!$A:$B,2,FALSE),"⚠ Código no existe"))</f>
      </c>
      <c r="D194" s="21"/>
      <c r="E194" s="20"/>
      <c r="F194" s="20"/>
      <c r="G194" s="19">
        <f>IF($B194="","",$B194&amp;"|"&amp;$E194)</f>
      </c>
      <c r="H194" s="19">
        <f>IF($B194="","",$B194&amp;"|"&amp;$F194)</f>
      </c>
    </row>
    <row r="195">
      <c r="A195" s="23"/>
      <c r="B195" s="20"/>
      <c r="C195" s="19">
        <f>IF($B195="","",IFERROR(VLOOKUP($B195,'Catálogo'!$A:$B,2,FALSE),"⚠ Código no existe"))</f>
      </c>
      <c r="D195" s="21"/>
      <c r="E195" s="20"/>
      <c r="F195" s="20"/>
      <c r="G195" s="19">
        <f>IF($B195="","",$B195&amp;"|"&amp;$E195)</f>
      </c>
      <c r="H195" s="19">
        <f>IF($B195="","",$B195&amp;"|"&amp;$F195)</f>
      </c>
    </row>
    <row r="196">
      <c r="A196" s="23"/>
      <c r="B196" s="20"/>
      <c r="C196" s="19">
        <f>IF($B196="","",IFERROR(VLOOKUP($B196,'Catálogo'!$A:$B,2,FALSE),"⚠ Código no existe"))</f>
      </c>
      <c r="D196" s="21"/>
      <c r="E196" s="20"/>
      <c r="F196" s="20"/>
      <c r="G196" s="19">
        <f>IF($B196="","",$B196&amp;"|"&amp;$E196)</f>
      </c>
      <c r="H196" s="19">
        <f>IF($B196="","",$B196&amp;"|"&amp;$F196)</f>
      </c>
    </row>
    <row r="197">
      <c r="A197" s="23"/>
      <c r="B197" s="20"/>
      <c r="C197" s="19">
        <f>IF($B197="","",IFERROR(VLOOKUP($B197,'Catálogo'!$A:$B,2,FALSE),"⚠ Código no existe"))</f>
      </c>
      <c r="D197" s="21"/>
      <c r="E197" s="20"/>
      <c r="F197" s="20"/>
      <c r="G197" s="19">
        <f>IF($B197="","",$B197&amp;"|"&amp;$E197)</f>
      </c>
      <c r="H197" s="19">
        <f>IF($B197="","",$B197&amp;"|"&amp;$F197)</f>
      </c>
    </row>
    <row r="198">
      <c r="A198" s="23"/>
      <c r="B198" s="20"/>
      <c r="C198" s="19">
        <f>IF($B198="","",IFERROR(VLOOKUP($B198,'Catálogo'!$A:$B,2,FALSE),"⚠ Código no existe"))</f>
      </c>
      <c r="D198" s="21"/>
      <c r="E198" s="20"/>
      <c r="F198" s="20"/>
      <c r="G198" s="19">
        <f>IF($B198="","",$B198&amp;"|"&amp;$E198)</f>
      </c>
      <c r="H198" s="19">
        <f>IF($B198="","",$B198&amp;"|"&amp;$F198)</f>
      </c>
    </row>
    <row r="199">
      <c r="A199" s="23"/>
      <c r="B199" s="20"/>
      <c r="C199" s="19">
        <f>IF($B199="","",IFERROR(VLOOKUP($B199,'Catálogo'!$A:$B,2,FALSE),"⚠ Código no existe"))</f>
      </c>
      <c r="D199" s="21"/>
      <c r="E199" s="20"/>
      <c r="F199" s="20"/>
      <c r="G199" s="19">
        <f>IF($B199="","",$B199&amp;"|"&amp;$E199)</f>
      </c>
      <c r="H199" s="19">
        <f>IF($B199="","",$B199&amp;"|"&amp;$F199)</f>
      </c>
    </row>
    <row r="200">
      <c r="A200" s="23"/>
      <c r="B200" s="20"/>
      <c r="C200" s="19">
        <f>IF($B200="","",IFERROR(VLOOKUP($B200,'Catálogo'!$A:$B,2,FALSE),"⚠ Código no existe"))</f>
      </c>
      <c r="D200" s="21"/>
      <c r="E200" s="20"/>
      <c r="F200" s="20"/>
      <c r="G200" s="19">
        <f>IF($B200="","",$B200&amp;"|"&amp;$E200)</f>
      </c>
      <c r="H200" s="19">
        <f>IF($B200="","",$B200&amp;"|"&amp;$F200)</f>
      </c>
    </row>
    <row r="201">
      <c r="A201" s="23"/>
      <c r="B201" s="20"/>
      <c r="C201" s="19">
        <f>IF($B201="","",IFERROR(VLOOKUP($B201,'Catálogo'!$A:$B,2,FALSE),"⚠ Código no existe"))</f>
      </c>
      <c r="D201" s="21"/>
      <c r="E201" s="20"/>
      <c r="F201" s="20"/>
      <c r="G201" s="19">
        <f>IF($B201="","",$B201&amp;"|"&amp;$E201)</f>
      </c>
      <c r="H201" s="19">
        <f>IF($B201="","",$B201&amp;"|"&amp;$F201)</f>
      </c>
    </row>
    <row r="202">
      <c r="A202" s="23"/>
      <c r="B202" s="20"/>
      <c r="C202" s="19">
        <f>IF($B202="","",IFERROR(VLOOKUP($B202,'Catálogo'!$A:$B,2,FALSE),"⚠ Código no existe"))</f>
      </c>
      <c r="D202" s="21"/>
      <c r="E202" s="20"/>
      <c r="F202" s="20"/>
      <c r="G202" s="19">
        <f>IF($B202="","",$B202&amp;"|"&amp;$E202)</f>
      </c>
      <c r="H202" s="19">
        <f>IF($B202="","",$B202&amp;"|"&amp;$F202)</f>
      </c>
    </row>
    <row r="203">
      <c r="A203" s="23"/>
      <c r="B203" s="20"/>
      <c r="C203" s="19">
        <f>IF($B203="","",IFERROR(VLOOKUP($B203,'Catálogo'!$A:$B,2,FALSE),"⚠ Código no existe"))</f>
      </c>
      <c r="D203" s="21"/>
      <c r="E203" s="20"/>
      <c r="F203" s="20"/>
      <c r="G203" s="19">
        <f>IF($B203="","",$B203&amp;"|"&amp;$E203)</f>
      </c>
      <c r="H203" s="19">
        <f>IF($B203="","",$B203&amp;"|"&amp;$F203)</f>
      </c>
    </row>
    <row r="204">
      <c r="A204" s="23"/>
      <c r="B204" s="20"/>
      <c r="C204" s="19">
        <f>IF($B204="","",IFERROR(VLOOKUP($B204,'Catálogo'!$A:$B,2,FALSE),"⚠ Código no existe"))</f>
      </c>
      <c r="D204" s="21"/>
      <c r="E204" s="20"/>
      <c r="F204" s="20"/>
      <c r="G204" s="19">
        <f>IF($B204="","",$B204&amp;"|"&amp;$E204)</f>
      </c>
      <c r="H204" s="19">
        <f>IF($B204="","",$B204&amp;"|"&amp;$F204)</f>
      </c>
    </row>
    <row r="205">
      <c r="A205" s="23"/>
      <c r="B205" s="20"/>
      <c r="C205" s="19">
        <f>IF($B205="","",IFERROR(VLOOKUP($B205,'Catálogo'!$A:$B,2,FALSE),"⚠ Código no existe"))</f>
      </c>
      <c r="D205" s="21"/>
      <c r="E205" s="20"/>
      <c r="F205" s="20"/>
      <c r="G205" s="19">
        <f>IF($B205="","",$B205&amp;"|"&amp;$E205)</f>
      </c>
      <c r="H205" s="19">
        <f>IF($B205="","",$B205&amp;"|"&amp;$F205)</f>
      </c>
    </row>
    <row r="206">
      <c r="A206" s="23"/>
      <c r="B206" s="20"/>
      <c r="C206" s="19">
        <f>IF($B206="","",IFERROR(VLOOKUP($B206,'Catálogo'!$A:$B,2,FALSE),"⚠ Código no existe"))</f>
      </c>
      <c r="D206" s="21"/>
      <c r="E206" s="20"/>
      <c r="F206" s="20"/>
      <c r="G206" s="19">
        <f>IF($B206="","",$B206&amp;"|"&amp;$E206)</f>
      </c>
      <c r="H206" s="19">
        <f>IF($B206="","",$B206&amp;"|"&amp;$F206)</f>
      </c>
    </row>
    <row r="207">
      <c r="A207" s="23"/>
      <c r="B207" s="20"/>
      <c r="C207" s="19">
        <f>IF($B207="","",IFERROR(VLOOKUP($B207,'Catálogo'!$A:$B,2,FALSE),"⚠ Código no existe"))</f>
      </c>
      <c r="D207" s="21"/>
      <c r="E207" s="20"/>
      <c r="F207" s="20"/>
      <c r="G207" s="19">
        <f>IF($B207="","",$B207&amp;"|"&amp;$E207)</f>
      </c>
      <c r="H207" s="19">
        <f>IF($B207="","",$B207&amp;"|"&amp;$F207)</f>
      </c>
    </row>
    <row r="208">
      <c r="A208" s="23"/>
      <c r="B208" s="20"/>
      <c r="C208" s="19">
        <f>IF($B208="","",IFERROR(VLOOKUP($B208,'Catálogo'!$A:$B,2,FALSE),"⚠ Código no existe"))</f>
      </c>
      <c r="D208" s="21"/>
      <c r="E208" s="20"/>
      <c r="F208" s="20"/>
      <c r="G208" s="19">
        <f>IF($B208="","",$B208&amp;"|"&amp;$E208)</f>
      </c>
      <c r="H208" s="19">
        <f>IF($B208="","",$B208&amp;"|"&amp;$F208)</f>
      </c>
    </row>
    <row r="209">
      <c r="A209" s="23"/>
      <c r="B209" s="20"/>
      <c r="C209" s="19">
        <f>IF($B209="","",IFERROR(VLOOKUP($B209,'Catálogo'!$A:$B,2,FALSE),"⚠ Código no existe"))</f>
      </c>
      <c r="D209" s="21"/>
      <c r="E209" s="20"/>
      <c r="F209" s="20"/>
      <c r="G209" s="19">
        <f>IF($B209="","",$B209&amp;"|"&amp;$E209)</f>
      </c>
      <c r="H209" s="19">
        <f>IF($B209="","",$B209&amp;"|"&amp;$F209)</f>
      </c>
    </row>
    <row r="210">
      <c r="A210" s="23"/>
      <c r="B210" s="20"/>
      <c r="C210" s="19">
        <f>IF($B210="","",IFERROR(VLOOKUP($B210,'Catálogo'!$A:$B,2,FALSE),"⚠ Código no existe"))</f>
      </c>
      <c r="D210" s="21"/>
      <c r="E210" s="20"/>
      <c r="F210" s="20"/>
      <c r="G210" s="19">
        <f>IF($B210="","",$B210&amp;"|"&amp;$E210)</f>
      </c>
      <c r="H210" s="19">
        <f>IF($B210="","",$B210&amp;"|"&amp;$F210)</f>
      </c>
    </row>
    <row r="211">
      <c r="A211" s="23"/>
      <c r="B211" s="20"/>
      <c r="C211" s="19">
        <f>IF($B211="","",IFERROR(VLOOKUP($B211,'Catálogo'!$A:$B,2,FALSE),"⚠ Código no existe"))</f>
      </c>
      <c r="D211" s="21"/>
      <c r="E211" s="20"/>
      <c r="F211" s="20"/>
      <c r="G211" s="19">
        <f>IF($B211="","",$B211&amp;"|"&amp;$E211)</f>
      </c>
      <c r="H211" s="19">
        <f>IF($B211="","",$B211&amp;"|"&amp;$F211)</f>
      </c>
    </row>
    <row r="212">
      <c r="A212" s="23"/>
      <c r="B212" s="20"/>
      <c r="C212" s="19">
        <f>IF($B212="","",IFERROR(VLOOKUP($B212,'Catálogo'!$A:$B,2,FALSE),"⚠ Código no existe"))</f>
      </c>
      <c r="D212" s="21"/>
      <c r="E212" s="20"/>
      <c r="F212" s="20"/>
      <c r="G212" s="19">
        <f>IF($B212="","",$B212&amp;"|"&amp;$E212)</f>
      </c>
      <c r="H212" s="19">
        <f>IF($B212="","",$B212&amp;"|"&amp;$F212)</f>
      </c>
    </row>
    <row r="213">
      <c r="A213" s="23"/>
      <c r="B213" s="20"/>
      <c r="C213" s="19">
        <f>IF($B213="","",IFERROR(VLOOKUP($B213,'Catálogo'!$A:$B,2,FALSE),"⚠ Código no existe"))</f>
      </c>
      <c r="D213" s="21"/>
      <c r="E213" s="20"/>
      <c r="F213" s="20"/>
      <c r="G213" s="19">
        <f>IF($B213="","",$B213&amp;"|"&amp;$E213)</f>
      </c>
      <c r="H213" s="19">
        <f>IF($B213="","",$B213&amp;"|"&amp;$F213)</f>
      </c>
    </row>
    <row r="214">
      <c r="A214" s="23"/>
      <c r="B214" s="20"/>
      <c r="C214" s="19">
        <f>IF($B214="","",IFERROR(VLOOKUP($B214,'Catálogo'!$A:$B,2,FALSE),"⚠ Código no existe"))</f>
      </c>
      <c r="D214" s="21"/>
      <c r="E214" s="20"/>
      <c r="F214" s="20"/>
      <c r="G214" s="19">
        <f>IF($B214="","",$B214&amp;"|"&amp;$E214)</f>
      </c>
      <c r="H214" s="19">
        <f>IF($B214="","",$B214&amp;"|"&amp;$F214)</f>
      </c>
    </row>
    <row r="215">
      <c r="A215" s="23"/>
      <c r="B215" s="20"/>
      <c r="C215" s="19">
        <f>IF($B215="","",IFERROR(VLOOKUP($B215,'Catálogo'!$A:$B,2,FALSE),"⚠ Código no existe"))</f>
      </c>
      <c r="D215" s="21"/>
      <c r="E215" s="20"/>
      <c r="F215" s="20"/>
      <c r="G215" s="19">
        <f>IF($B215="","",$B215&amp;"|"&amp;$E215)</f>
      </c>
      <c r="H215" s="19">
        <f>IF($B215="","",$B215&amp;"|"&amp;$F215)</f>
      </c>
    </row>
    <row r="216">
      <c r="A216" s="23"/>
      <c r="B216" s="20"/>
      <c r="C216" s="19">
        <f>IF($B216="","",IFERROR(VLOOKUP($B216,'Catálogo'!$A:$B,2,FALSE),"⚠ Código no existe"))</f>
      </c>
      <c r="D216" s="21"/>
      <c r="E216" s="20"/>
      <c r="F216" s="20"/>
      <c r="G216" s="19">
        <f>IF($B216="","",$B216&amp;"|"&amp;$E216)</f>
      </c>
      <c r="H216" s="19">
        <f>IF($B216="","",$B216&amp;"|"&amp;$F216)</f>
      </c>
    </row>
    <row r="217">
      <c r="A217" s="23"/>
      <c r="B217" s="20"/>
      <c r="C217" s="19">
        <f>IF($B217="","",IFERROR(VLOOKUP($B217,'Catálogo'!$A:$B,2,FALSE),"⚠ Código no existe"))</f>
      </c>
      <c r="D217" s="21"/>
      <c r="E217" s="20"/>
      <c r="F217" s="20"/>
      <c r="G217" s="19">
        <f>IF($B217="","",$B217&amp;"|"&amp;$E217)</f>
      </c>
      <c r="H217" s="19">
        <f>IF($B217="","",$B217&amp;"|"&amp;$F217)</f>
      </c>
    </row>
    <row r="218">
      <c r="A218" s="23"/>
      <c r="B218" s="20"/>
      <c r="C218" s="19">
        <f>IF($B218="","",IFERROR(VLOOKUP($B218,'Catálogo'!$A:$B,2,FALSE),"⚠ Código no existe"))</f>
      </c>
      <c r="D218" s="21"/>
      <c r="E218" s="20"/>
      <c r="F218" s="20"/>
      <c r="G218" s="19">
        <f>IF($B218="","",$B218&amp;"|"&amp;$E218)</f>
      </c>
      <c r="H218" s="19">
        <f>IF($B218="","",$B218&amp;"|"&amp;$F218)</f>
      </c>
    </row>
    <row r="219">
      <c r="A219" s="23"/>
      <c r="B219" s="20"/>
      <c r="C219" s="19">
        <f>IF($B219="","",IFERROR(VLOOKUP($B219,'Catálogo'!$A:$B,2,FALSE),"⚠ Código no existe"))</f>
      </c>
      <c r="D219" s="21"/>
      <c r="E219" s="20"/>
      <c r="F219" s="20"/>
      <c r="G219" s="19">
        <f>IF($B219="","",$B219&amp;"|"&amp;$E219)</f>
      </c>
      <c r="H219" s="19">
        <f>IF($B219="","",$B219&amp;"|"&amp;$F219)</f>
      </c>
    </row>
    <row r="220">
      <c r="A220" s="23"/>
      <c r="B220" s="20"/>
      <c r="C220" s="19">
        <f>IF($B220="","",IFERROR(VLOOKUP($B220,'Catálogo'!$A:$B,2,FALSE),"⚠ Código no existe"))</f>
      </c>
      <c r="D220" s="21"/>
      <c r="E220" s="20"/>
      <c r="F220" s="20"/>
      <c r="G220" s="19">
        <f>IF($B220="","",$B220&amp;"|"&amp;$E220)</f>
      </c>
      <c r="H220" s="19">
        <f>IF($B220="","",$B220&amp;"|"&amp;$F220)</f>
      </c>
    </row>
    <row r="221">
      <c r="A221" s="23"/>
      <c r="B221" s="20"/>
      <c r="C221" s="19">
        <f>IF($B221="","",IFERROR(VLOOKUP($B221,'Catálogo'!$A:$B,2,FALSE),"⚠ Código no existe"))</f>
      </c>
      <c r="D221" s="21"/>
      <c r="E221" s="20"/>
      <c r="F221" s="20"/>
      <c r="G221" s="19">
        <f>IF($B221="","",$B221&amp;"|"&amp;$E221)</f>
      </c>
      <c r="H221" s="19">
        <f>IF($B221="","",$B221&amp;"|"&amp;$F221)</f>
      </c>
    </row>
    <row r="222">
      <c r="A222" s="23"/>
      <c r="B222" s="20"/>
      <c r="C222" s="19">
        <f>IF($B222="","",IFERROR(VLOOKUP($B222,'Catálogo'!$A:$B,2,FALSE),"⚠ Código no existe"))</f>
      </c>
      <c r="D222" s="21"/>
      <c r="E222" s="20"/>
      <c r="F222" s="20"/>
      <c r="G222" s="19">
        <f>IF($B222="","",$B222&amp;"|"&amp;$E222)</f>
      </c>
      <c r="H222" s="19">
        <f>IF($B222="","",$B222&amp;"|"&amp;$F222)</f>
      </c>
    </row>
    <row r="223">
      <c r="A223" s="23"/>
      <c r="B223" s="20"/>
      <c r="C223" s="19">
        <f>IF($B223="","",IFERROR(VLOOKUP($B223,'Catálogo'!$A:$B,2,FALSE),"⚠ Código no existe"))</f>
      </c>
      <c r="D223" s="21"/>
      <c r="E223" s="20"/>
      <c r="F223" s="20"/>
      <c r="G223" s="19">
        <f>IF($B223="","",$B223&amp;"|"&amp;$E223)</f>
      </c>
      <c r="H223" s="19">
        <f>IF($B223="","",$B223&amp;"|"&amp;$F223)</f>
      </c>
    </row>
    <row r="224">
      <c r="A224" s="23"/>
      <c r="B224" s="20"/>
      <c r="C224" s="19">
        <f>IF($B224="","",IFERROR(VLOOKUP($B224,'Catálogo'!$A:$B,2,FALSE),"⚠ Código no existe"))</f>
      </c>
      <c r="D224" s="21"/>
      <c r="E224" s="20"/>
      <c r="F224" s="20"/>
      <c r="G224" s="19">
        <f>IF($B224="","",$B224&amp;"|"&amp;$E224)</f>
      </c>
      <c r="H224" s="19">
        <f>IF($B224="","",$B224&amp;"|"&amp;$F224)</f>
      </c>
    </row>
    <row r="225">
      <c r="A225" s="23"/>
      <c r="B225" s="20"/>
      <c r="C225" s="19">
        <f>IF($B225="","",IFERROR(VLOOKUP($B225,'Catálogo'!$A:$B,2,FALSE),"⚠ Código no existe"))</f>
      </c>
      <c r="D225" s="21"/>
      <c r="E225" s="20"/>
      <c r="F225" s="20"/>
      <c r="G225" s="19">
        <f>IF($B225="","",$B225&amp;"|"&amp;$E225)</f>
      </c>
      <c r="H225" s="19">
        <f>IF($B225="","",$B225&amp;"|"&amp;$F225)</f>
      </c>
    </row>
    <row r="226">
      <c r="A226" s="23"/>
      <c r="B226" s="20"/>
      <c r="C226" s="19">
        <f>IF($B226="","",IFERROR(VLOOKUP($B226,'Catálogo'!$A:$B,2,FALSE),"⚠ Código no existe"))</f>
      </c>
      <c r="D226" s="21"/>
      <c r="E226" s="20"/>
      <c r="F226" s="20"/>
      <c r="G226" s="19">
        <f>IF($B226="","",$B226&amp;"|"&amp;$E226)</f>
      </c>
      <c r="H226" s="19">
        <f>IF($B226="","",$B226&amp;"|"&amp;$F226)</f>
      </c>
    </row>
    <row r="227">
      <c r="A227" s="23"/>
      <c r="B227" s="20"/>
      <c r="C227" s="19">
        <f>IF($B227="","",IFERROR(VLOOKUP($B227,'Catálogo'!$A:$B,2,FALSE),"⚠ Código no existe"))</f>
      </c>
      <c r="D227" s="21"/>
      <c r="E227" s="20"/>
      <c r="F227" s="20"/>
      <c r="G227" s="19">
        <f>IF($B227="","",$B227&amp;"|"&amp;$E227)</f>
      </c>
      <c r="H227" s="19">
        <f>IF($B227="","",$B227&amp;"|"&amp;$F227)</f>
      </c>
    </row>
    <row r="228">
      <c r="A228" s="23"/>
      <c r="B228" s="20"/>
      <c r="C228" s="19">
        <f>IF($B228="","",IFERROR(VLOOKUP($B228,'Catálogo'!$A:$B,2,FALSE),"⚠ Código no existe"))</f>
      </c>
      <c r="D228" s="21"/>
      <c r="E228" s="20"/>
      <c r="F228" s="20"/>
      <c r="G228" s="19">
        <f>IF($B228="","",$B228&amp;"|"&amp;$E228)</f>
      </c>
      <c r="H228" s="19">
        <f>IF($B228="","",$B228&amp;"|"&amp;$F228)</f>
      </c>
    </row>
    <row r="229">
      <c r="A229" s="23"/>
      <c r="B229" s="20"/>
      <c r="C229" s="19">
        <f>IF($B229="","",IFERROR(VLOOKUP($B229,'Catálogo'!$A:$B,2,FALSE),"⚠ Código no existe"))</f>
      </c>
      <c r="D229" s="21"/>
      <c r="E229" s="20"/>
      <c r="F229" s="20"/>
      <c r="G229" s="19">
        <f>IF($B229="","",$B229&amp;"|"&amp;$E229)</f>
      </c>
      <c r="H229" s="19">
        <f>IF($B229="","",$B229&amp;"|"&amp;$F229)</f>
      </c>
    </row>
    <row r="230">
      <c r="A230" s="23"/>
      <c r="B230" s="20"/>
      <c r="C230" s="19">
        <f>IF($B230="","",IFERROR(VLOOKUP($B230,'Catálogo'!$A:$B,2,FALSE),"⚠ Código no existe"))</f>
      </c>
      <c r="D230" s="21"/>
      <c r="E230" s="20"/>
      <c r="F230" s="20"/>
      <c r="G230" s="19">
        <f>IF($B230="","",$B230&amp;"|"&amp;$E230)</f>
      </c>
      <c r="H230" s="19">
        <f>IF($B230="","",$B230&amp;"|"&amp;$F230)</f>
      </c>
    </row>
    <row r="231">
      <c r="A231" s="23"/>
      <c r="B231" s="20"/>
      <c r="C231" s="19">
        <f>IF($B231="","",IFERROR(VLOOKUP($B231,'Catálogo'!$A:$B,2,FALSE),"⚠ Código no existe"))</f>
      </c>
      <c r="D231" s="21"/>
      <c r="E231" s="20"/>
      <c r="F231" s="20"/>
      <c r="G231" s="19">
        <f>IF($B231="","",$B231&amp;"|"&amp;$E231)</f>
      </c>
      <c r="H231" s="19">
        <f>IF($B231="","",$B231&amp;"|"&amp;$F231)</f>
      </c>
    </row>
    <row r="232">
      <c r="A232" s="23"/>
      <c r="B232" s="20"/>
      <c r="C232" s="19">
        <f>IF($B232="","",IFERROR(VLOOKUP($B232,'Catálogo'!$A:$B,2,FALSE),"⚠ Código no existe"))</f>
      </c>
      <c r="D232" s="21"/>
      <c r="E232" s="20"/>
      <c r="F232" s="20"/>
      <c r="G232" s="19">
        <f>IF($B232="","",$B232&amp;"|"&amp;$E232)</f>
      </c>
      <c r="H232" s="19">
        <f>IF($B232="","",$B232&amp;"|"&amp;$F232)</f>
      </c>
    </row>
    <row r="233">
      <c r="A233" s="23"/>
      <c r="B233" s="20"/>
      <c r="C233" s="19">
        <f>IF($B233="","",IFERROR(VLOOKUP($B233,'Catálogo'!$A:$B,2,FALSE),"⚠ Código no existe"))</f>
      </c>
      <c r="D233" s="21"/>
      <c r="E233" s="20"/>
      <c r="F233" s="20"/>
      <c r="G233" s="19">
        <f>IF($B233="","",$B233&amp;"|"&amp;$E233)</f>
      </c>
      <c r="H233" s="19">
        <f>IF($B233="","",$B233&amp;"|"&amp;$F233)</f>
      </c>
    </row>
    <row r="234">
      <c r="A234" s="23"/>
      <c r="B234" s="20"/>
      <c r="C234" s="19">
        <f>IF($B234="","",IFERROR(VLOOKUP($B234,'Catálogo'!$A:$B,2,FALSE),"⚠ Código no existe"))</f>
      </c>
      <c r="D234" s="21"/>
      <c r="E234" s="20"/>
      <c r="F234" s="20"/>
      <c r="G234" s="19">
        <f>IF($B234="","",$B234&amp;"|"&amp;$E234)</f>
      </c>
      <c r="H234" s="19">
        <f>IF($B234="","",$B234&amp;"|"&amp;$F234)</f>
      </c>
    </row>
    <row r="235">
      <c r="A235" s="23"/>
      <c r="B235" s="20"/>
      <c r="C235" s="19">
        <f>IF($B235="","",IFERROR(VLOOKUP($B235,'Catálogo'!$A:$B,2,FALSE),"⚠ Código no existe"))</f>
      </c>
      <c r="D235" s="21"/>
      <c r="E235" s="20"/>
      <c r="F235" s="20"/>
      <c r="G235" s="19">
        <f>IF($B235="","",$B235&amp;"|"&amp;$E235)</f>
      </c>
      <c r="H235" s="19">
        <f>IF($B235="","",$B235&amp;"|"&amp;$F235)</f>
      </c>
    </row>
    <row r="236">
      <c r="A236" s="23"/>
      <c r="B236" s="20"/>
      <c r="C236" s="19">
        <f>IF($B236="","",IFERROR(VLOOKUP($B236,'Catálogo'!$A:$B,2,FALSE),"⚠ Código no existe"))</f>
      </c>
      <c r="D236" s="21"/>
      <c r="E236" s="20"/>
      <c r="F236" s="20"/>
      <c r="G236" s="19">
        <f>IF($B236="","",$B236&amp;"|"&amp;$E236)</f>
      </c>
      <c r="H236" s="19">
        <f>IF($B236="","",$B236&amp;"|"&amp;$F236)</f>
      </c>
    </row>
    <row r="237">
      <c r="A237" s="23"/>
      <c r="B237" s="20"/>
      <c r="C237" s="19">
        <f>IF($B237="","",IFERROR(VLOOKUP($B237,'Catálogo'!$A:$B,2,FALSE),"⚠ Código no existe"))</f>
      </c>
      <c r="D237" s="21"/>
      <c r="E237" s="20"/>
      <c r="F237" s="20"/>
      <c r="G237" s="19">
        <f>IF($B237="","",$B237&amp;"|"&amp;$E237)</f>
      </c>
      <c r="H237" s="19">
        <f>IF($B237="","",$B237&amp;"|"&amp;$F237)</f>
      </c>
    </row>
    <row r="238">
      <c r="A238" s="23"/>
      <c r="B238" s="20"/>
      <c r="C238" s="19">
        <f>IF($B238="","",IFERROR(VLOOKUP($B238,'Catálogo'!$A:$B,2,FALSE),"⚠ Código no existe"))</f>
      </c>
      <c r="D238" s="21"/>
      <c r="E238" s="20"/>
      <c r="F238" s="20"/>
      <c r="G238" s="19">
        <f>IF($B238="","",$B238&amp;"|"&amp;$E238)</f>
      </c>
      <c r="H238" s="19">
        <f>IF($B238="","",$B238&amp;"|"&amp;$F238)</f>
      </c>
    </row>
    <row r="239">
      <c r="A239" s="23"/>
      <c r="B239" s="20"/>
      <c r="C239" s="19">
        <f>IF($B239="","",IFERROR(VLOOKUP($B239,'Catálogo'!$A:$B,2,FALSE),"⚠ Código no existe"))</f>
      </c>
      <c r="D239" s="21"/>
      <c r="E239" s="20"/>
      <c r="F239" s="20"/>
      <c r="G239" s="19">
        <f>IF($B239="","",$B239&amp;"|"&amp;$E239)</f>
      </c>
      <c r="H239" s="19">
        <f>IF($B239="","",$B239&amp;"|"&amp;$F239)</f>
      </c>
    </row>
    <row r="240">
      <c r="A240" s="23"/>
      <c r="B240" s="20"/>
      <c r="C240" s="19">
        <f>IF($B240="","",IFERROR(VLOOKUP($B240,'Catálogo'!$A:$B,2,FALSE),"⚠ Código no existe"))</f>
      </c>
      <c r="D240" s="21"/>
      <c r="E240" s="20"/>
      <c r="F240" s="20"/>
      <c r="G240" s="19">
        <f>IF($B240="","",$B240&amp;"|"&amp;$E240)</f>
      </c>
      <c r="H240" s="19">
        <f>IF($B240="","",$B240&amp;"|"&amp;$F240)</f>
      </c>
    </row>
    <row r="241">
      <c r="A241" s="23"/>
      <c r="B241" s="20"/>
      <c r="C241" s="19">
        <f>IF($B241="","",IFERROR(VLOOKUP($B241,'Catálogo'!$A:$B,2,FALSE),"⚠ Código no existe"))</f>
      </c>
      <c r="D241" s="21"/>
      <c r="E241" s="20"/>
      <c r="F241" s="20"/>
      <c r="G241" s="19">
        <f>IF($B241="","",$B241&amp;"|"&amp;$E241)</f>
      </c>
      <c r="H241" s="19">
        <f>IF($B241="","",$B241&amp;"|"&amp;$F241)</f>
      </c>
    </row>
    <row r="242">
      <c r="A242" s="23"/>
      <c r="B242" s="20"/>
      <c r="C242" s="19">
        <f>IF($B242="","",IFERROR(VLOOKUP($B242,'Catálogo'!$A:$B,2,FALSE),"⚠ Código no existe"))</f>
      </c>
      <c r="D242" s="21"/>
      <c r="E242" s="20"/>
      <c r="F242" s="20"/>
      <c r="G242" s="19">
        <f>IF($B242="","",$B242&amp;"|"&amp;$E242)</f>
      </c>
      <c r="H242" s="19">
        <f>IF($B242="","",$B242&amp;"|"&amp;$F242)</f>
      </c>
    </row>
    <row r="243">
      <c r="A243" s="23"/>
      <c r="B243" s="20"/>
      <c r="C243" s="19">
        <f>IF($B243="","",IFERROR(VLOOKUP($B243,'Catálogo'!$A:$B,2,FALSE),"⚠ Código no existe"))</f>
      </c>
      <c r="D243" s="21"/>
      <c r="E243" s="20"/>
      <c r="F243" s="20"/>
      <c r="G243" s="19">
        <f>IF($B243="","",$B243&amp;"|"&amp;$E243)</f>
      </c>
      <c r="H243" s="19">
        <f>IF($B243="","",$B243&amp;"|"&amp;$F243)</f>
      </c>
    </row>
    <row r="244">
      <c r="A244" s="23"/>
      <c r="B244" s="20"/>
      <c r="C244" s="19">
        <f>IF($B244="","",IFERROR(VLOOKUP($B244,'Catálogo'!$A:$B,2,FALSE),"⚠ Código no existe"))</f>
      </c>
      <c r="D244" s="21"/>
      <c r="E244" s="20"/>
      <c r="F244" s="20"/>
      <c r="G244" s="19">
        <f>IF($B244="","",$B244&amp;"|"&amp;$E244)</f>
      </c>
      <c r="H244" s="19">
        <f>IF($B244="","",$B244&amp;"|"&amp;$F244)</f>
      </c>
    </row>
    <row r="245">
      <c r="A245" s="23"/>
      <c r="B245" s="20"/>
      <c r="C245" s="19">
        <f>IF($B245="","",IFERROR(VLOOKUP($B245,'Catálogo'!$A:$B,2,FALSE),"⚠ Código no existe"))</f>
      </c>
      <c r="D245" s="21"/>
      <c r="E245" s="20"/>
      <c r="F245" s="20"/>
      <c r="G245" s="19">
        <f>IF($B245="","",$B245&amp;"|"&amp;$E245)</f>
      </c>
      <c r="H245" s="19">
        <f>IF($B245="","",$B245&amp;"|"&amp;$F245)</f>
      </c>
    </row>
    <row r="246">
      <c r="A246" s="23"/>
      <c r="B246" s="20"/>
      <c r="C246" s="19">
        <f>IF($B246="","",IFERROR(VLOOKUP($B246,'Catálogo'!$A:$B,2,FALSE),"⚠ Código no existe"))</f>
      </c>
      <c r="D246" s="21"/>
      <c r="E246" s="20"/>
      <c r="F246" s="20"/>
      <c r="G246" s="19">
        <f>IF($B246="","",$B246&amp;"|"&amp;$E246)</f>
      </c>
      <c r="H246" s="19">
        <f>IF($B246="","",$B246&amp;"|"&amp;$F246)</f>
      </c>
    </row>
    <row r="247">
      <c r="A247" s="23"/>
      <c r="B247" s="20"/>
      <c r="C247" s="19">
        <f>IF($B247="","",IFERROR(VLOOKUP($B247,'Catálogo'!$A:$B,2,FALSE),"⚠ Código no existe"))</f>
      </c>
      <c r="D247" s="21"/>
      <c r="E247" s="20"/>
      <c r="F247" s="20"/>
      <c r="G247" s="19">
        <f>IF($B247="","",$B247&amp;"|"&amp;$E247)</f>
      </c>
      <c r="H247" s="19">
        <f>IF($B247="","",$B247&amp;"|"&amp;$F247)</f>
      </c>
    </row>
    <row r="248">
      <c r="A248" s="23"/>
      <c r="B248" s="20"/>
      <c r="C248" s="19">
        <f>IF($B248="","",IFERROR(VLOOKUP($B248,'Catálogo'!$A:$B,2,FALSE),"⚠ Código no existe"))</f>
      </c>
      <c r="D248" s="21"/>
      <c r="E248" s="20"/>
      <c r="F248" s="20"/>
      <c r="G248" s="19">
        <f>IF($B248="","",$B248&amp;"|"&amp;$E248)</f>
      </c>
      <c r="H248" s="19">
        <f>IF($B248="","",$B248&amp;"|"&amp;$F248)</f>
      </c>
    </row>
    <row r="249">
      <c r="A249" s="23"/>
      <c r="B249" s="20"/>
      <c r="C249" s="19">
        <f>IF($B249="","",IFERROR(VLOOKUP($B249,'Catálogo'!$A:$B,2,FALSE),"⚠ Código no existe"))</f>
      </c>
      <c r="D249" s="21"/>
      <c r="E249" s="20"/>
      <c r="F249" s="20"/>
      <c r="G249" s="19">
        <f>IF($B249="","",$B249&amp;"|"&amp;$E249)</f>
      </c>
      <c r="H249" s="19">
        <f>IF($B249="","",$B249&amp;"|"&amp;$F249)</f>
      </c>
    </row>
    <row r="250">
      <c r="A250" s="23"/>
      <c r="B250" s="20"/>
      <c r="C250" s="19">
        <f>IF($B250="","",IFERROR(VLOOKUP($B250,'Catálogo'!$A:$B,2,FALSE),"⚠ Código no existe"))</f>
      </c>
      <c r="D250" s="21"/>
      <c r="E250" s="20"/>
      <c r="F250" s="20"/>
      <c r="G250" s="19">
        <f>IF($B250="","",$B250&amp;"|"&amp;$E250)</f>
      </c>
      <c r="H250" s="19">
        <f>IF($B250="","",$B250&amp;"|"&amp;$F250)</f>
      </c>
    </row>
    <row r="251">
      <c r="A251" s="23"/>
      <c r="B251" s="20"/>
      <c r="C251" s="19">
        <f>IF($B251="","",IFERROR(VLOOKUP($B251,'Catálogo'!$A:$B,2,FALSE),"⚠ Código no existe"))</f>
      </c>
      <c r="D251" s="21"/>
      <c r="E251" s="20"/>
      <c r="F251" s="20"/>
      <c r="G251" s="19">
        <f>IF($B251="","",$B251&amp;"|"&amp;$E251)</f>
      </c>
      <c r="H251" s="19">
        <f>IF($B251="","",$B251&amp;"|"&amp;$F251)</f>
      </c>
    </row>
    <row r="252">
      <c r="A252" s="23"/>
      <c r="B252" s="20"/>
      <c r="C252" s="19">
        <f>IF($B252="","",IFERROR(VLOOKUP($B252,'Catálogo'!$A:$B,2,FALSE),"⚠ Código no existe"))</f>
      </c>
      <c r="D252" s="21"/>
      <c r="E252" s="20"/>
      <c r="F252" s="20"/>
      <c r="G252" s="19">
        <f>IF($B252="","",$B252&amp;"|"&amp;$E252)</f>
      </c>
      <c r="H252" s="19">
        <f>IF($B252="","",$B252&amp;"|"&amp;$F252)</f>
      </c>
    </row>
    <row r="253">
      <c r="A253" s="23"/>
      <c r="B253" s="20"/>
      <c r="C253" s="19">
        <f>IF($B253="","",IFERROR(VLOOKUP($B253,'Catálogo'!$A:$B,2,FALSE),"⚠ Código no existe"))</f>
      </c>
      <c r="D253" s="21"/>
      <c r="E253" s="20"/>
      <c r="F253" s="20"/>
      <c r="G253" s="19">
        <f>IF($B253="","",$B253&amp;"|"&amp;$E253)</f>
      </c>
      <c r="H253" s="19">
        <f>IF($B253="","",$B253&amp;"|"&amp;$F253)</f>
      </c>
    </row>
    <row r="254">
      <c r="A254" s="23"/>
      <c r="B254" s="20"/>
      <c r="C254" s="19">
        <f>IF($B254="","",IFERROR(VLOOKUP($B254,'Catálogo'!$A:$B,2,FALSE),"⚠ Código no existe"))</f>
      </c>
      <c r="D254" s="21"/>
      <c r="E254" s="20"/>
      <c r="F254" s="20"/>
      <c r="G254" s="19">
        <f>IF($B254="","",$B254&amp;"|"&amp;$E254)</f>
      </c>
      <c r="H254" s="19">
        <f>IF($B254="","",$B254&amp;"|"&amp;$F254)</f>
      </c>
    </row>
    <row r="255">
      <c r="A255" s="23"/>
      <c r="B255" s="20"/>
      <c r="C255" s="19">
        <f>IF($B255="","",IFERROR(VLOOKUP($B255,'Catálogo'!$A:$B,2,FALSE),"⚠ Código no existe"))</f>
      </c>
      <c r="D255" s="21"/>
      <c r="E255" s="20"/>
      <c r="F255" s="20"/>
      <c r="G255" s="19">
        <f>IF($B255="","",$B255&amp;"|"&amp;$E255)</f>
      </c>
      <c r="H255" s="19">
        <f>IF($B255="","",$B255&amp;"|"&amp;$F255)</f>
      </c>
    </row>
    <row r="256">
      <c r="A256" s="23"/>
      <c r="B256" s="20"/>
      <c r="C256" s="19">
        <f>IF($B256="","",IFERROR(VLOOKUP($B256,'Catálogo'!$A:$B,2,FALSE),"⚠ Código no existe"))</f>
      </c>
      <c r="D256" s="21"/>
      <c r="E256" s="20"/>
      <c r="F256" s="20"/>
      <c r="G256" s="19">
        <f>IF($B256="","",$B256&amp;"|"&amp;$E256)</f>
      </c>
      <c r="H256" s="19">
        <f>IF($B256="","",$B256&amp;"|"&amp;$F256)</f>
      </c>
    </row>
    <row r="257">
      <c r="A257" s="23"/>
      <c r="B257" s="20"/>
      <c r="C257" s="19">
        <f>IF($B257="","",IFERROR(VLOOKUP($B257,'Catálogo'!$A:$B,2,FALSE),"⚠ Código no existe"))</f>
      </c>
      <c r="D257" s="21"/>
      <c r="E257" s="20"/>
      <c r="F257" s="20"/>
      <c r="G257" s="19">
        <f>IF($B257="","",$B257&amp;"|"&amp;$E257)</f>
      </c>
      <c r="H257" s="19">
        <f>IF($B257="","",$B257&amp;"|"&amp;$F257)</f>
      </c>
    </row>
    <row r="258">
      <c r="A258" s="23"/>
      <c r="B258" s="20"/>
      <c r="C258" s="19">
        <f>IF($B258="","",IFERROR(VLOOKUP($B258,'Catálogo'!$A:$B,2,FALSE),"⚠ Código no existe"))</f>
      </c>
      <c r="D258" s="21"/>
      <c r="E258" s="20"/>
      <c r="F258" s="20"/>
      <c r="G258" s="19">
        <f>IF($B258="","",$B258&amp;"|"&amp;$E258)</f>
      </c>
      <c r="H258" s="19">
        <f>IF($B258="","",$B258&amp;"|"&amp;$F258)</f>
      </c>
    </row>
    <row r="259">
      <c r="A259" s="23"/>
      <c r="B259" s="20"/>
      <c r="C259" s="19">
        <f>IF($B259="","",IFERROR(VLOOKUP($B259,'Catálogo'!$A:$B,2,FALSE),"⚠ Código no existe"))</f>
      </c>
      <c r="D259" s="21"/>
      <c r="E259" s="20"/>
      <c r="F259" s="20"/>
      <c r="G259" s="19">
        <f>IF($B259="","",$B259&amp;"|"&amp;$E259)</f>
      </c>
      <c r="H259" s="19">
        <f>IF($B259="","",$B259&amp;"|"&amp;$F259)</f>
      </c>
    </row>
    <row r="260">
      <c r="A260" s="23"/>
      <c r="B260" s="20"/>
      <c r="C260" s="19">
        <f>IF($B260="","",IFERROR(VLOOKUP($B260,'Catálogo'!$A:$B,2,FALSE),"⚠ Código no existe"))</f>
      </c>
      <c r="D260" s="21"/>
      <c r="E260" s="20"/>
      <c r="F260" s="20"/>
      <c r="G260" s="19">
        <f>IF($B260="","",$B260&amp;"|"&amp;$E260)</f>
      </c>
      <c r="H260" s="19">
        <f>IF($B260="","",$B260&amp;"|"&amp;$F260)</f>
      </c>
    </row>
    <row r="261">
      <c r="A261" s="23"/>
      <c r="B261" s="20"/>
      <c r="C261" s="19">
        <f>IF($B261="","",IFERROR(VLOOKUP($B261,'Catálogo'!$A:$B,2,FALSE),"⚠ Código no existe"))</f>
      </c>
      <c r="D261" s="21"/>
      <c r="E261" s="20"/>
      <c r="F261" s="20"/>
      <c r="G261" s="19">
        <f>IF($B261="","",$B261&amp;"|"&amp;$E261)</f>
      </c>
      <c r="H261" s="19">
        <f>IF($B261="","",$B261&amp;"|"&amp;$F261)</f>
      </c>
    </row>
    <row r="262">
      <c r="A262" s="23"/>
      <c r="B262" s="20"/>
      <c r="C262" s="19">
        <f>IF($B262="","",IFERROR(VLOOKUP($B262,'Catálogo'!$A:$B,2,FALSE),"⚠ Código no existe"))</f>
      </c>
      <c r="D262" s="21"/>
      <c r="E262" s="20"/>
      <c r="F262" s="20"/>
      <c r="G262" s="19">
        <f>IF($B262="","",$B262&amp;"|"&amp;$E262)</f>
      </c>
      <c r="H262" s="19">
        <f>IF($B262="","",$B262&amp;"|"&amp;$F262)</f>
      </c>
    </row>
    <row r="263">
      <c r="A263" s="23"/>
      <c r="B263" s="20"/>
      <c r="C263" s="19">
        <f>IF($B263="","",IFERROR(VLOOKUP($B263,'Catálogo'!$A:$B,2,FALSE),"⚠ Código no existe"))</f>
      </c>
      <c r="D263" s="21"/>
      <c r="E263" s="20"/>
      <c r="F263" s="20"/>
      <c r="G263" s="19">
        <f>IF($B263="","",$B263&amp;"|"&amp;$E263)</f>
      </c>
      <c r="H263" s="19">
        <f>IF($B263="","",$B263&amp;"|"&amp;$F263)</f>
      </c>
    </row>
    <row r="264">
      <c r="A264" s="23"/>
      <c r="B264" s="20"/>
      <c r="C264" s="19">
        <f>IF($B264="","",IFERROR(VLOOKUP($B264,'Catálogo'!$A:$B,2,FALSE),"⚠ Código no existe"))</f>
      </c>
      <c r="D264" s="21"/>
      <c r="E264" s="20"/>
      <c r="F264" s="20"/>
      <c r="G264" s="19">
        <f>IF($B264="","",$B264&amp;"|"&amp;$E264)</f>
      </c>
      <c r="H264" s="19">
        <f>IF($B264="","",$B264&amp;"|"&amp;$F264)</f>
      </c>
    </row>
    <row r="265">
      <c r="A265" s="23"/>
      <c r="B265" s="20"/>
      <c r="C265" s="19">
        <f>IF($B265="","",IFERROR(VLOOKUP($B265,'Catálogo'!$A:$B,2,FALSE),"⚠ Código no existe"))</f>
      </c>
      <c r="D265" s="21"/>
      <c r="E265" s="20"/>
      <c r="F265" s="20"/>
      <c r="G265" s="19">
        <f>IF($B265="","",$B265&amp;"|"&amp;$E265)</f>
      </c>
      <c r="H265" s="19">
        <f>IF($B265="","",$B265&amp;"|"&amp;$F265)</f>
      </c>
    </row>
    <row r="266">
      <c r="A266" s="23"/>
      <c r="B266" s="20"/>
      <c r="C266" s="19">
        <f>IF($B266="","",IFERROR(VLOOKUP($B266,'Catálogo'!$A:$B,2,FALSE),"⚠ Código no existe"))</f>
      </c>
      <c r="D266" s="21"/>
      <c r="E266" s="20"/>
      <c r="F266" s="20"/>
      <c r="G266" s="19">
        <f>IF($B266="","",$B266&amp;"|"&amp;$E266)</f>
      </c>
      <c r="H266" s="19">
        <f>IF($B266="","",$B266&amp;"|"&amp;$F266)</f>
      </c>
    </row>
    <row r="267">
      <c r="A267" s="23"/>
      <c r="B267" s="20"/>
      <c r="C267" s="19">
        <f>IF($B267="","",IFERROR(VLOOKUP($B267,'Catálogo'!$A:$B,2,FALSE),"⚠ Código no existe"))</f>
      </c>
      <c r="D267" s="21"/>
      <c r="E267" s="20"/>
      <c r="F267" s="20"/>
      <c r="G267" s="19">
        <f>IF($B267="","",$B267&amp;"|"&amp;$E267)</f>
      </c>
      <c r="H267" s="19">
        <f>IF($B267="","",$B267&amp;"|"&amp;$F267)</f>
      </c>
    </row>
    <row r="268">
      <c r="A268" s="23"/>
      <c r="B268" s="20"/>
      <c r="C268" s="19">
        <f>IF($B268="","",IFERROR(VLOOKUP($B268,'Catálogo'!$A:$B,2,FALSE),"⚠ Código no existe"))</f>
      </c>
      <c r="D268" s="21"/>
      <c r="E268" s="20"/>
      <c r="F268" s="20"/>
      <c r="G268" s="19">
        <f>IF($B268="","",$B268&amp;"|"&amp;$E268)</f>
      </c>
      <c r="H268" s="19">
        <f>IF($B268="","",$B268&amp;"|"&amp;$F268)</f>
      </c>
    </row>
    <row r="269">
      <c r="A269" s="23"/>
      <c r="B269" s="20"/>
      <c r="C269" s="19">
        <f>IF($B269="","",IFERROR(VLOOKUP($B269,'Catálogo'!$A:$B,2,FALSE),"⚠ Código no existe"))</f>
      </c>
      <c r="D269" s="21"/>
      <c r="E269" s="20"/>
      <c r="F269" s="20"/>
      <c r="G269" s="19">
        <f>IF($B269="","",$B269&amp;"|"&amp;$E269)</f>
      </c>
      <c r="H269" s="19">
        <f>IF($B269="","",$B269&amp;"|"&amp;$F269)</f>
      </c>
    </row>
    <row r="270">
      <c r="A270" s="23"/>
      <c r="B270" s="20"/>
      <c r="C270" s="19">
        <f>IF($B270="","",IFERROR(VLOOKUP($B270,'Catálogo'!$A:$B,2,FALSE),"⚠ Código no existe"))</f>
      </c>
      <c r="D270" s="21"/>
      <c r="E270" s="20"/>
      <c r="F270" s="20"/>
      <c r="G270" s="19">
        <f>IF($B270="","",$B270&amp;"|"&amp;$E270)</f>
      </c>
      <c r="H270" s="19">
        <f>IF($B270="","",$B270&amp;"|"&amp;$F270)</f>
      </c>
    </row>
    <row r="271">
      <c r="A271" s="23"/>
      <c r="B271" s="20"/>
      <c r="C271" s="19">
        <f>IF($B271="","",IFERROR(VLOOKUP($B271,'Catálogo'!$A:$B,2,FALSE),"⚠ Código no existe"))</f>
      </c>
      <c r="D271" s="21"/>
      <c r="E271" s="20"/>
      <c r="F271" s="20"/>
      <c r="G271" s="19">
        <f>IF($B271="","",$B271&amp;"|"&amp;$E271)</f>
      </c>
      <c r="H271" s="19">
        <f>IF($B271="","",$B271&amp;"|"&amp;$F271)</f>
      </c>
    </row>
    <row r="272">
      <c r="A272" s="23"/>
      <c r="B272" s="20"/>
      <c r="C272" s="19">
        <f>IF($B272="","",IFERROR(VLOOKUP($B272,'Catálogo'!$A:$B,2,FALSE),"⚠ Código no existe"))</f>
      </c>
      <c r="D272" s="21"/>
      <c r="E272" s="20"/>
      <c r="F272" s="20"/>
      <c r="G272" s="19">
        <f>IF($B272="","",$B272&amp;"|"&amp;$E272)</f>
      </c>
      <c r="H272" s="19">
        <f>IF($B272="","",$B272&amp;"|"&amp;$F272)</f>
      </c>
    </row>
    <row r="273">
      <c r="A273" s="23"/>
      <c r="B273" s="20"/>
      <c r="C273" s="19">
        <f>IF($B273="","",IFERROR(VLOOKUP($B273,'Catálogo'!$A:$B,2,FALSE),"⚠ Código no existe"))</f>
      </c>
      <c r="D273" s="21"/>
      <c r="E273" s="20"/>
      <c r="F273" s="20"/>
      <c r="G273" s="19">
        <f>IF($B273="","",$B273&amp;"|"&amp;$E273)</f>
      </c>
      <c r="H273" s="19">
        <f>IF($B273="","",$B273&amp;"|"&amp;$F273)</f>
      </c>
    </row>
    <row r="274">
      <c r="A274" s="23"/>
      <c r="B274" s="20"/>
      <c r="C274" s="19">
        <f>IF($B274="","",IFERROR(VLOOKUP($B274,'Catálogo'!$A:$B,2,FALSE),"⚠ Código no existe"))</f>
      </c>
      <c r="D274" s="21"/>
      <c r="E274" s="20"/>
      <c r="F274" s="20"/>
      <c r="G274" s="19">
        <f>IF($B274="","",$B274&amp;"|"&amp;$E274)</f>
      </c>
      <c r="H274" s="19">
        <f>IF($B274="","",$B274&amp;"|"&amp;$F274)</f>
      </c>
    </row>
    <row r="275">
      <c r="A275" s="23"/>
      <c r="B275" s="20"/>
      <c r="C275" s="19">
        <f>IF($B275="","",IFERROR(VLOOKUP($B275,'Catálogo'!$A:$B,2,FALSE),"⚠ Código no existe"))</f>
      </c>
      <c r="D275" s="21"/>
      <c r="E275" s="20"/>
      <c r="F275" s="20"/>
      <c r="G275" s="19">
        <f>IF($B275="","",$B275&amp;"|"&amp;$E275)</f>
      </c>
      <c r="H275" s="19">
        <f>IF($B275="","",$B275&amp;"|"&amp;$F275)</f>
      </c>
    </row>
    <row r="276">
      <c r="A276" s="23"/>
      <c r="B276" s="20"/>
      <c r="C276" s="19">
        <f>IF($B276="","",IFERROR(VLOOKUP($B276,'Catálogo'!$A:$B,2,FALSE),"⚠ Código no existe"))</f>
      </c>
      <c r="D276" s="21"/>
      <c r="E276" s="20"/>
      <c r="F276" s="20"/>
      <c r="G276" s="19">
        <f>IF($B276="","",$B276&amp;"|"&amp;$E276)</f>
      </c>
      <c r="H276" s="19">
        <f>IF($B276="","",$B276&amp;"|"&amp;$F276)</f>
      </c>
    </row>
    <row r="277">
      <c r="A277" s="23"/>
      <c r="B277" s="20"/>
      <c r="C277" s="19">
        <f>IF($B277="","",IFERROR(VLOOKUP($B277,'Catálogo'!$A:$B,2,FALSE),"⚠ Código no existe"))</f>
      </c>
      <c r="D277" s="21"/>
      <c r="E277" s="20"/>
      <c r="F277" s="20"/>
      <c r="G277" s="19">
        <f>IF($B277="","",$B277&amp;"|"&amp;$E277)</f>
      </c>
      <c r="H277" s="19">
        <f>IF($B277="","",$B277&amp;"|"&amp;$F277)</f>
      </c>
    </row>
    <row r="278">
      <c r="A278" s="23"/>
      <c r="B278" s="20"/>
      <c r="C278" s="19">
        <f>IF($B278="","",IFERROR(VLOOKUP($B278,'Catálogo'!$A:$B,2,FALSE),"⚠ Código no existe"))</f>
      </c>
      <c r="D278" s="21"/>
      <c r="E278" s="20"/>
      <c r="F278" s="20"/>
      <c r="G278" s="19">
        <f>IF($B278="","",$B278&amp;"|"&amp;$E278)</f>
      </c>
      <c r="H278" s="19">
        <f>IF($B278="","",$B278&amp;"|"&amp;$F278)</f>
      </c>
    </row>
    <row r="279">
      <c r="A279" s="23"/>
      <c r="B279" s="20"/>
      <c r="C279" s="19">
        <f>IF($B279="","",IFERROR(VLOOKUP($B279,'Catálogo'!$A:$B,2,FALSE),"⚠ Código no existe"))</f>
      </c>
      <c r="D279" s="21"/>
      <c r="E279" s="20"/>
      <c r="F279" s="20"/>
      <c r="G279" s="19">
        <f>IF($B279="","",$B279&amp;"|"&amp;$E279)</f>
      </c>
      <c r="H279" s="19">
        <f>IF($B279="","",$B279&amp;"|"&amp;$F279)</f>
      </c>
    </row>
    <row r="280">
      <c r="A280" s="23"/>
      <c r="B280" s="20"/>
      <c r="C280" s="19">
        <f>IF($B280="","",IFERROR(VLOOKUP($B280,'Catálogo'!$A:$B,2,FALSE),"⚠ Código no existe"))</f>
      </c>
      <c r="D280" s="21"/>
      <c r="E280" s="20"/>
      <c r="F280" s="20"/>
      <c r="G280" s="19">
        <f>IF($B280="","",$B280&amp;"|"&amp;$E280)</f>
      </c>
      <c r="H280" s="19">
        <f>IF($B280="","",$B280&amp;"|"&amp;$F280)</f>
      </c>
    </row>
    <row r="281">
      <c r="A281" s="23"/>
      <c r="B281" s="20"/>
      <c r="C281" s="19">
        <f>IF($B281="","",IFERROR(VLOOKUP($B281,'Catálogo'!$A:$B,2,FALSE),"⚠ Código no existe"))</f>
      </c>
      <c r="D281" s="21"/>
      <c r="E281" s="20"/>
      <c r="F281" s="20"/>
      <c r="G281" s="19">
        <f>IF($B281="","",$B281&amp;"|"&amp;$E281)</f>
      </c>
      <c r="H281" s="19">
        <f>IF($B281="","",$B281&amp;"|"&amp;$F281)</f>
      </c>
    </row>
    <row r="282">
      <c r="A282" s="23"/>
      <c r="B282" s="20"/>
      <c r="C282" s="19">
        <f>IF($B282="","",IFERROR(VLOOKUP($B282,'Catálogo'!$A:$B,2,FALSE),"⚠ Código no existe"))</f>
      </c>
      <c r="D282" s="21"/>
      <c r="E282" s="20"/>
      <c r="F282" s="20"/>
      <c r="G282" s="19">
        <f>IF($B282="","",$B282&amp;"|"&amp;$E282)</f>
      </c>
      <c r="H282" s="19">
        <f>IF($B282="","",$B282&amp;"|"&amp;$F282)</f>
      </c>
    </row>
    <row r="283">
      <c r="A283" s="23"/>
      <c r="B283" s="20"/>
      <c r="C283" s="19">
        <f>IF($B283="","",IFERROR(VLOOKUP($B283,'Catálogo'!$A:$B,2,FALSE),"⚠ Código no existe"))</f>
      </c>
      <c r="D283" s="21"/>
      <c r="E283" s="20"/>
      <c r="F283" s="20"/>
      <c r="G283" s="19">
        <f>IF($B283="","",$B283&amp;"|"&amp;$E283)</f>
      </c>
      <c r="H283" s="19">
        <f>IF($B283="","",$B283&amp;"|"&amp;$F283)</f>
      </c>
    </row>
    <row r="284">
      <c r="A284" s="23"/>
      <c r="B284" s="20"/>
      <c r="C284" s="19">
        <f>IF($B284="","",IFERROR(VLOOKUP($B284,'Catálogo'!$A:$B,2,FALSE),"⚠ Código no existe"))</f>
      </c>
      <c r="D284" s="21"/>
      <c r="E284" s="20"/>
      <c r="F284" s="20"/>
      <c r="G284" s="19">
        <f>IF($B284="","",$B284&amp;"|"&amp;$E284)</f>
      </c>
      <c r="H284" s="19">
        <f>IF($B284="","",$B284&amp;"|"&amp;$F284)</f>
      </c>
    </row>
    <row r="285">
      <c r="A285" s="23"/>
      <c r="B285" s="20"/>
      <c r="C285" s="19">
        <f>IF($B285="","",IFERROR(VLOOKUP($B285,'Catálogo'!$A:$B,2,FALSE),"⚠ Código no existe"))</f>
      </c>
      <c r="D285" s="21"/>
      <c r="E285" s="20"/>
      <c r="F285" s="20"/>
      <c r="G285" s="19">
        <f>IF($B285="","",$B285&amp;"|"&amp;$E285)</f>
      </c>
      <c r="H285" s="19">
        <f>IF($B285="","",$B285&amp;"|"&amp;$F285)</f>
      </c>
    </row>
    <row r="286">
      <c r="A286" s="23"/>
      <c r="B286" s="20"/>
      <c r="C286" s="19">
        <f>IF($B286="","",IFERROR(VLOOKUP($B286,'Catálogo'!$A:$B,2,FALSE),"⚠ Código no existe"))</f>
      </c>
      <c r="D286" s="21"/>
      <c r="E286" s="20"/>
      <c r="F286" s="20"/>
      <c r="G286" s="19">
        <f>IF($B286="","",$B286&amp;"|"&amp;$E286)</f>
      </c>
      <c r="H286" s="19">
        <f>IF($B286="","",$B286&amp;"|"&amp;$F286)</f>
      </c>
    </row>
    <row r="287">
      <c r="A287" s="23"/>
      <c r="B287" s="20"/>
      <c r="C287" s="19">
        <f>IF($B287="","",IFERROR(VLOOKUP($B287,'Catálogo'!$A:$B,2,FALSE),"⚠ Código no existe"))</f>
      </c>
      <c r="D287" s="21"/>
      <c r="E287" s="20"/>
      <c r="F287" s="20"/>
      <c r="G287" s="19">
        <f>IF($B287="","",$B287&amp;"|"&amp;$E287)</f>
      </c>
      <c r="H287" s="19">
        <f>IF($B287="","",$B287&amp;"|"&amp;$F287)</f>
      </c>
    </row>
    <row r="288">
      <c r="A288" s="23"/>
      <c r="B288" s="20"/>
      <c r="C288" s="19">
        <f>IF($B288="","",IFERROR(VLOOKUP($B288,'Catálogo'!$A:$B,2,FALSE),"⚠ Código no existe"))</f>
      </c>
      <c r="D288" s="21"/>
      <c r="E288" s="20"/>
      <c r="F288" s="20"/>
      <c r="G288" s="19">
        <f>IF($B288="","",$B288&amp;"|"&amp;$E288)</f>
      </c>
      <c r="H288" s="19">
        <f>IF($B288="","",$B288&amp;"|"&amp;$F288)</f>
      </c>
    </row>
    <row r="289">
      <c r="A289" s="23"/>
      <c r="B289" s="20"/>
      <c r="C289" s="19">
        <f>IF($B289="","",IFERROR(VLOOKUP($B289,'Catálogo'!$A:$B,2,FALSE),"⚠ Código no existe"))</f>
      </c>
      <c r="D289" s="21"/>
      <c r="E289" s="20"/>
      <c r="F289" s="20"/>
      <c r="G289" s="19">
        <f>IF($B289="","",$B289&amp;"|"&amp;$E289)</f>
      </c>
      <c r="H289" s="19">
        <f>IF($B289="","",$B289&amp;"|"&amp;$F289)</f>
      </c>
    </row>
    <row r="290">
      <c r="A290" s="23"/>
      <c r="B290" s="20"/>
      <c r="C290" s="19">
        <f>IF($B290="","",IFERROR(VLOOKUP($B290,'Catálogo'!$A:$B,2,FALSE),"⚠ Código no existe"))</f>
      </c>
      <c r="D290" s="21"/>
      <c r="E290" s="20"/>
      <c r="F290" s="20"/>
      <c r="G290" s="19">
        <f>IF($B290="","",$B290&amp;"|"&amp;$E290)</f>
      </c>
      <c r="H290" s="19">
        <f>IF($B290="","",$B290&amp;"|"&amp;$F290)</f>
      </c>
    </row>
    <row r="291">
      <c r="A291" s="23"/>
      <c r="B291" s="20"/>
      <c r="C291" s="19">
        <f>IF($B291="","",IFERROR(VLOOKUP($B291,'Catálogo'!$A:$B,2,FALSE),"⚠ Código no existe"))</f>
      </c>
      <c r="D291" s="21"/>
      <c r="E291" s="20"/>
      <c r="F291" s="20"/>
      <c r="G291" s="19">
        <f>IF($B291="","",$B291&amp;"|"&amp;$E291)</f>
      </c>
      <c r="H291" s="19">
        <f>IF($B291="","",$B291&amp;"|"&amp;$F291)</f>
      </c>
    </row>
    <row r="292">
      <c r="A292" s="23"/>
      <c r="B292" s="20"/>
      <c r="C292" s="19">
        <f>IF($B292="","",IFERROR(VLOOKUP($B292,'Catálogo'!$A:$B,2,FALSE),"⚠ Código no existe"))</f>
      </c>
      <c r="D292" s="21"/>
      <c r="E292" s="20"/>
      <c r="F292" s="20"/>
      <c r="G292" s="19">
        <f>IF($B292="","",$B292&amp;"|"&amp;$E292)</f>
      </c>
      <c r="H292" s="19">
        <f>IF($B292="","",$B292&amp;"|"&amp;$F292)</f>
      </c>
    </row>
    <row r="293">
      <c r="A293" s="23"/>
      <c r="B293" s="20"/>
      <c r="C293" s="19">
        <f>IF($B293="","",IFERROR(VLOOKUP($B293,'Catálogo'!$A:$B,2,FALSE),"⚠ Código no existe"))</f>
      </c>
      <c r="D293" s="21"/>
      <c r="E293" s="20"/>
      <c r="F293" s="20"/>
      <c r="G293" s="19">
        <f>IF($B293="","",$B293&amp;"|"&amp;$E293)</f>
      </c>
      <c r="H293" s="19">
        <f>IF($B293="","",$B293&amp;"|"&amp;$F293)</f>
      </c>
    </row>
    <row r="294">
      <c r="A294" s="23"/>
      <c r="B294" s="20"/>
      <c r="C294" s="19">
        <f>IF($B294="","",IFERROR(VLOOKUP($B294,'Catálogo'!$A:$B,2,FALSE),"⚠ Código no existe"))</f>
      </c>
      <c r="D294" s="21"/>
      <c r="E294" s="20"/>
      <c r="F294" s="20"/>
      <c r="G294" s="19">
        <f>IF($B294="","",$B294&amp;"|"&amp;$E294)</f>
      </c>
      <c r="H294" s="19">
        <f>IF($B294="","",$B294&amp;"|"&amp;$F294)</f>
      </c>
    </row>
    <row r="295">
      <c r="A295" s="23"/>
      <c r="B295" s="20"/>
      <c r="C295" s="19">
        <f>IF($B295="","",IFERROR(VLOOKUP($B295,'Catálogo'!$A:$B,2,FALSE),"⚠ Código no existe"))</f>
      </c>
      <c r="D295" s="21"/>
      <c r="E295" s="20"/>
      <c r="F295" s="20"/>
      <c r="G295" s="19">
        <f>IF($B295="","",$B295&amp;"|"&amp;$E295)</f>
      </c>
      <c r="H295" s="19">
        <f>IF($B295="","",$B295&amp;"|"&amp;$F295)</f>
      </c>
    </row>
    <row r="296">
      <c r="A296" s="23"/>
      <c r="B296" s="20"/>
      <c r="C296" s="19">
        <f>IF($B296="","",IFERROR(VLOOKUP($B296,'Catálogo'!$A:$B,2,FALSE),"⚠ Código no existe"))</f>
      </c>
      <c r="D296" s="21"/>
      <c r="E296" s="20"/>
      <c r="F296" s="20"/>
      <c r="G296" s="19">
        <f>IF($B296="","",$B296&amp;"|"&amp;$E296)</f>
      </c>
      <c r="H296" s="19">
        <f>IF($B296="","",$B296&amp;"|"&amp;$F296)</f>
      </c>
    </row>
    <row r="297">
      <c r="A297" s="23"/>
      <c r="B297" s="20"/>
      <c r="C297" s="19">
        <f>IF($B297="","",IFERROR(VLOOKUP($B297,'Catálogo'!$A:$B,2,FALSE),"⚠ Código no existe"))</f>
      </c>
      <c r="D297" s="21"/>
      <c r="E297" s="20"/>
      <c r="F297" s="20"/>
      <c r="G297" s="19">
        <f>IF($B297="","",$B297&amp;"|"&amp;$E297)</f>
      </c>
      <c r="H297" s="19">
        <f>IF($B297="","",$B297&amp;"|"&amp;$F297)</f>
      </c>
    </row>
    <row r="298">
      <c r="A298" s="23"/>
      <c r="B298" s="20"/>
      <c r="C298" s="19">
        <f>IF($B298="","",IFERROR(VLOOKUP($B298,'Catálogo'!$A:$B,2,FALSE),"⚠ Código no existe"))</f>
      </c>
      <c r="D298" s="21"/>
      <c r="E298" s="20"/>
      <c r="F298" s="20"/>
      <c r="G298" s="19">
        <f>IF($B298="","",$B298&amp;"|"&amp;$E298)</f>
      </c>
      <c r="H298" s="19">
        <f>IF($B298="","",$B298&amp;"|"&amp;$F298)</f>
      </c>
    </row>
    <row r="299">
      <c r="A299" s="23"/>
      <c r="B299" s="20"/>
      <c r="C299" s="19">
        <f>IF($B299="","",IFERROR(VLOOKUP($B299,'Catálogo'!$A:$B,2,FALSE),"⚠ Código no existe"))</f>
      </c>
      <c r="D299" s="21"/>
      <c r="E299" s="20"/>
      <c r="F299" s="20"/>
      <c r="G299" s="19">
        <f>IF($B299="","",$B299&amp;"|"&amp;$E299)</f>
      </c>
      <c r="H299" s="19">
        <f>IF($B299="","",$B299&amp;"|"&amp;$F299)</f>
      </c>
    </row>
    <row r="300">
      <c r="A300" s="23"/>
      <c r="B300" s="20"/>
      <c r="C300" s="19">
        <f>IF($B300="","",IFERROR(VLOOKUP($B300,'Catálogo'!$A:$B,2,FALSE),"⚠ Código no existe"))</f>
      </c>
      <c r="D300" s="21"/>
      <c r="E300" s="20"/>
      <c r="F300" s="20"/>
      <c r="G300" s="19">
        <f>IF($B300="","",$B300&amp;"|"&amp;$E300)</f>
      </c>
      <c r="H300" s="19">
        <f>IF($B300="","",$B300&amp;"|"&amp;$F300)</f>
      </c>
    </row>
    <row r="301">
      <c r="A301" s="23"/>
      <c r="B301" s="20"/>
      <c r="C301" s="19">
        <f>IF($B301="","",IFERROR(VLOOKUP($B301,'Catálogo'!$A:$B,2,FALSE),"⚠ Código no existe"))</f>
      </c>
      <c r="D301" s="21"/>
      <c r="E301" s="20"/>
      <c r="F301" s="20"/>
      <c r="G301" s="19">
        <f>IF($B301="","",$B301&amp;"|"&amp;$E301)</f>
      </c>
      <c r="H301" s="19">
        <f>IF($B301="","",$B301&amp;"|"&amp;$F301)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E2:E301">
      <formula1>'Config'!$F$2:$F$3</formula1>
    </dataValidation>
    <dataValidation type="list" allowBlank="1" showInputMessage="1" showErrorMessage="0" sqref="F2:F301">
      <formula1>'Config'!$F$2:$F$3</formula1>
    </dataValidation>
  </dataValidations>
  <pageMargins left="0.5" right="0.5" top="0.5" bottom="0.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13.00" customWidth="1"/>
    <col min="3" max="3" width="30.00" customWidth="1"/>
    <col min="4" max="4" width="14.00" customWidth="1"/>
    <col min="5" max="5" width="16.00" customWidth="1"/>
    <col min="6" max="6" width="22.00" customWidth="1"/>
    <col min="7" max="7" width="30.00" customWidth="1"/>
    <col min="8" max="8" width="14.00" customWidth="1"/>
  </cols>
  <sheetData>
    <row r="1">
      <c r="A1" s="1" t="inlineStr">
        <is>
          <t xml:space="preserve">Fecha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Cantidad (+/-)</t>
        </is>
      </c>
      <c r="E1" s="1" t="inlineStr">
        <is>
          <t xml:space="preserve">Ubicación</t>
        </is>
      </c>
      <c r="F1" s="1" t="inlineStr">
        <is>
          <t xml:space="preserve">Motivo</t>
        </is>
      </c>
      <c r="G1" s="1" t="inlineStr">
        <is>
          <t xml:space="preserve">Nota</t>
        </is>
      </c>
      <c r="H1" s="1" t="inlineStr">
        <is>
          <t xml:space="preserve">clave</t>
        </is>
      </c>
    </row>
    <row r="2">
      <c r="A2" s="23"/>
      <c r="B2" s="20"/>
      <c r="C2" s="19">
        <f>IF($B2="","",IFERROR(VLOOKUP($B2,'Catálogo'!$A:$B,2,FALSE),"⚠ Código no existe"))</f>
      </c>
      <c r="D2" s="15"/>
      <c r="E2" s="20"/>
      <c r="F2" s="20"/>
      <c r="G2" s="20"/>
      <c r="H2" s="19">
        <f>IF($B2="","",$B2&amp;"|"&amp;$E2)</f>
      </c>
    </row>
    <row r="3">
      <c r="A3" s="23"/>
      <c r="B3" s="20"/>
      <c r="C3" s="19">
        <f>IF($B3="","",IFERROR(VLOOKUP($B3,'Catálogo'!$A:$B,2,FALSE),"⚠ Código no existe"))</f>
      </c>
      <c r="D3" s="15"/>
      <c r="E3" s="20"/>
      <c r="F3" s="20"/>
      <c r="G3" s="20"/>
      <c r="H3" s="19">
        <f>IF($B3="","",$B3&amp;"|"&amp;$E3)</f>
      </c>
    </row>
    <row r="4">
      <c r="A4" s="23"/>
      <c r="B4" s="20"/>
      <c r="C4" s="19">
        <f>IF($B4="","",IFERROR(VLOOKUP($B4,'Catálogo'!$A:$B,2,FALSE),"⚠ Código no existe"))</f>
      </c>
      <c r="D4" s="15"/>
      <c r="E4" s="20"/>
      <c r="F4" s="20"/>
      <c r="G4" s="20"/>
      <c r="H4" s="19">
        <f>IF($B4="","",$B4&amp;"|"&amp;$E4)</f>
      </c>
    </row>
    <row r="5">
      <c r="A5" s="23"/>
      <c r="B5" s="20"/>
      <c r="C5" s="19">
        <f>IF($B5="","",IFERROR(VLOOKUP($B5,'Catálogo'!$A:$B,2,FALSE),"⚠ Código no existe"))</f>
      </c>
      <c r="D5" s="15"/>
      <c r="E5" s="20"/>
      <c r="F5" s="20"/>
      <c r="G5" s="20"/>
      <c r="H5" s="19">
        <f>IF($B5="","",$B5&amp;"|"&amp;$E5)</f>
      </c>
    </row>
    <row r="6">
      <c r="A6" s="23"/>
      <c r="B6" s="20"/>
      <c r="C6" s="19">
        <f>IF($B6="","",IFERROR(VLOOKUP($B6,'Catálogo'!$A:$B,2,FALSE),"⚠ Código no existe"))</f>
      </c>
      <c r="D6" s="15"/>
      <c r="E6" s="20"/>
      <c r="F6" s="20"/>
      <c r="G6" s="20"/>
      <c r="H6" s="19">
        <f>IF($B6="","",$B6&amp;"|"&amp;$E6)</f>
      </c>
    </row>
    <row r="7">
      <c r="A7" s="23"/>
      <c r="B7" s="20"/>
      <c r="C7" s="19">
        <f>IF($B7="","",IFERROR(VLOOKUP($B7,'Catálogo'!$A:$B,2,FALSE),"⚠ Código no existe"))</f>
      </c>
      <c r="D7" s="15"/>
      <c r="E7" s="20"/>
      <c r="F7" s="20"/>
      <c r="G7" s="20"/>
      <c r="H7" s="19">
        <f>IF($B7="","",$B7&amp;"|"&amp;$E7)</f>
      </c>
    </row>
    <row r="8">
      <c r="A8" s="23"/>
      <c r="B8" s="20"/>
      <c r="C8" s="19">
        <f>IF($B8="","",IFERROR(VLOOKUP($B8,'Catálogo'!$A:$B,2,FALSE),"⚠ Código no existe"))</f>
      </c>
      <c r="D8" s="15"/>
      <c r="E8" s="20"/>
      <c r="F8" s="20"/>
      <c r="G8" s="20"/>
      <c r="H8" s="19">
        <f>IF($B8="","",$B8&amp;"|"&amp;$E8)</f>
      </c>
    </row>
    <row r="9">
      <c r="A9" s="23"/>
      <c r="B9" s="20"/>
      <c r="C9" s="19">
        <f>IF($B9="","",IFERROR(VLOOKUP($B9,'Catálogo'!$A:$B,2,FALSE),"⚠ Código no existe"))</f>
      </c>
      <c r="D9" s="15"/>
      <c r="E9" s="20"/>
      <c r="F9" s="20"/>
      <c r="G9" s="20"/>
      <c r="H9" s="19">
        <f>IF($B9="","",$B9&amp;"|"&amp;$E9)</f>
      </c>
    </row>
    <row r="10">
      <c r="A10" s="23"/>
      <c r="B10" s="20"/>
      <c r="C10" s="19">
        <f>IF($B10="","",IFERROR(VLOOKUP($B10,'Catálogo'!$A:$B,2,FALSE),"⚠ Código no existe"))</f>
      </c>
      <c r="D10" s="15"/>
      <c r="E10" s="20"/>
      <c r="F10" s="20"/>
      <c r="G10" s="20"/>
      <c r="H10" s="19">
        <f>IF($B10="","",$B10&amp;"|"&amp;$E10)</f>
      </c>
    </row>
    <row r="11">
      <c r="A11" s="23"/>
      <c r="B11" s="20"/>
      <c r="C11" s="19">
        <f>IF($B11="","",IFERROR(VLOOKUP($B11,'Catálogo'!$A:$B,2,FALSE),"⚠ Código no existe"))</f>
      </c>
      <c r="D11" s="15"/>
      <c r="E11" s="20"/>
      <c r="F11" s="20"/>
      <c r="G11" s="20"/>
      <c r="H11" s="19">
        <f>IF($B11="","",$B11&amp;"|"&amp;$E11)</f>
      </c>
    </row>
    <row r="12">
      <c r="A12" s="23"/>
      <c r="B12" s="20"/>
      <c r="C12" s="19">
        <f>IF($B12="","",IFERROR(VLOOKUP($B12,'Catálogo'!$A:$B,2,FALSE),"⚠ Código no existe"))</f>
      </c>
      <c r="D12" s="15"/>
      <c r="E12" s="20"/>
      <c r="F12" s="20"/>
      <c r="G12" s="20"/>
      <c r="H12" s="19">
        <f>IF($B12="","",$B12&amp;"|"&amp;$E12)</f>
      </c>
    </row>
    <row r="13">
      <c r="A13" s="23"/>
      <c r="B13" s="20"/>
      <c r="C13" s="19">
        <f>IF($B13="","",IFERROR(VLOOKUP($B13,'Catálogo'!$A:$B,2,FALSE),"⚠ Código no existe"))</f>
      </c>
      <c r="D13" s="15"/>
      <c r="E13" s="20"/>
      <c r="F13" s="20"/>
      <c r="G13" s="20"/>
      <c r="H13" s="19">
        <f>IF($B13="","",$B13&amp;"|"&amp;$E13)</f>
      </c>
    </row>
    <row r="14">
      <c r="A14" s="23"/>
      <c r="B14" s="20"/>
      <c r="C14" s="19">
        <f>IF($B14="","",IFERROR(VLOOKUP($B14,'Catálogo'!$A:$B,2,FALSE),"⚠ Código no existe"))</f>
      </c>
      <c r="D14" s="15"/>
      <c r="E14" s="20"/>
      <c r="F14" s="20"/>
      <c r="G14" s="20"/>
      <c r="H14" s="19">
        <f>IF($B14="","",$B14&amp;"|"&amp;$E14)</f>
      </c>
    </row>
    <row r="15">
      <c r="A15" s="23"/>
      <c r="B15" s="20"/>
      <c r="C15" s="19">
        <f>IF($B15="","",IFERROR(VLOOKUP($B15,'Catálogo'!$A:$B,2,FALSE),"⚠ Código no existe"))</f>
      </c>
      <c r="D15" s="15"/>
      <c r="E15" s="20"/>
      <c r="F15" s="20"/>
      <c r="G15" s="20"/>
      <c r="H15" s="19">
        <f>IF($B15="","",$B15&amp;"|"&amp;$E15)</f>
      </c>
    </row>
    <row r="16">
      <c r="A16" s="23"/>
      <c r="B16" s="20"/>
      <c r="C16" s="19">
        <f>IF($B16="","",IFERROR(VLOOKUP($B16,'Catálogo'!$A:$B,2,FALSE),"⚠ Código no existe"))</f>
      </c>
      <c r="D16" s="15"/>
      <c r="E16" s="20"/>
      <c r="F16" s="20"/>
      <c r="G16" s="20"/>
      <c r="H16" s="19">
        <f>IF($B16="","",$B16&amp;"|"&amp;$E16)</f>
      </c>
    </row>
    <row r="17">
      <c r="A17" s="23"/>
      <c r="B17" s="20"/>
      <c r="C17" s="19">
        <f>IF($B17="","",IFERROR(VLOOKUP($B17,'Catálogo'!$A:$B,2,FALSE),"⚠ Código no existe"))</f>
      </c>
      <c r="D17" s="15"/>
      <c r="E17" s="20"/>
      <c r="F17" s="20"/>
      <c r="G17" s="20"/>
      <c r="H17" s="19">
        <f>IF($B17="","",$B17&amp;"|"&amp;$E17)</f>
      </c>
    </row>
    <row r="18">
      <c r="A18" s="23"/>
      <c r="B18" s="20"/>
      <c r="C18" s="19">
        <f>IF($B18="","",IFERROR(VLOOKUP($B18,'Catálogo'!$A:$B,2,FALSE),"⚠ Código no existe"))</f>
      </c>
      <c r="D18" s="15"/>
      <c r="E18" s="20"/>
      <c r="F18" s="20"/>
      <c r="G18" s="20"/>
      <c r="H18" s="19">
        <f>IF($B18="","",$B18&amp;"|"&amp;$E18)</f>
      </c>
    </row>
    <row r="19">
      <c r="A19" s="23"/>
      <c r="B19" s="20"/>
      <c r="C19" s="19">
        <f>IF($B19="","",IFERROR(VLOOKUP($B19,'Catálogo'!$A:$B,2,FALSE),"⚠ Código no existe"))</f>
      </c>
      <c r="D19" s="15"/>
      <c r="E19" s="20"/>
      <c r="F19" s="20"/>
      <c r="G19" s="20"/>
      <c r="H19" s="19">
        <f>IF($B19="","",$B19&amp;"|"&amp;$E19)</f>
      </c>
    </row>
    <row r="20">
      <c r="A20" s="23"/>
      <c r="B20" s="20"/>
      <c r="C20" s="19">
        <f>IF($B20="","",IFERROR(VLOOKUP($B20,'Catálogo'!$A:$B,2,FALSE),"⚠ Código no existe"))</f>
      </c>
      <c r="D20" s="15"/>
      <c r="E20" s="20"/>
      <c r="F20" s="20"/>
      <c r="G20" s="20"/>
      <c r="H20" s="19">
        <f>IF($B20="","",$B20&amp;"|"&amp;$E20)</f>
      </c>
    </row>
    <row r="21">
      <c r="A21" s="23"/>
      <c r="B21" s="20"/>
      <c r="C21" s="19">
        <f>IF($B21="","",IFERROR(VLOOKUP($B21,'Catálogo'!$A:$B,2,FALSE),"⚠ Código no existe"))</f>
      </c>
      <c r="D21" s="15"/>
      <c r="E21" s="20"/>
      <c r="F21" s="20"/>
      <c r="G21" s="20"/>
      <c r="H21" s="19">
        <f>IF($B21="","",$B21&amp;"|"&amp;$E21)</f>
      </c>
    </row>
    <row r="22">
      <c r="A22" s="23"/>
      <c r="B22" s="20"/>
      <c r="C22" s="19">
        <f>IF($B22="","",IFERROR(VLOOKUP($B22,'Catálogo'!$A:$B,2,FALSE),"⚠ Código no existe"))</f>
      </c>
      <c r="D22" s="15"/>
      <c r="E22" s="20"/>
      <c r="F22" s="20"/>
      <c r="G22" s="20"/>
      <c r="H22" s="19">
        <f>IF($B22="","",$B22&amp;"|"&amp;$E22)</f>
      </c>
    </row>
    <row r="23">
      <c r="A23" s="23"/>
      <c r="B23" s="20"/>
      <c r="C23" s="19">
        <f>IF($B23="","",IFERROR(VLOOKUP($B23,'Catálogo'!$A:$B,2,FALSE),"⚠ Código no existe"))</f>
      </c>
      <c r="D23" s="15"/>
      <c r="E23" s="20"/>
      <c r="F23" s="20"/>
      <c r="G23" s="20"/>
      <c r="H23" s="19">
        <f>IF($B23="","",$B23&amp;"|"&amp;$E23)</f>
      </c>
    </row>
    <row r="24">
      <c r="A24" s="23"/>
      <c r="B24" s="20"/>
      <c r="C24" s="19">
        <f>IF($B24="","",IFERROR(VLOOKUP($B24,'Catálogo'!$A:$B,2,FALSE),"⚠ Código no existe"))</f>
      </c>
      <c r="D24" s="15"/>
      <c r="E24" s="20"/>
      <c r="F24" s="20"/>
      <c r="G24" s="20"/>
      <c r="H24" s="19">
        <f>IF($B24="","",$B24&amp;"|"&amp;$E24)</f>
      </c>
    </row>
    <row r="25">
      <c r="A25" s="23"/>
      <c r="B25" s="20"/>
      <c r="C25" s="19">
        <f>IF($B25="","",IFERROR(VLOOKUP($B25,'Catálogo'!$A:$B,2,FALSE),"⚠ Código no existe"))</f>
      </c>
      <c r="D25" s="15"/>
      <c r="E25" s="20"/>
      <c r="F25" s="20"/>
      <c r="G25" s="20"/>
      <c r="H25" s="19">
        <f>IF($B25="","",$B25&amp;"|"&amp;$E25)</f>
      </c>
    </row>
    <row r="26">
      <c r="A26" s="23"/>
      <c r="B26" s="20"/>
      <c r="C26" s="19">
        <f>IF($B26="","",IFERROR(VLOOKUP($B26,'Catálogo'!$A:$B,2,FALSE),"⚠ Código no existe"))</f>
      </c>
      <c r="D26" s="15"/>
      <c r="E26" s="20"/>
      <c r="F26" s="20"/>
      <c r="G26" s="20"/>
      <c r="H26" s="19">
        <f>IF($B26="","",$B26&amp;"|"&amp;$E26)</f>
      </c>
    </row>
    <row r="27">
      <c r="A27" s="23"/>
      <c r="B27" s="20"/>
      <c r="C27" s="19">
        <f>IF($B27="","",IFERROR(VLOOKUP($B27,'Catálogo'!$A:$B,2,FALSE),"⚠ Código no existe"))</f>
      </c>
      <c r="D27" s="15"/>
      <c r="E27" s="20"/>
      <c r="F27" s="20"/>
      <c r="G27" s="20"/>
      <c r="H27" s="19">
        <f>IF($B27="","",$B27&amp;"|"&amp;$E27)</f>
      </c>
    </row>
    <row r="28">
      <c r="A28" s="23"/>
      <c r="B28" s="20"/>
      <c r="C28" s="19">
        <f>IF($B28="","",IFERROR(VLOOKUP($B28,'Catálogo'!$A:$B,2,FALSE),"⚠ Código no existe"))</f>
      </c>
      <c r="D28" s="15"/>
      <c r="E28" s="20"/>
      <c r="F28" s="20"/>
      <c r="G28" s="20"/>
      <c r="H28" s="19">
        <f>IF($B28="","",$B28&amp;"|"&amp;$E28)</f>
      </c>
    </row>
    <row r="29">
      <c r="A29" s="23"/>
      <c r="B29" s="20"/>
      <c r="C29" s="19">
        <f>IF($B29="","",IFERROR(VLOOKUP($B29,'Catálogo'!$A:$B,2,FALSE),"⚠ Código no existe"))</f>
      </c>
      <c r="D29" s="15"/>
      <c r="E29" s="20"/>
      <c r="F29" s="20"/>
      <c r="G29" s="20"/>
      <c r="H29" s="19">
        <f>IF($B29="","",$B29&amp;"|"&amp;$E29)</f>
      </c>
    </row>
    <row r="30">
      <c r="A30" s="23"/>
      <c r="B30" s="20"/>
      <c r="C30" s="19">
        <f>IF($B30="","",IFERROR(VLOOKUP($B30,'Catálogo'!$A:$B,2,FALSE),"⚠ Código no existe"))</f>
      </c>
      <c r="D30" s="15"/>
      <c r="E30" s="20"/>
      <c r="F30" s="20"/>
      <c r="G30" s="20"/>
      <c r="H30" s="19">
        <f>IF($B30="","",$B30&amp;"|"&amp;$E30)</f>
      </c>
    </row>
    <row r="31">
      <c r="A31" s="23"/>
      <c r="B31" s="20"/>
      <c r="C31" s="19">
        <f>IF($B31="","",IFERROR(VLOOKUP($B31,'Catálogo'!$A:$B,2,FALSE),"⚠ Código no existe"))</f>
      </c>
      <c r="D31" s="15"/>
      <c r="E31" s="20"/>
      <c r="F31" s="20"/>
      <c r="G31" s="20"/>
      <c r="H31" s="19">
        <f>IF($B31="","",$B31&amp;"|"&amp;$E31)</f>
      </c>
    </row>
    <row r="32">
      <c r="A32" s="23"/>
      <c r="B32" s="20"/>
      <c r="C32" s="19">
        <f>IF($B32="","",IFERROR(VLOOKUP($B32,'Catálogo'!$A:$B,2,FALSE),"⚠ Código no existe"))</f>
      </c>
      <c r="D32" s="15"/>
      <c r="E32" s="20"/>
      <c r="F32" s="20"/>
      <c r="G32" s="20"/>
      <c r="H32" s="19">
        <f>IF($B32="","",$B32&amp;"|"&amp;$E32)</f>
      </c>
    </row>
    <row r="33">
      <c r="A33" s="23"/>
      <c r="B33" s="20"/>
      <c r="C33" s="19">
        <f>IF($B33="","",IFERROR(VLOOKUP($B33,'Catálogo'!$A:$B,2,FALSE),"⚠ Código no existe"))</f>
      </c>
      <c r="D33" s="15"/>
      <c r="E33" s="20"/>
      <c r="F33" s="20"/>
      <c r="G33" s="20"/>
      <c r="H33" s="19">
        <f>IF($B33="","",$B33&amp;"|"&amp;$E33)</f>
      </c>
    </row>
    <row r="34">
      <c r="A34" s="23"/>
      <c r="B34" s="20"/>
      <c r="C34" s="19">
        <f>IF($B34="","",IFERROR(VLOOKUP($B34,'Catálogo'!$A:$B,2,FALSE),"⚠ Código no existe"))</f>
      </c>
      <c r="D34" s="15"/>
      <c r="E34" s="20"/>
      <c r="F34" s="20"/>
      <c r="G34" s="20"/>
      <c r="H34" s="19">
        <f>IF($B34="","",$B34&amp;"|"&amp;$E34)</f>
      </c>
    </row>
    <row r="35">
      <c r="A35" s="23"/>
      <c r="B35" s="20"/>
      <c r="C35" s="19">
        <f>IF($B35="","",IFERROR(VLOOKUP($B35,'Catálogo'!$A:$B,2,FALSE),"⚠ Código no existe"))</f>
      </c>
      <c r="D35" s="15"/>
      <c r="E35" s="20"/>
      <c r="F35" s="20"/>
      <c r="G35" s="20"/>
      <c r="H35" s="19">
        <f>IF($B35="","",$B35&amp;"|"&amp;$E35)</f>
      </c>
    </row>
    <row r="36">
      <c r="A36" s="23"/>
      <c r="B36" s="20"/>
      <c r="C36" s="19">
        <f>IF($B36="","",IFERROR(VLOOKUP($B36,'Catálogo'!$A:$B,2,FALSE),"⚠ Código no existe"))</f>
      </c>
      <c r="D36" s="15"/>
      <c r="E36" s="20"/>
      <c r="F36" s="20"/>
      <c r="G36" s="20"/>
      <c r="H36" s="19">
        <f>IF($B36="","",$B36&amp;"|"&amp;$E36)</f>
      </c>
    </row>
    <row r="37">
      <c r="A37" s="23"/>
      <c r="B37" s="20"/>
      <c r="C37" s="19">
        <f>IF($B37="","",IFERROR(VLOOKUP($B37,'Catálogo'!$A:$B,2,FALSE),"⚠ Código no existe"))</f>
      </c>
      <c r="D37" s="15"/>
      <c r="E37" s="20"/>
      <c r="F37" s="20"/>
      <c r="G37" s="20"/>
      <c r="H37" s="19">
        <f>IF($B37="","",$B37&amp;"|"&amp;$E37)</f>
      </c>
    </row>
    <row r="38">
      <c r="A38" s="23"/>
      <c r="B38" s="20"/>
      <c r="C38" s="19">
        <f>IF($B38="","",IFERROR(VLOOKUP($B38,'Catálogo'!$A:$B,2,FALSE),"⚠ Código no existe"))</f>
      </c>
      <c r="D38" s="15"/>
      <c r="E38" s="20"/>
      <c r="F38" s="20"/>
      <c r="G38" s="20"/>
      <c r="H38" s="19">
        <f>IF($B38="","",$B38&amp;"|"&amp;$E38)</f>
      </c>
    </row>
    <row r="39">
      <c r="A39" s="23"/>
      <c r="B39" s="20"/>
      <c r="C39" s="19">
        <f>IF($B39="","",IFERROR(VLOOKUP($B39,'Catálogo'!$A:$B,2,FALSE),"⚠ Código no existe"))</f>
      </c>
      <c r="D39" s="15"/>
      <c r="E39" s="20"/>
      <c r="F39" s="20"/>
      <c r="G39" s="20"/>
      <c r="H39" s="19">
        <f>IF($B39="","",$B39&amp;"|"&amp;$E39)</f>
      </c>
    </row>
    <row r="40">
      <c r="A40" s="23"/>
      <c r="B40" s="20"/>
      <c r="C40" s="19">
        <f>IF($B40="","",IFERROR(VLOOKUP($B40,'Catálogo'!$A:$B,2,FALSE),"⚠ Código no existe"))</f>
      </c>
      <c r="D40" s="15"/>
      <c r="E40" s="20"/>
      <c r="F40" s="20"/>
      <c r="G40" s="20"/>
      <c r="H40" s="19">
        <f>IF($B40="","",$B40&amp;"|"&amp;$E40)</f>
      </c>
    </row>
    <row r="41">
      <c r="A41" s="23"/>
      <c r="B41" s="20"/>
      <c r="C41" s="19">
        <f>IF($B41="","",IFERROR(VLOOKUP($B41,'Catálogo'!$A:$B,2,FALSE),"⚠ Código no existe"))</f>
      </c>
      <c r="D41" s="15"/>
      <c r="E41" s="20"/>
      <c r="F41" s="20"/>
      <c r="G41" s="20"/>
      <c r="H41" s="19">
        <f>IF($B41="","",$B41&amp;"|"&amp;$E41)</f>
      </c>
    </row>
    <row r="42">
      <c r="A42" s="23"/>
      <c r="B42" s="20"/>
      <c r="C42" s="19">
        <f>IF($B42="","",IFERROR(VLOOKUP($B42,'Catálogo'!$A:$B,2,FALSE),"⚠ Código no existe"))</f>
      </c>
      <c r="D42" s="15"/>
      <c r="E42" s="20"/>
      <c r="F42" s="20"/>
      <c r="G42" s="20"/>
      <c r="H42" s="19">
        <f>IF($B42="","",$B42&amp;"|"&amp;$E42)</f>
      </c>
    </row>
    <row r="43">
      <c r="A43" s="23"/>
      <c r="B43" s="20"/>
      <c r="C43" s="19">
        <f>IF($B43="","",IFERROR(VLOOKUP($B43,'Catálogo'!$A:$B,2,FALSE),"⚠ Código no existe"))</f>
      </c>
      <c r="D43" s="15"/>
      <c r="E43" s="20"/>
      <c r="F43" s="20"/>
      <c r="G43" s="20"/>
      <c r="H43" s="19">
        <f>IF($B43="","",$B43&amp;"|"&amp;$E43)</f>
      </c>
    </row>
    <row r="44">
      <c r="A44" s="23"/>
      <c r="B44" s="20"/>
      <c r="C44" s="19">
        <f>IF($B44="","",IFERROR(VLOOKUP($B44,'Catálogo'!$A:$B,2,FALSE),"⚠ Código no existe"))</f>
      </c>
      <c r="D44" s="15"/>
      <c r="E44" s="20"/>
      <c r="F44" s="20"/>
      <c r="G44" s="20"/>
      <c r="H44" s="19">
        <f>IF($B44="","",$B44&amp;"|"&amp;$E44)</f>
      </c>
    </row>
    <row r="45">
      <c r="A45" s="23"/>
      <c r="B45" s="20"/>
      <c r="C45" s="19">
        <f>IF($B45="","",IFERROR(VLOOKUP($B45,'Catálogo'!$A:$B,2,FALSE),"⚠ Código no existe"))</f>
      </c>
      <c r="D45" s="15"/>
      <c r="E45" s="20"/>
      <c r="F45" s="20"/>
      <c r="G45" s="20"/>
      <c r="H45" s="19">
        <f>IF($B45="","",$B45&amp;"|"&amp;$E45)</f>
      </c>
    </row>
    <row r="46">
      <c r="A46" s="23"/>
      <c r="B46" s="20"/>
      <c r="C46" s="19">
        <f>IF($B46="","",IFERROR(VLOOKUP($B46,'Catálogo'!$A:$B,2,FALSE),"⚠ Código no existe"))</f>
      </c>
      <c r="D46" s="15"/>
      <c r="E46" s="20"/>
      <c r="F46" s="20"/>
      <c r="G46" s="20"/>
      <c r="H46" s="19">
        <f>IF($B46="","",$B46&amp;"|"&amp;$E46)</f>
      </c>
    </row>
    <row r="47">
      <c r="A47" s="23"/>
      <c r="B47" s="20"/>
      <c r="C47" s="19">
        <f>IF($B47="","",IFERROR(VLOOKUP($B47,'Catálogo'!$A:$B,2,FALSE),"⚠ Código no existe"))</f>
      </c>
      <c r="D47" s="15"/>
      <c r="E47" s="20"/>
      <c r="F47" s="20"/>
      <c r="G47" s="20"/>
      <c r="H47" s="19">
        <f>IF($B47="","",$B47&amp;"|"&amp;$E47)</f>
      </c>
    </row>
    <row r="48">
      <c r="A48" s="23"/>
      <c r="B48" s="20"/>
      <c r="C48" s="19">
        <f>IF($B48="","",IFERROR(VLOOKUP($B48,'Catálogo'!$A:$B,2,FALSE),"⚠ Código no existe"))</f>
      </c>
      <c r="D48" s="15"/>
      <c r="E48" s="20"/>
      <c r="F48" s="20"/>
      <c r="G48" s="20"/>
      <c r="H48" s="19">
        <f>IF($B48="","",$B48&amp;"|"&amp;$E48)</f>
      </c>
    </row>
    <row r="49">
      <c r="A49" s="23"/>
      <c r="B49" s="20"/>
      <c r="C49" s="19">
        <f>IF($B49="","",IFERROR(VLOOKUP($B49,'Catálogo'!$A:$B,2,FALSE),"⚠ Código no existe"))</f>
      </c>
      <c r="D49" s="15"/>
      <c r="E49" s="20"/>
      <c r="F49" s="20"/>
      <c r="G49" s="20"/>
      <c r="H49" s="19">
        <f>IF($B49="","",$B49&amp;"|"&amp;$E49)</f>
      </c>
    </row>
    <row r="50">
      <c r="A50" s="23"/>
      <c r="B50" s="20"/>
      <c r="C50" s="19">
        <f>IF($B50="","",IFERROR(VLOOKUP($B50,'Catálogo'!$A:$B,2,FALSE),"⚠ Código no existe"))</f>
      </c>
      <c r="D50" s="15"/>
      <c r="E50" s="20"/>
      <c r="F50" s="20"/>
      <c r="G50" s="20"/>
      <c r="H50" s="19">
        <f>IF($B50="","",$B50&amp;"|"&amp;$E50)</f>
      </c>
    </row>
    <row r="51">
      <c r="A51" s="23"/>
      <c r="B51" s="20"/>
      <c r="C51" s="19">
        <f>IF($B51="","",IFERROR(VLOOKUP($B51,'Catálogo'!$A:$B,2,FALSE),"⚠ Código no existe"))</f>
      </c>
      <c r="D51" s="15"/>
      <c r="E51" s="20"/>
      <c r="F51" s="20"/>
      <c r="G51" s="20"/>
      <c r="H51" s="19">
        <f>IF($B51="","",$B51&amp;"|"&amp;$E51)</f>
      </c>
    </row>
    <row r="52">
      <c r="A52" s="23"/>
      <c r="B52" s="20"/>
      <c r="C52" s="19">
        <f>IF($B52="","",IFERROR(VLOOKUP($B52,'Catálogo'!$A:$B,2,FALSE),"⚠ Código no existe"))</f>
      </c>
      <c r="D52" s="15"/>
      <c r="E52" s="20"/>
      <c r="F52" s="20"/>
      <c r="G52" s="20"/>
      <c r="H52" s="19">
        <f>IF($B52="","",$B52&amp;"|"&amp;$E52)</f>
      </c>
    </row>
    <row r="53">
      <c r="A53" s="23"/>
      <c r="B53" s="20"/>
      <c r="C53" s="19">
        <f>IF($B53="","",IFERROR(VLOOKUP($B53,'Catálogo'!$A:$B,2,FALSE),"⚠ Código no existe"))</f>
      </c>
      <c r="D53" s="15"/>
      <c r="E53" s="20"/>
      <c r="F53" s="20"/>
      <c r="G53" s="20"/>
      <c r="H53" s="19">
        <f>IF($B53="","",$B53&amp;"|"&amp;$E53)</f>
      </c>
    </row>
    <row r="54">
      <c r="A54" s="23"/>
      <c r="B54" s="20"/>
      <c r="C54" s="19">
        <f>IF($B54="","",IFERROR(VLOOKUP($B54,'Catálogo'!$A:$B,2,FALSE),"⚠ Código no existe"))</f>
      </c>
      <c r="D54" s="15"/>
      <c r="E54" s="20"/>
      <c r="F54" s="20"/>
      <c r="G54" s="20"/>
      <c r="H54" s="19">
        <f>IF($B54="","",$B54&amp;"|"&amp;$E54)</f>
      </c>
    </row>
    <row r="55">
      <c r="A55" s="23"/>
      <c r="B55" s="20"/>
      <c r="C55" s="19">
        <f>IF($B55="","",IFERROR(VLOOKUP($B55,'Catálogo'!$A:$B,2,FALSE),"⚠ Código no existe"))</f>
      </c>
      <c r="D55" s="15"/>
      <c r="E55" s="20"/>
      <c r="F55" s="20"/>
      <c r="G55" s="20"/>
      <c r="H55" s="19">
        <f>IF($B55="","",$B55&amp;"|"&amp;$E55)</f>
      </c>
    </row>
    <row r="56">
      <c r="A56" s="23"/>
      <c r="B56" s="20"/>
      <c r="C56" s="19">
        <f>IF($B56="","",IFERROR(VLOOKUP($B56,'Catálogo'!$A:$B,2,FALSE),"⚠ Código no existe"))</f>
      </c>
      <c r="D56" s="15"/>
      <c r="E56" s="20"/>
      <c r="F56" s="20"/>
      <c r="G56" s="20"/>
      <c r="H56" s="19">
        <f>IF($B56="","",$B56&amp;"|"&amp;$E56)</f>
      </c>
    </row>
    <row r="57">
      <c r="A57" s="23"/>
      <c r="B57" s="20"/>
      <c r="C57" s="19">
        <f>IF($B57="","",IFERROR(VLOOKUP($B57,'Catálogo'!$A:$B,2,FALSE),"⚠ Código no existe"))</f>
      </c>
      <c r="D57" s="15"/>
      <c r="E57" s="20"/>
      <c r="F57" s="20"/>
      <c r="G57" s="20"/>
      <c r="H57" s="19">
        <f>IF($B57="","",$B57&amp;"|"&amp;$E57)</f>
      </c>
    </row>
    <row r="58">
      <c r="A58" s="23"/>
      <c r="B58" s="20"/>
      <c r="C58" s="19">
        <f>IF($B58="","",IFERROR(VLOOKUP($B58,'Catálogo'!$A:$B,2,FALSE),"⚠ Código no existe"))</f>
      </c>
      <c r="D58" s="15"/>
      <c r="E58" s="20"/>
      <c r="F58" s="20"/>
      <c r="G58" s="20"/>
      <c r="H58" s="19">
        <f>IF($B58="","",$B58&amp;"|"&amp;$E58)</f>
      </c>
    </row>
    <row r="59">
      <c r="A59" s="23"/>
      <c r="B59" s="20"/>
      <c r="C59" s="19">
        <f>IF($B59="","",IFERROR(VLOOKUP($B59,'Catálogo'!$A:$B,2,FALSE),"⚠ Código no existe"))</f>
      </c>
      <c r="D59" s="15"/>
      <c r="E59" s="20"/>
      <c r="F59" s="20"/>
      <c r="G59" s="20"/>
      <c r="H59" s="19">
        <f>IF($B59="","",$B59&amp;"|"&amp;$E59)</f>
      </c>
    </row>
    <row r="60">
      <c r="A60" s="23"/>
      <c r="B60" s="20"/>
      <c r="C60" s="19">
        <f>IF($B60="","",IFERROR(VLOOKUP($B60,'Catálogo'!$A:$B,2,FALSE),"⚠ Código no existe"))</f>
      </c>
      <c r="D60" s="15"/>
      <c r="E60" s="20"/>
      <c r="F60" s="20"/>
      <c r="G60" s="20"/>
      <c r="H60" s="19">
        <f>IF($B60="","",$B60&amp;"|"&amp;$E60)</f>
      </c>
    </row>
    <row r="61">
      <c r="A61" s="23"/>
      <c r="B61" s="20"/>
      <c r="C61" s="19">
        <f>IF($B61="","",IFERROR(VLOOKUP($B61,'Catálogo'!$A:$B,2,FALSE),"⚠ Código no existe"))</f>
      </c>
      <c r="D61" s="15"/>
      <c r="E61" s="20"/>
      <c r="F61" s="20"/>
      <c r="G61" s="20"/>
      <c r="H61" s="19">
        <f>IF($B61="","",$B61&amp;"|"&amp;$E61)</f>
      </c>
    </row>
    <row r="62">
      <c r="A62" s="23"/>
      <c r="B62" s="20"/>
      <c r="C62" s="19">
        <f>IF($B62="","",IFERROR(VLOOKUP($B62,'Catálogo'!$A:$B,2,FALSE),"⚠ Código no existe"))</f>
      </c>
      <c r="D62" s="15"/>
      <c r="E62" s="20"/>
      <c r="F62" s="20"/>
      <c r="G62" s="20"/>
      <c r="H62" s="19">
        <f>IF($B62="","",$B62&amp;"|"&amp;$E62)</f>
      </c>
    </row>
    <row r="63">
      <c r="A63" s="23"/>
      <c r="B63" s="20"/>
      <c r="C63" s="19">
        <f>IF($B63="","",IFERROR(VLOOKUP($B63,'Catálogo'!$A:$B,2,FALSE),"⚠ Código no existe"))</f>
      </c>
      <c r="D63" s="15"/>
      <c r="E63" s="20"/>
      <c r="F63" s="20"/>
      <c r="G63" s="20"/>
      <c r="H63" s="19">
        <f>IF($B63="","",$B63&amp;"|"&amp;$E63)</f>
      </c>
    </row>
    <row r="64">
      <c r="A64" s="23"/>
      <c r="B64" s="20"/>
      <c r="C64" s="19">
        <f>IF($B64="","",IFERROR(VLOOKUP($B64,'Catálogo'!$A:$B,2,FALSE),"⚠ Código no existe"))</f>
      </c>
      <c r="D64" s="15"/>
      <c r="E64" s="20"/>
      <c r="F64" s="20"/>
      <c r="G64" s="20"/>
      <c r="H64" s="19">
        <f>IF($B64="","",$B64&amp;"|"&amp;$E64)</f>
      </c>
    </row>
    <row r="65">
      <c r="A65" s="23"/>
      <c r="B65" s="20"/>
      <c r="C65" s="19">
        <f>IF($B65="","",IFERROR(VLOOKUP($B65,'Catálogo'!$A:$B,2,FALSE),"⚠ Código no existe"))</f>
      </c>
      <c r="D65" s="15"/>
      <c r="E65" s="20"/>
      <c r="F65" s="20"/>
      <c r="G65" s="20"/>
      <c r="H65" s="19">
        <f>IF($B65="","",$B65&amp;"|"&amp;$E65)</f>
      </c>
    </row>
    <row r="66">
      <c r="A66" s="23"/>
      <c r="B66" s="20"/>
      <c r="C66" s="19">
        <f>IF($B66="","",IFERROR(VLOOKUP($B66,'Catálogo'!$A:$B,2,FALSE),"⚠ Código no existe"))</f>
      </c>
      <c r="D66" s="15"/>
      <c r="E66" s="20"/>
      <c r="F66" s="20"/>
      <c r="G66" s="20"/>
      <c r="H66" s="19">
        <f>IF($B66="","",$B66&amp;"|"&amp;$E66)</f>
      </c>
    </row>
    <row r="67">
      <c r="A67" s="23"/>
      <c r="B67" s="20"/>
      <c r="C67" s="19">
        <f>IF($B67="","",IFERROR(VLOOKUP($B67,'Catálogo'!$A:$B,2,FALSE),"⚠ Código no existe"))</f>
      </c>
      <c r="D67" s="15"/>
      <c r="E67" s="20"/>
      <c r="F67" s="20"/>
      <c r="G67" s="20"/>
      <c r="H67" s="19">
        <f>IF($B67="","",$B67&amp;"|"&amp;$E67)</f>
      </c>
    </row>
    <row r="68">
      <c r="A68" s="23"/>
      <c r="B68" s="20"/>
      <c r="C68" s="19">
        <f>IF($B68="","",IFERROR(VLOOKUP($B68,'Catálogo'!$A:$B,2,FALSE),"⚠ Código no existe"))</f>
      </c>
      <c r="D68" s="15"/>
      <c r="E68" s="20"/>
      <c r="F68" s="20"/>
      <c r="G68" s="20"/>
      <c r="H68" s="19">
        <f>IF($B68="","",$B68&amp;"|"&amp;$E68)</f>
      </c>
    </row>
    <row r="69">
      <c r="A69" s="23"/>
      <c r="B69" s="20"/>
      <c r="C69" s="19">
        <f>IF($B69="","",IFERROR(VLOOKUP($B69,'Catálogo'!$A:$B,2,FALSE),"⚠ Código no existe"))</f>
      </c>
      <c r="D69" s="15"/>
      <c r="E69" s="20"/>
      <c r="F69" s="20"/>
      <c r="G69" s="20"/>
      <c r="H69" s="19">
        <f>IF($B69="","",$B69&amp;"|"&amp;$E69)</f>
      </c>
    </row>
    <row r="70">
      <c r="A70" s="23"/>
      <c r="B70" s="20"/>
      <c r="C70" s="19">
        <f>IF($B70="","",IFERROR(VLOOKUP($B70,'Catálogo'!$A:$B,2,FALSE),"⚠ Código no existe"))</f>
      </c>
      <c r="D70" s="15"/>
      <c r="E70" s="20"/>
      <c r="F70" s="20"/>
      <c r="G70" s="20"/>
      <c r="H70" s="19">
        <f>IF($B70="","",$B70&amp;"|"&amp;$E70)</f>
      </c>
    </row>
    <row r="71">
      <c r="A71" s="23"/>
      <c r="B71" s="20"/>
      <c r="C71" s="19">
        <f>IF($B71="","",IFERROR(VLOOKUP($B71,'Catálogo'!$A:$B,2,FALSE),"⚠ Código no existe"))</f>
      </c>
      <c r="D71" s="15"/>
      <c r="E71" s="20"/>
      <c r="F71" s="20"/>
      <c r="G71" s="20"/>
      <c r="H71" s="19">
        <f>IF($B71="","",$B71&amp;"|"&amp;$E71)</f>
      </c>
    </row>
    <row r="72">
      <c r="A72" s="23"/>
      <c r="B72" s="20"/>
      <c r="C72" s="19">
        <f>IF($B72="","",IFERROR(VLOOKUP($B72,'Catálogo'!$A:$B,2,FALSE),"⚠ Código no existe"))</f>
      </c>
      <c r="D72" s="15"/>
      <c r="E72" s="20"/>
      <c r="F72" s="20"/>
      <c r="G72" s="20"/>
      <c r="H72" s="19">
        <f>IF($B72="","",$B72&amp;"|"&amp;$E72)</f>
      </c>
    </row>
    <row r="73">
      <c r="A73" s="23"/>
      <c r="B73" s="20"/>
      <c r="C73" s="19">
        <f>IF($B73="","",IFERROR(VLOOKUP($B73,'Catálogo'!$A:$B,2,FALSE),"⚠ Código no existe"))</f>
      </c>
      <c r="D73" s="15"/>
      <c r="E73" s="20"/>
      <c r="F73" s="20"/>
      <c r="G73" s="20"/>
      <c r="H73" s="19">
        <f>IF($B73="","",$B73&amp;"|"&amp;$E73)</f>
      </c>
    </row>
    <row r="74">
      <c r="A74" s="23"/>
      <c r="B74" s="20"/>
      <c r="C74" s="19">
        <f>IF($B74="","",IFERROR(VLOOKUP($B74,'Catálogo'!$A:$B,2,FALSE),"⚠ Código no existe"))</f>
      </c>
      <c r="D74" s="15"/>
      <c r="E74" s="20"/>
      <c r="F74" s="20"/>
      <c r="G74" s="20"/>
      <c r="H74" s="19">
        <f>IF($B74="","",$B74&amp;"|"&amp;$E74)</f>
      </c>
    </row>
    <row r="75">
      <c r="A75" s="23"/>
      <c r="B75" s="20"/>
      <c r="C75" s="19">
        <f>IF($B75="","",IFERROR(VLOOKUP($B75,'Catálogo'!$A:$B,2,FALSE),"⚠ Código no existe"))</f>
      </c>
      <c r="D75" s="15"/>
      <c r="E75" s="20"/>
      <c r="F75" s="20"/>
      <c r="G75" s="20"/>
      <c r="H75" s="19">
        <f>IF($B75="","",$B75&amp;"|"&amp;$E75)</f>
      </c>
    </row>
    <row r="76">
      <c r="A76" s="23"/>
      <c r="B76" s="20"/>
      <c r="C76" s="19">
        <f>IF($B76="","",IFERROR(VLOOKUP($B76,'Catálogo'!$A:$B,2,FALSE),"⚠ Código no existe"))</f>
      </c>
      <c r="D76" s="15"/>
      <c r="E76" s="20"/>
      <c r="F76" s="20"/>
      <c r="G76" s="20"/>
      <c r="H76" s="19">
        <f>IF($B76="","",$B76&amp;"|"&amp;$E76)</f>
      </c>
    </row>
    <row r="77">
      <c r="A77" s="23"/>
      <c r="B77" s="20"/>
      <c r="C77" s="19">
        <f>IF($B77="","",IFERROR(VLOOKUP($B77,'Catálogo'!$A:$B,2,FALSE),"⚠ Código no existe"))</f>
      </c>
      <c r="D77" s="15"/>
      <c r="E77" s="20"/>
      <c r="F77" s="20"/>
      <c r="G77" s="20"/>
      <c r="H77" s="19">
        <f>IF($B77="","",$B77&amp;"|"&amp;$E77)</f>
      </c>
    </row>
    <row r="78">
      <c r="A78" s="23"/>
      <c r="B78" s="20"/>
      <c r="C78" s="19">
        <f>IF($B78="","",IFERROR(VLOOKUP($B78,'Catálogo'!$A:$B,2,FALSE),"⚠ Código no existe"))</f>
      </c>
      <c r="D78" s="15"/>
      <c r="E78" s="20"/>
      <c r="F78" s="20"/>
      <c r="G78" s="20"/>
      <c r="H78" s="19">
        <f>IF($B78="","",$B78&amp;"|"&amp;$E78)</f>
      </c>
    </row>
    <row r="79">
      <c r="A79" s="23"/>
      <c r="B79" s="20"/>
      <c r="C79" s="19">
        <f>IF($B79="","",IFERROR(VLOOKUP($B79,'Catálogo'!$A:$B,2,FALSE),"⚠ Código no existe"))</f>
      </c>
      <c r="D79" s="15"/>
      <c r="E79" s="20"/>
      <c r="F79" s="20"/>
      <c r="G79" s="20"/>
      <c r="H79" s="19">
        <f>IF($B79="","",$B79&amp;"|"&amp;$E79)</f>
      </c>
    </row>
    <row r="80">
      <c r="A80" s="23"/>
      <c r="B80" s="20"/>
      <c r="C80" s="19">
        <f>IF($B80="","",IFERROR(VLOOKUP($B80,'Catálogo'!$A:$B,2,FALSE),"⚠ Código no existe"))</f>
      </c>
      <c r="D80" s="15"/>
      <c r="E80" s="20"/>
      <c r="F80" s="20"/>
      <c r="G80" s="20"/>
      <c r="H80" s="19">
        <f>IF($B80="","",$B80&amp;"|"&amp;$E80)</f>
      </c>
    </row>
    <row r="81">
      <c r="A81" s="23"/>
      <c r="B81" s="20"/>
      <c r="C81" s="19">
        <f>IF($B81="","",IFERROR(VLOOKUP($B81,'Catálogo'!$A:$B,2,FALSE),"⚠ Código no existe"))</f>
      </c>
      <c r="D81" s="15"/>
      <c r="E81" s="20"/>
      <c r="F81" s="20"/>
      <c r="G81" s="20"/>
      <c r="H81" s="19">
        <f>IF($B81="","",$B81&amp;"|"&amp;$E81)</f>
      </c>
    </row>
    <row r="82">
      <c r="A82" s="23"/>
      <c r="B82" s="20"/>
      <c r="C82" s="19">
        <f>IF($B82="","",IFERROR(VLOOKUP($B82,'Catálogo'!$A:$B,2,FALSE),"⚠ Código no existe"))</f>
      </c>
      <c r="D82" s="15"/>
      <c r="E82" s="20"/>
      <c r="F82" s="20"/>
      <c r="G82" s="20"/>
      <c r="H82" s="19">
        <f>IF($B82="","",$B82&amp;"|"&amp;$E82)</f>
      </c>
    </row>
    <row r="83">
      <c r="A83" s="23"/>
      <c r="B83" s="20"/>
      <c r="C83" s="19">
        <f>IF($B83="","",IFERROR(VLOOKUP($B83,'Catálogo'!$A:$B,2,FALSE),"⚠ Código no existe"))</f>
      </c>
      <c r="D83" s="15"/>
      <c r="E83" s="20"/>
      <c r="F83" s="20"/>
      <c r="G83" s="20"/>
      <c r="H83" s="19">
        <f>IF($B83="","",$B83&amp;"|"&amp;$E83)</f>
      </c>
    </row>
    <row r="84">
      <c r="A84" s="23"/>
      <c r="B84" s="20"/>
      <c r="C84" s="19">
        <f>IF($B84="","",IFERROR(VLOOKUP($B84,'Catálogo'!$A:$B,2,FALSE),"⚠ Código no existe"))</f>
      </c>
      <c r="D84" s="15"/>
      <c r="E84" s="20"/>
      <c r="F84" s="20"/>
      <c r="G84" s="20"/>
      <c r="H84" s="19">
        <f>IF($B84="","",$B84&amp;"|"&amp;$E84)</f>
      </c>
    </row>
    <row r="85">
      <c r="A85" s="23"/>
      <c r="B85" s="20"/>
      <c r="C85" s="19">
        <f>IF($B85="","",IFERROR(VLOOKUP($B85,'Catálogo'!$A:$B,2,FALSE),"⚠ Código no existe"))</f>
      </c>
      <c r="D85" s="15"/>
      <c r="E85" s="20"/>
      <c r="F85" s="20"/>
      <c r="G85" s="20"/>
      <c r="H85" s="19">
        <f>IF($B85="","",$B85&amp;"|"&amp;$E85)</f>
      </c>
    </row>
    <row r="86">
      <c r="A86" s="23"/>
      <c r="B86" s="20"/>
      <c r="C86" s="19">
        <f>IF($B86="","",IFERROR(VLOOKUP($B86,'Catálogo'!$A:$B,2,FALSE),"⚠ Código no existe"))</f>
      </c>
      <c r="D86" s="15"/>
      <c r="E86" s="20"/>
      <c r="F86" s="20"/>
      <c r="G86" s="20"/>
      <c r="H86" s="19">
        <f>IF($B86="","",$B86&amp;"|"&amp;$E86)</f>
      </c>
    </row>
    <row r="87">
      <c r="A87" s="23"/>
      <c r="B87" s="20"/>
      <c r="C87" s="19">
        <f>IF($B87="","",IFERROR(VLOOKUP($B87,'Catálogo'!$A:$B,2,FALSE),"⚠ Código no existe"))</f>
      </c>
      <c r="D87" s="15"/>
      <c r="E87" s="20"/>
      <c r="F87" s="20"/>
      <c r="G87" s="20"/>
      <c r="H87" s="19">
        <f>IF($B87="","",$B87&amp;"|"&amp;$E87)</f>
      </c>
    </row>
    <row r="88">
      <c r="A88" s="23"/>
      <c r="B88" s="20"/>
      <c r="C88" s="19">
        <f>IF($B88="","",IFERROR(VLOOKUP($B88,'Catálogo'!$A:$B,2,FALSE),"⚠ Código no existe"))</f>
      </c>
      <c r="D88" s="15"/>
      <c r="E88" s="20"/>
      <c r="F88" s="20"/>
      <c r="G88" s="20"/>
      <c r="H88" s="19">
        <f>IF($B88="","",$B88&amp;"|"&amp;$E88)</f>
      </c>
    </row>
    <row r="89">
      <c r="A89" s="23"/>
      <c r="B89" s="20"/>
      <c r="C89" s="19">
        <f>IF($B89="","",IFERROR(VLOOKUP($B89,'Catálogo'!$A:$B,2,FALSE),"⚠ Código no existe"))</f>
      </c>
      <c r="D89" s="15"/>
      <c r="E89" s="20"/>
      <c r="F89" s="20"/>
      <c r="G89" s="20"/>
      <c r="H89" s="19">
        <f>IF($B89="","",$B89&amp;"|"&amp;$E89)</f>
      </c>
    </row>
    <row r="90">
      <c r="A90" s="23"/>
      <c r="B90" s="20"/>
      <c r="C90" s="19">
        <f>IF($B90="","",IFERROR(VLOOKUP($B90,'Catálogo'!$A:$B,2,FALSE),"⚠ Código no existe"))</f>
      </c>
      <c r="D90" s="15"/>
      <c r="E90" s="20"/>
      <c r="F90" s="20"/>
      <c r="G90" s="20"/>
      <c r="H90" s="19">
        <f>IF($B90="","",$B90&amp;"|"&amp;$E90)</f>
      </c>
    </row>
    <row r="91">
      <c r="A91" s="23"/>
      <c r="B91" s="20"/>
      <c r="C91" s="19">
        <f>IF($B91="","",IFERROR(VLOOKUP($B91,'Catálogo'!$A:$B,2,FALSE),"⚠ Código no existe"))</f>
      </c>
      <c r="D91" s="15"/>
      <c r="E91" s="20"/>
      <c r="F91" s="20"/>
      <c r="G91" s="20"/>
      <c r="H91" s="19">
        <f>IF($B91="","",$B91&amp;"|"&amp;$E91)</f>
      </c>
    </row>
    <row r="92">
      <c r="A92" s="23"/>
      <c r="B92" s="20"/>
      <c r="C92" s="19">
        <f>IF($B92="","",IFERROR(VLOOKUP($B92,'Catálogo'!$A:$B,2,FALSE),"⚠ Código no existe"))</f>
      </c>
      <c r="D92" s="15"/>
      <c r="E92" s="20"/>
      <c r="F92" s="20"/>
      <c r="G92" s="20"/>
      <c r="H92" s="19">
        <f>IF($B92="","",$B92&amp;"|"&amp;$E92)</f>
      </c>
    </row>
    <row r="93">
      <c r="A93" s="23"/>
      <c r="B93" s="20"/>
      <c r="C93" s="19">
        <f>IF($B93="","",IFERROR(VLOOKUP($B93,'Catálogo'!$A:$B,2,FALSE),"⚠ Código no existe"))</f>
      </c>
      <c r="D93" s="15"/>
      <c r="E93" s="20"/>
      <c r="F93" s="20"/>
      <c r="G93" s="20"/>
      <c r="H93" s="19">
        <f>IF($B93="","",$B93&amp;"|"&amp;$E93)</f>
      </c>
    </row>
    <row r="94">
      <c r="A94" s="23"/>
      <c r="B94" s="20"/>
      <c r="C94" s="19">
        <f>IF($B94="","",IFERROR(VLOOKUP($B94,'Catálogo'!$A:$B,2,FALSE),"⚠ Código no existe"))</f>
      </c>
      <c r="D94" s="15"/>
      <c r="E94" s="20"/>
      <c r="F94" s="20"/>
      <c r="G94" s="20"/>
      <c r="H94" s="19">
        <f>IF($B94="","",$B94&amp;"|"&amp;$E94)</f>
      </c>
    </row>
    <row r="95">
      <c r="A95" s="23"/>
      <c r="B95" s="20"/>
      <c r="C95" s="19">
        <f>IF($B95="","",IFERROR(VLOOKUP($B95,'Catálogo'!$A:$B,2,FALSE),"⚠ Código no existe"))</f>
      </c>
      <c r="D95" s="15"/>
      <c r="E95" s="20"/>
      <c r="F95" s="20"/>
      <c r="G95" s="20"/>
      <c r="H95" s="19">
        <f>IF($B95="","",$B95&amp;"|"&amp;$E95)</f>
      </c>
    </row>
    <row r="96">
      <c r="A96" s="23"/>
      <c r="B96" s="20"/>
      <c r="C96" s="19">
        <f>IF($B96="","",IFERROR(VLOOKUP($B96,'Catálogo'!$A:$B,2,FALSE),"⚠ Código no existe"))</f>
      </c>
      <c r="D96" s="15"/>
      <c r="E96" s="20"/>
      <c r="F96" s="20"/>
      <c r="G96" s="20"/>
      <c r="H96" s="19">
        <f>IF($B96="","",$B96&amp;"|"&amp;$E96)</f>
      </c>
    </row>
    <row r="97">
      <c r="A97" s="23"/>
      <c r="B97" s="20"/>
      <c r="C97" s="19">
        <f>IF($B97="","",IFERROR(VLOOKUP($B97,'Catálogo'!$A:$B,2,FALSE),"⚠ Código no existe"))</f>
      </c>
      <c r="D97" s="15"/>
      <c r="E97" s="20"/>
      <c r="F97" s="20"/>
      <c r="G97" s="20"/>
      <c r="H97" s="19">
        <f>IF($B97="","",$B97&amp;"|"&amp;$E97)</f>
      </c>
    </row>
    <row r="98">
      <c r="A98" s="23"/>
      <c r="B98" s="20"/>
      <c r="C98" s="19">
        <f>IF($B98="","",IFERROR(VLOOKUP($B98,'Catálogo'!$A:$B,2,FALSE),"⚠ Código no existe"))</f>
      </c>
      <c r="D98" s="15"/>
      <c r="E98" s="20"/>
      <c r="F98" s="20"/>
      <c r="G98" s="20"/>
      <c r="H98" s="19">
        <f>IF($B98="","",$B98&amp;"|"&amp;$E98)</f>
      </c>
    </row>
    <row r="99">
      <c r="A99" s="23"/>
      <c r="B99" s="20"/>
      <c r="C99" s="19">
        <f>IF($B99="","",IFERROR(VLOOKUP($B99,'Catálogo'!$A:$B,2,FALSE),"⚠ Código no existe"))</f>
      </c>
      <c r="D99" s="15"/>
      <c r="E99" s="20"/>
      <c r="F99" s="20"/>
      <c r="G99" s="20"/>
      <c r="H99" s="19">
        <f>IF($B99="","",$B99&amp;"|"&amp;$E99)</f>
      </c>
    </row>
    <row r="100">
      <c r="A100" s="23"/>
      <c r="B100" s="20"/>
      <c r="C100" s="19">
        <f>IF($B100="","",IFERROR(VLOOKUP($B100,'Catálogo'!$A:$B,2,FALSE),"⚠ Código no existe"))</f>
      </c>
      <c r="D100" s="15"/>
      <c r="E100" s="20"/>
      <c r="F100" s="20"/>
      <c r="G100" s="20"/>
      <c r="H100" s="19">
        <f>IF($B100="","",$B100&amp;"|"&amp;$E100)</f>
      </c>
    </row>
    <row r="101">
      <c r="A101" s="23"/>
      <c r="B101" s="20"/>
      <c r="C101" s="19">
        <f>IF($B101="","",IFERROR(VLOOKUP($B101,'Catálogo'!$A:$B,2,FALSE),"⚠ Código no existe"))</f>
      </c>
      <c r="D101" s="15"/>
      <c r="E101" s="20"/>
      <c r="F101" s="20"/>
      <c r="G101" s="20"/>
      <c r="H101" s="19">
        <f>IF($B101="","",$B101&amp;"|"&amp;$E101)</f>
      </c>
    </row>
    <row r="102">
      <c r="A102" s="23"/>
      <c r="B102" s="20"/>
      <c r="C102" s="19">
        <f>IF($B102="","",IFERROR(VLOOKUP($B102,'Catálogo'!$A:$B,2,FALSE),"⚠ Código no existe"))</f>
      </c>
      <c r="D102" s="15"/>
      <c r="E102" s="20"/>
      <c r="F102" s="20"/>
      <c r="G102" s="20"/>
      <c r="H102" s="19">
        <f>IF($B102="","",$B102&amp;"|"&amp;$E102)</f>
      </c>
    </row>
    <row r="103">
      <c r="A103" s="23"/>
      <c r="B103" s="20"/>
      <c r="C103" s="19">
        <f>IF($B103="","",IFERROR(VLOOKUP($B103,'Catálogo'!$A:$B,2,FALSE),"⚠ Código no existe"))</f>
      </c>
      <c r="D103" s="15"/>
      <c r="E103" s="20"/>
      <c r="F103" s="20"/>
      <c r="G103" s="20"/>
      <c r="H103" s="19">
        <f>IF($B103="","",$B103&amp;"|"&amp;$E103)</f>
      </c>
    </row>
    <row r="104">
      <c r="A104" s="23"/>
      <c r="B104" s="20"/>
      <c r="C104" s="19">
        <f>IF($B104="","",IFERROR(VLOOKUP($B104,'Catálogo'!$A:$B,2,FALSE),"⚠ Código no existe"))</f>
      </c>
      <c r="D104" s="15"/>
      <c r="E104" s="20"/>
      <c r="F104" s="20"/>
      <c r="G104" s="20"/>
      <c r="H104" s="19">
        <f>IF($B104="","",$B104&amp;"|"&amp;$E104)</f>
      </c>
    </row>
    <row r="105">
      <c r="A105" s="23"/>
      <c r="B105" s="20"/>
      <c r="C105" s="19">
        <f>IF($B105="","",IFERROR(VLOOKUP($B105,'Catálogo'!$A:$B,2,FALSE),"⚠ Código no existe"))</f>
      </c>
      <c r="D105" s="15"/>
      <c r="E105" s="20"/>
      <c r="F105" s="20"/>
      <c r="G105" s="20"/>
      <c r="H105" s="19">
        <f>IF($B105="","",$B105&amp;"|"&amp;$E105)</f>
      </c>
    </row>
    <row r="106">
      <c r="A106" s="23"/>
      <c r="B106" s="20"/>
      <c r="C106" s="19">
        <f>IF($B106="","",IFERROR(VLOOKUP($B106,'Catálogo'!$A:$B,2,FALSE),"⚠ Código no existe"))</f>
      </c>
      <c r="D106" s="15"/>
      <c r="E106" s="20"/>
      <c r="F106" s="20"/>
      <c r="G106" s="20"/>
      <c r="H106" s="19">
        <f>IF($B106="","",$B106&amp;"|"&amp;$E106)</f>
      </c>
    </row>
    <row r="107">
      <c r="A107" s="23"/>
      <c r="B107" s="20"/>
      <c r="C107" s="19">
        <f>IF($B107="","",IFERROR(VLOOKUP($B107,'Catálogo'!$A:$B,2,FALSE),"⚠ Código no existe"))</f>
      </c>
      <c r="D107" s="15"/>
      <c r="E107" s="20"/>
      <c r="F107" s="20"/>
      <c r="G107" s="20"/>
      <c r="H107" s="19">
        <f>IF($B107="","",$B107&amp;"|"&amp;$E107)</f>
      </c>
    </row>
    <row r="108">
      <c r="A108" s="23"/>
      <c r="B108" s="20"/>
      <c r="C108" s="19">
        <f>IF($B108="","",IFERROR(VLOOKUP($B108,'Catálogo'!$A:$B,2,FALSE),"⚠ Código no existe"))</f>
      </c>
      <c r="D108" s="15"/>
      <c r="E108" s="20"/>
      <c r="F108" s="20"/>
      <c r="G108" s="20"/>
      <c r="H108" s="19">
        <f>IF($B108="","",$B108&amp;"|"&amp;$E108)</f>
      </c>
    </row>
    <row r="109">
      <c r="A109" s="23"/>
      <c r="B109" s="20"/>
      <c r="C109" s="19">
        <f>IF($B109="","",IFERROR(VLOOKUP($B109,'Catálogo'!$A:$B,2,FALSE),"⚠ Código no existe"))</f>
      </c>
      <c r="D109" s="15"/>
      <c r="E109" s="20"/>
      <c r="F109" s="20"/>
      <c r="G109" s="20"/>
      <c r="H109" s="19">
        <f>IF($B109="","",$B109&amp;"|"&amp;$E109)</f>
      </c>
    </row>
    <row r="110">
      <c r="A110" s="23"/>
      <c r="B110" s="20"/>
      <c r="C110" s="19">
        <f>IF($B110="","",IFERROR(VLOOKUP($B110,'Catálogo'!$A:$B,2,FALSE),"⚠ Código no existe"))</f>
      </c>
      <c r="D110" s="15"/>
      <c r="E110" s="20"/>
      <c r="F110" s="20"/>
      <c r="G110" s="20"/>
      <c r="H110" s="19">
        <f>IF($B110="","",$B110&amp;"|"&amp;$E110)</f>
      </c>
    </row>
    <row r="111">
      <c r="A111" s="23"/>
      <c r="B111" s="20"/>
      <c r="C111" s="19">
        <f>IF($B111="","",IFERROR(VLOOKUP($B111,'Catálogo'!$A:$B,2,FALSE),"⚠ Código no existe"))</f>
      </c>
      <c r="D111" s="15"/>
      <c r="E111" s="20"/>
      <c r="F111" s="20"/>
      <c r="G111" s="20"/>
      <c r="H111" s="19">
        <f>IF($B111="","",$B111&amp;"|"&amp;$E111)</f>
      </c>
    </row>
    <row r="112">
      <c r="A112" s="23"/>
      <c r="B112" s="20"/>
      <c r="C112" s="19">
        <f>IF($B112="","",IFERROR(VLOOKUP($B112,'Catálogo'!$A:$B,2,FALSE),"⚠ Código no existe"))</f>
      </c>
      <c r="D112" s="15"/>
      <c r="E112" s="20"/>
      <c r="F112" s="20"/>
      <c r="G112" s="20"/>
      <c r="H112" s="19">
        <f>IF($B112="","",$B112&amp;"|"&amp;$E112)</f>
      </c>
    </row>
    <row r="113">
      <c r="A113" s="23"/>
      <c r="B113" s="20"/>
      <c r="C113" s="19">
        <f>IF($B113="","",IFERROR(VLOOKUP($B113,'Catálogo'!$A:$B,2,FALSE),"⚠ Código no existe"))</f>
      </c>
      <c r="D113" s="15"/>
      <c r="E113" s="20"/>
      <c r="F113" s="20"/>
      <c r="G113" s="20"/>
      <c r="H113" s="19">
        <f>IF($B113="","",$B113&amp;"|"&amp;$E113)</f>
      </c>
    </row>
    <row r="114">
      <c r="A114" s="23"/>
      <c r="B114" s="20"/>
      <c r="C114" s="19">
        <f>IF($B114="","",IFERROR(VLOOKUP($B114,'Catálogo'!$A:$B,2,FALSE),"⚠ Código no existe"))</f>
      </c>
      <c r="D114" s="15"/>
      <c r="E114" s="20"/>
      <c r="F114" s="20"/>
      <c r="G114" s="20"/>
      <c r="H114" s="19">
        <f>IF($B114="","",$B114&amp;"|"&amp;$E114)</f>
      </c>
    </row>
    <row r="115">
      <c r="A115" s="23"/>
      <c r="B115" s="20"/>
      <c r="C115" s="19">
        <f>IF($B115="","",IFERROR(VLOOKUP($B115,'Catálogo'!$A:$B,2,FALSE),"⚠ Código no existe"))</f>
      </c>
      <c r="D115" s="15"/>
      <c r="E115" s="20"/>
      <c r="F115" s="20"/>
      <c r="G115" s="20"/>
      <c r="H115" s="19">
        <f>IF($B115="","",$B115&amp;"|"&amp;$E115)</f>
      </c>
    </row>
    <row r="116">
      <c r="A116" s="23"/>
      <c r="B116" s="20"/>
      <c r="C116" s="19">
        <f>IF($B116="","",IFERROR(VLOOKUP($B116,'Catálogo'!$A:$B,2,FALSE),"⚠ Código no existe"))</f>
      </c>
      <c r="D116" s="15"/>
      <c r="E116" s="20"/>
      <c r="F116" s="20"/>
      <c r="G116" s="20"/>
      <c r="H116" s="19">
        <f>IF($B116="","",$B116&amp;"|"&amp;$E116)</f>
      </c>
    </row>
    <row r="117">
      <c r="A117" s="23"/>
      <c r="B117" s="20"/>
      <c r="C117" s="19">
        <f>IF($B117="","",IFERROR(VLOOKUP($B117,'Catálogo'!$A:$B,2,FALSE),"⚠ Código no existe"))</f>
      </c>
      <c r="D117" s="15"/>
      <c r="E117" s="20"/>
      <c r="F117" s="20"/>
      <c r="G117" s="20"/>
      <c r="H117" s="19">
        <f>IF($B117="","",$B117&amp;"|"&amp;$E117)</f>
      </c>
    </row>
    <row r="118">
      <c r="A118" s="23"/>
      <c r="B118" s="20"/>
      <c r="C118" s="19">
        <f>IF($B118="","",IFERROR(VLOOKUP($B118,'Catálogo'!$A:$B,2,FALSE),"⚠ Código no existe"))</f>
      </c>
      <c r="D118" s="15"/>
      <c r="E118" s="20"/>
      <c r="F118" s="20"/>
      <c r="G118" s="20"/>
      <c r="H118" s="19">
        <f>IF($B118="","",$B118&amp;"|"&amp;$E118)</f>
      </c>
    </row>
    <row r="119">
      <c r="A119" s="23"/>
      <c r="B119" s="20"/>
      <c r="C119" s="19">
        <f>IF($B119="","",IFERROR(VLOOKUP($B119,'Catálogo'!$A:$B,2,FALSE),"⚠ Código no existe"))</f>
      </c>
      <c r="D119" s="15"/>
      <c r="E119" s="20"/>
      <c r="F119" s="20"/>
      <c r="G119" s="20"/>
      <c r="H119" s="19">
        <f>IF($B119="","",$B119&amp;"|"&amp;$E119)</f>
      </c>
    </row>
    <row r="120">
      <c r="A120" s="23"/>
      <c r="B120" s="20"/>
      <c r="C120" s="19">
        <f>IF($B120="","",IFERROR(VLOOKUP($B120,'Catálogo'!$A:$B,2,FALSE),"⚠ Código no existe"))</f>
      </c>
      <c r="D120" s="15"/>
      <c r="E120" s="20"/>
      <c r="F120" s="20"/>
      <c r="G120" s="20"/>
      <c r="H120" s="19">
        <f>IF($B120="","",$B120&amp;"|"&amp;$E120)</f>
      </c>
    </row>
    <row r="121">
      <c r="A121" s="23"/>
      <c r="B121" s="20"/>
      <c r="C121" s="19">
        <f>IF($B121="","",IFERROR(VLOOKUP($B121,'Catálogo'!$A:$B,2,FALSE),"⚠ Código no existe"))</f>
      </c>
      <c r="D121" s="15"/>
      <c r="E121" s="20"/>
      <c r="F121" s="20"/>
      <c r="G121" s="20"/>
      <c r="H121" s="19">
        <f>IF($B121="","",$B121&amp;"|"&amp;$E121)</f>
      </c>
    </row>
    <row r="122">
      <c r="A122" s="23"/>
      <c r="B122" s="20"/>
      <c r="C122" s="19">
        <f>IF($B122="","",IFERROR(VLOOKUP($B122,'Catálogo'!$A:$B,2,FALSE),"⚠ Código no existe"))</f>
      </c>
      <c r="D122" s="15"/>
      <c r="E122" s="20"/>
      <c r="F122" s="20"/>
      <c r="G122" s="20"/>
      <c r="H122" s="19">
        <f>IF($B122="","",$B122&amp;"|"&amp;$E122)</f>
      </c>
    </row>
    <row r="123">
      <c r="A123" s="23"/>
      <c r="B123" s="20"/>
      <c r="C123" s="19">
        <f>IF($B123="","",IFERROR(VLOOKUP($B123,'Catálogo'!$A:$B,2,FALSE),"⚠ Código no existe"))</f>
      </c>
      <c r="D123" s="15"/>
      <c r="E123" s="20"/>
      <c r="F123" s="20"/>
      <c r="G123" s="20"/>
      <c r="H123" s="19">
        <f>IF($B123="","",$B123&amp;"|"&amp;$E123)</f>
      </c>
    </row>
    <row r="124">
      <c r="A124" s="23"/>
      <c r="B124" s="20"/>
      <c r="C124" s="19">
        <f>IF($B124="","",IFERROR(VLOOKUP($B124,'Catálogo'!$A:$B,2,FALSE),"⚠ Código no existe"))</f>
      </c>
      <c r="D124" s="15"/>
      <c r="E124" s="20"/>
      <c r="F124" s="20"/>
      <c r="G124" s="20"/>
      <c r="H124" s="19">
        <f>IF($B124="","",$B124&amp;"|"&amp;$E124)</f>
      </c>
    </row>
    <row r="125">
      <c r="A125" s="23"/>
      <c r="B125" s="20"/>
      <c r="C125" s="19">
        <f>IF($B125="","",IFERROR(VLOOKUP($B125,'Catálogo'!$A:$B,2,FALSE),"⚠ Código no existe"))</f>
      </c>
      <c r="D125" s="15"/>
      <c r="E125" s="20"/>
      <c r="F125" s="20"/>
      <c r="G125" s="20"/>
      <c r="H125" s="19">
        <f>IF($B125="","",$B125&amp;"|"&amp;$E125)</f>
      </c>
    </row>
    <row r="126">
      <c r="A126" s="23"/>
      <c r="B126" s="20"/>
      <c r="C126" s="19">
        <f>IF($B126="","",IFERROR(VLOOKUP($B126,'Catálogo'!$A:$B,2,FALSE),"⚠ Código no existe"))</f>
      </c>
      <c r="D126" s="15"/>
      <c r="E126" s="20"/>
      <c r="F126" s="20"/>
      <c r="G126" s="20"/>
      <c r="H126" s="19">
        <f>IF($B126="","",$B126&amp;"|"&amp;$E126)</f>
      </c>
    </row>
    <row r="127">
      <c r="A127" s="23"/>
      <c r="B127" s="20"/>
      <c r="C127" s="19">
        <f>IF($B127="","",IFERROR(VLOOKUP($B127,'Catálogo'!$A:$B,2,FALSE),"⚠ Código no existe"))</f>
      </c>
      <c r="D127" s="15"/>
      <c r="E127" s="20"/>
      <c r="F127" s="20"/>
      <c r="G127" s="20"/>
      <c r="H127" s="19">
        <f>IF($B127="","",$B127&amp;"|"&amp;$E127)</f>
      </c>
    </row>
    <row r="128">
      <c r="A128" s="23"/>
      <c r="B128" s="20"/>
      <c r="C128" s="19">
        <f>IF($B128="","",IFERROR(VLOOKUP($B128,'Catálogo'!$A:$B,2,FALSE),"⚠ Código no existe"))</f>
      </c>
      <c r="D128" s="15"/>
      <c r="E128" s="20"/>
      <c r="F128" s="20"/>
      <c r="G128" s="20"/>
      <c r="H128" s="19">
        <f>IF($B128="","",$B128&amp;"|"&amp;$E128)</f>
      </c>
    </row>
    <row r="129">
      <c r="A129" s="23"/>
      <c r="B129" s="20"/>
      <c r="C129" s="19">
        <f>IF($B129="","",IFERROR(VLOOKUP($B129,'Catálogo'!$A:$B,2,FALSE),"⚠ Código no existe"))</f>
      </c>
      <c r="D129" s="15"/>
      <c r="E129" s="20"/>
      <c r="F129" s="20"/>
      <c r="G129" s="20"/>
      <c r="H129" s="19">
        <f>IF($B129="","",$B129&amp;"|"&amp;$E129)</f>
      </c>
    </row>
    <row r="130">
      <c r="A130" s="23"/>
      <c r="B130" s="20"/>
      <c r="C130" s="19">
        <f>IF($B130="","",IFERROR(VLOOKUP($B130,'Catálogo'!$A:$B,2,FALSE),"⚠ Código no existe"))</f>
      </c>
      <c r="D130" s="15"/>
      <c r="E130" s="20"/>
      <c r="F130" s="20"/>
      <c r="G130" s="20"/>
      <c r="H130" s="19">
        <f>IF($B130="","",$B130&amp;"|"&amp;$E130)</f>
      </c>
    </row>
    <row r="131">
      <c r="A131" s="23"/>
      <c r="B131" s="20"/>
      <c r="C131" s="19">
        <f>IF($B131="","",IFERROR(VLOOKUP($B131,'Catálogo'!$A:$B,2,FALSE),"⚠ Código no existe"))</f>
      </c>
      <c r="D131" s="15"/>
      <c r="E131" s="20"/>
      <c r="F131" s="20"/>
      <c r="G131" s="20"/>
      <c r="H131" s="19">
        <f>IF($B131="","",$B131&amp;"|"&amp;$E131)</f>
      </c>
    </row>
    <row r="132">
      <c r="A132" s="23"/>
      <c r="B132" s="20"/>
      <c r="C132" s="19">
        <f>IF($B132="","",IFERROR(VLOOKUP($B132,'Catálogo'!$A:$B,2,FALSE),"⚠ Código no existe"))</f>
      </c>
      <c r="D132" s="15"/>
      <c r="E132" s="20"/>
      <c r="F132" s="20"/>
      <c r="G132" s="20"/>
      <c r="H132" s="19">
        <f>IF($B132="","",$B132&amp;"|"&amp;$E132)</f>
      </c>
    </row>
    <row r="133">
      <c r="A133" s="23"/>
      <c r="B133" s="20"/>
      <c r="C133" s="19">
        <f>IF($B133="","",IFERROR(VLOOKUP($B133,'Catálogo'!$A:$B,2,FALSE),"⚠ Código no existe"))</f>
      </c>
      <c r="D133" s="15"/>
      <c r="E133" s="20"/>
      <c r="F133" s="20"/>
      <c r="G133" s="20"/>
      <c r="H133" s="19">
        <f>IF($B133="","",$B133&amp;"|"&amp;$E133)</f>
      </c>
    </row>
    <row r="134">
      <c r="A134" s="23"/>
      <c r="B134" s="20"/>
      <c r="C134" s="19">
        <f>IF($B134="","",IFERROR(VLOOKUP($B134,'Catálogo'!$A:$B,2,FALSE),"⚠ Código no existe"))</f>
      </c>
      <c r="D134" s="15"/>
      <c r="E134" s="20"/>
      <c r="F134" s="20"/>
      <c r="G134" s="20"/>
      <c r="H134" s="19">
        <f>IF($B134="","",$B134&amp;"|"&amp;$E134)</f>
      </c>
    </row>
    <row r="135">
      <c r="A135" s="23"/>
      <c r="B135" s="20"/>
      <c r="C135" s="19">
        <f>IF($B135="","",IFERROR(VLOOKUP($B135,'Catálogo'!$A:$B,2,FALSE),"⚠ Código no existe"))</f>
      </c>
      <c r="D135" s="15"/>
      <c r="E135" s="20"/>
      <c r="F135" s="20"/>
      <c r="G135" s="20"/>
      <c r="H135" s="19">
        <f>IF($B135="","",$B135&amp;"|"&amp;$E135)</f>
      </c>
    </row>
    <row r="136">
      <c r="A136" s="23"/>
      <c r="B136" s="20"/>
      <c r="C136" s="19">
        <f>IF($B136="","",IFERROR(VLOOKUP($B136,'Catálogo'!$A:$B,2,FALSE),"⚠ Código no existe"))</f>
      </c>
      <c r="D136" s="15"/>
      <c r="E136" s="20"/>
      <c r="F136" s="20"/>
      <c r="G136" s="20"/>
      <c r="H136" s="19">
        <f>IF($B136="","",$B136&amp;"|"&amp;$E136)</f>
      </c>
    </row>
    <row r="137">
      <c r="A137" s="23"/>
      <c r="B137" s="20"/>
      <c r="C137" s="19">
        <f>IF($B137="","",IFERROR(VLOOKUP($B137,'Catálogo'!$A:$B,2,FALSE),"⚠ Código no existe"))</f>
      </c>
      <c r="D137" s="15"/>
      <c r="E137" s="20"/>
      <c r="F137" s="20"/>
      <c r="G137" s="20"/>
      <c r="H137" s="19">
        <f>IF($B137="","",$B137&amp;"|"&amp;$E137)</f>
      </c>
    </row>
    <row r="138">
      <c r="A138" s="23"/>
      <c r="B138" s="20"/>
      <c r="C138" s="19">
        <f>IF($B138="","",IFERROR(VLOOKUP($B138,'Catálogo'!$A:$B,2,FALSE),"⚠ Código no existe"))</f>
      </c>
      <c r="D138" s="15"/>
      <c r="E138" s="20"/>
      <c r="F138" s="20"/>
      <c r="G138" s="20"/>
      <c r="H138" s="19">
        <f>IF($B138="","",$B138&amp;"|"&amp;$E138)</f>
      </c>
    </row>
    <row r="139">
      <c r="A139" s="23"/>
      <c r="B139" s="20"/>
      <c r="C139" s="19">
        <f>IF($B139="","",IFERROR(VLOOKUP($B139,'Catálogo'!$A:$B,2,FALSE),"⚠ Código no existe"))</f>
      </c>
      <c r="D139" s="15"/>
      <c r="E139" s="20"/>
      <c r="F139" s="20"/>
      <c r="G139" s="20"/>
      <c r="H139" s="19">
        <f>IF($B139="","",$B139&amp;"|"&amp;$E139)</f>
      </c>
    </row>
    <row r="140">
      <c r="A140" s="23"/>
      <c r="B140" s="20"/>
      <c r="C140" s="19">
        <f>IF($B140="","",IFERROR(VLOOKUP($B140,'Catálogo'!$A:$B,2,FALSE),"⚠ Código no existe"))</f>
      </c>
      <c r="D140" s="15"/>
      <c r="E140" s="20"/>
      <c r="F140" s="20"/>
      <c r="G140" s="20"/>
      <c r="H140" s="19">
        <f>IF($B140="","",$B140&amp;"|"&amp;$E140)</f>
      </c>
    </row>
    <row r="141">
      <c r="A141" s="23"/>
      <c r="B141" s="20"/>
      <c r="C141" s="19">
        <f>IF($B141="","",IFERROR(VLOOKUP($B141,'Catálogo'!$A:$B,2,FALSE),"⚠ Código no existe"))</f>
      </c>
      <c r="D141" s="15"/>
      <c r="E141" s="20"/>
      <c r="F141" s="20"/>
      <c r="G141" s="20"/>
      <c r="H141" s="19">
        <f>IF($B141="","",$B141&amp;"|"&amp;$E141)</f>
      </c>
    </row>
    <row r="142">
      <c r="A142" s="23"/>
      <c r="B142" s="20"/>
      <c r="C142" s="19">
        <f>IF($B142="","",IFERROR(VLOOKUP($B142,'Catálogo'!$A:$B,2,FALSE),"⚠ Código no existe"))</f>
      </c>
      <c r="D142" s="15"/>
      <c r="E142" s="20"/>
      <c r="F142" s="20"/>
      <c r="G142" s="20"/>
      <c r="H142" s="19">
        <f>IF($B142="","",$B142&amp;"|"&amp;$E142)</f>
      </c>
    </row>
    <row r="143">
      <c r="A143" s="23"/>
      <c r="B143" s="20"/>
      <c r="C143" s="19">
        <f>IF($B143="","",IFERROR(VLOOKUP($B143,'Catálogo'!$A:$B,2,FALSE),"⚠ Código no existe"))</f>
      </c>
      <c r="D143" s="15"/>
      <c r="E143" s="20"/>
      <c r="F143" s="20"/>
      <c r="G143" s="20"/>
      <c r="H143" s="19">
        <f>IF($B143="","",$B143&amp;"|"&amp;$E143)</f>
      </c>
    </row>
    <row r="144">
      <c r="A144" s="23"/>
      <c r="B144" s="20"/>
      <c r="C144" s="19">
        <f>IF($B144="","",IFERROR(VLOOKUP($B144,'Catálogo'!$A:$B,2,FALSE),"⚠ Código no existe"))</f>
      </c>
      <c r="D144" s="15"/>
      <c r="E144" s="20"/>
      <c r="F144" s="20"/>
      <c r="G144" s="20"/>
      <c r="H144" s="19">
        <f>IF($B144="","",$B144&amp;"|"&amp;$E144)</f>
      </c>
    </row>
    <row r="145">
      <c r="A145" s="23"/>
      <c r="B145" s="20"/>
      <c r="C145" s="19">
        <f>IF($B145="","",IFERROR(VLOOKUP($B145,'Catálogo'!$A:$B,2,FALSE),"⚠ Código no existe"))</f>
      </c>
      <c r="D145" s="15"/>
      <c r="E145" s="20"/>
      <c r="F145" s="20"/>
      <c r="G145" s="20"/>
      <c r="H145" s="19">
        <f>IF($B145="","",$B145&amp;"|"&amp;$E145)</f>
      </c>
    </row>
    <row r="146">
      <c r="A146" s="23"/>
      <c r="B146" s="20"/>
      <c r="C146" s="19">
        <f>IF($B146="","",IFERROR(VLOOKUP($B146,'Catálogo'!$A:$B,2,FALSE),"⚠ Código no existe"))</f>
      </c>
      <c r="D146" s="15"/>
      <c r="E146" s="20"/>
      <c r="F146" s="20"/>
      <c r="G146" s="20"/>
      <c r="H146" s="19">
        <f>IF($B146="","",$B146&amp;"|"&amp;$E146)</f>
      </c>
    </row>
    <row r="147">
      <c r="A147" s="23"/>
      <c r="B147" s="20"/>
      <c r="C147" s="19">
        <f>IF($B147="","",IFERROR(VLOOKUP($B147,'Catálogo'!$A:$B,2,FALSE),"⚠ Código no existe"))</f>
      </c>
      <c r="D147" s="15"/>
      <c r="E147" s="20"/>
      <c r="F147" s="20"/>
      <c r="G147" s="20"/>
      <c r="H147" s="19">
        <f>IF($B147="","",$B147&amp;"|"&amp;$E147)</f>
      </c>
    </row>
    <row r="148">
      <c r="A148" s="23"/>
      <c r="B148" s="20"/>
      <c r="C148" s="19">
        <f>IF($B148="","",IFERROR(VLOOKUP($B148,'Catálogo'!$A:$B,2,FALSE),"⚠ Código no existe"))</f>
      </c>
      <c r="D148" s="15"/>
      <c r="E148" s="20"/>
      <c r="F148" s="20"/>
      <c r="G148" s="20"/>
      <c r="H148" s="19">
        <f>IF($B148="","",$B148&amp;"|"&amp;$E148)</f>
      </c>
    </row>
    <row r="149">
      <c r="A149" s="23"/>
      <c r="B149" s="20"/>
      <c r="C149" s="19">
        <f>IF($B149="","",IFERROR(VLOOKUP($B149,'Catálogo'!$A:$B,2,FALSE),"⚠ Código no existe"))</f>
      </c>
      <c r="D149" s="15"/>
      <c r="E149" s="20"/>
      <c r="F149" s="20"/>
      <c r="G149" s="20"/>
      <c r="H149" s="19">
        <f>IF($B149="","",$B149&amp;"|"&amp;$E149)</f>
      </c>
    </row>
    <row r="150">
      <c r="A150" s="23"/>
      <c r="B150" s="20"/>
      <c r="C150" s="19">
        <f>IF($B150="","",IFERROR(VLOOKUP($B150,'Catálogo'!$A:$B,2,FALSE),"⚠ Código no existe"))</f>
      </c>
      <c r="D150" s="15"/>
      <c r="E150" s="20"/>
      <c r="F150" s="20"/>
      <c r="G150" s="20"/>
      <c r="H150" s="19">
        <f>IF($B150="","",$B150&amp;"|"&amp;$E150)</f>
      </c>
    </row>
    <row r="151">
      <c r="A151" s="23"/>
      <c r="B151" s="20"/>
      <c r="C151" s="19">
        <f>IF($B151="","",IFERROR(VLOOKUP($B151,'Catálogo'!$A:$B,2,FALSE),"⚠ Código no existe"))</f>
      </c>
      <c r="D151" s="15"/>
      <c r="E151" s="20"/>
      <c r="F151" s="20"/>
      <c r="G151" s="20"/>
      <c r="H151" s="19">
        <f>IF($B151="","",$B151&amp;"|"&amp;$E151)</f>
      </c>
    </row>
    <row r="152">
      <c r="A152" s="23"/>
      <c r="B152" s="20"/>
      <c r="C152" s="19">
        <f>IF($B152="","",IFERROR(VLOOKUP($B152,'Catálogo'!$A:$B,2,FALSE),"⚠ Código no existe"))</f>
      </c>
      <c r="D152" s="15"/>
      <c r="E152" s="20"/>
      <c r="F152" s="20"/>
      <c r="G152" s="20"/>
      <c r="H152" s="19">
        <f>IF($B152="","",$B152&amp;"|"&amp;$E152)</f>
      </c>
    </row>
    <row r="153">
      <c r="A153" s="23"/>
      <c r="B153" s="20"/>
      <c r="C153" s="19">
        <f>IF($B153="","",IFERROR(VLOOKUP($B153,'Catálogo'!$A:$B,2,FALSE),"⚠ Código no existe"))</f>
      </c>
      <c r="D153" s="15"/>
      <c r="E153" s="20"/>
      <c r="F153" s="20"/>
      <c r="G153" s="20"/>
      <c r="H153" s="19">
        <f>IF($B153="","",$B153&amp;"|"&amp;$E153)</f>
      </c>
    </row>
    <row r="154">
      <c r="A154" s="23"/>
      <c r="B154" s="20"/>
      <c r="C154" s="19">
        <f>IF($B154="","",IFERROR(VLOOKUP($B154,'Catálogo'!$A:$B,2,FALSE),"⚠ Código no existe"))</f>
      </c>
      <c r="D154" s="15"/>
      <c r="E154" s="20"/>
      <c r="F154" s="20"/>
      <c r="G154" s="20"/>
      <c r="H154" s="19">
        <f>IF($B154="","",$B154&amp;"|"&amp;$E154)</f>
      </c>
    </row>
    <row r="155">
      <c r="A155" s="23"/>
      <c r="B155" s="20"/>
      <c r="C155" s="19">
        <f>IF($B155="","",IFERROR(VLOOKUP($B155,'Catálogo'!$A:$B,2,FALSE),"⚠ Código no existe"))</f>
      </c>
      <c r="D155" s="15"/>
      <c r="E155" s="20"/>
      <c r="F155" s="20"/>
      <c r="G155" s="20"/>
      <c r="H155" s="19">
        <f>IF($B155="","",$B155&amp;"|"&amp;$E155)</f>
      </c>
    </row>
    <row r="156">
      <c r="A156" s="23"/>
      <c r="B156" s="20"/>
      <c r="C156" s="19">
        <f>IF($B156="","",IFERROR(VLOOKUP($B156,'Catálogo'!$A:$B,2,FALSE),"⚠ Código no existe"))</f>
      </c>
      <c r="D156" s="15"/>
      <c r="E156" s="20"/>
      <c r="F156" s="20"/>
      <c r="G156" s="20"/>
      <c r="H156" s="19">
        <f>IF($B156="","",$B156&amp;"|"&amp;$E156)</f>
      </c>
    </row>
    <row r="157">
      <c r="A157" s="23"/>
      <c r="B157" s="20"/>
      <c r="C157" s="19">
        <f>IF($B157="","",IFERROR(VLOOKUP($B157,'Catálogo'!$A:$B,2,FALSE),"⚠ Código no existe"))</f>
      </c>
      <c r="D157" s="15"/>
      <c r="E157" s="20"/>
      <c r="F157" s="20"/>
      <c r="G157" s="20"/>
      <c r="H157" s="19">
        <f>IF($B157="","",$B157&amp;"|"&amp;$E157)</f>
      </c>
    </row>
    <row r="158">
      <c r="A158" s="23"/>
      <c r="B158" s="20"/>
      <c r="C158" s="19">
        <f>IF($B158="","",IFERROR(VLOOKUP($B158,'Catálogo'!$A:$B,2,FALSE),"⚠ Código no existe"))</f>
      </c>
      <c r="D158" s="15"/>
      <c r="E158" s="20"/>
      <c r="F158" s="20"/>
      <c r="G158" s="20"/>
      <c r="H158" s="19">
        <f>IF($B158="","",$B158&amp;"|"&amp;$E158)</f>
      </c>
    </row>
    <row r="159">
      <c r="A159" s="23"/>
      <c r="B159" s="20"/>
      <c r="C159" s="19">
        <f>IF($B159="","",IFERROR(VLOOKUP($B159,'Catálogo'!$A:$B,2,FALSE),"⚠ Código no existe"))</f>
      </c>
      <c r="D159" s="15"/>
      <c r="E159" s="20"/>
      <c r="F159" s="20"/>
      <c r="G159" s="20"/>
      <c r="H159" s="19">
        <f>IF($B159="","",$B159&amp;"|"&amp;$E159)</f>
      </c>
    </row>
    <row r="160">
      <c r="A160" s="23"/>
      <c r="B160" s="20"/>
      <c r="C160" s="19">
        <f>IF($B160="","",IFERROR(VLOOKUP($B160,'Catálogo'!$A:$B,2,FALSE),"⚠ Código no existe"))</f>
      </c>
      <c r="D160" s="15"/>
      <c r="E160" s="20"/>
      <c r="F160" s="20"/>
      <c r="G160" s="20"/>
      <c r="H160" s="19">
        <f>IF($B160="","",$B160&amp;"|"&amp;$E160)</f>
      </c>
    </row>
    <row r="161">
      <c r="A161" s="23"/>
      <c r="B161" s="20"/>
      <c r="C161" s="19">
        <f>IF($B161="","",IFERROR(VLOOKUP($B161,'Catálogo'!$A:$B,2,FALSE),"⚠ Código no existe"))</f>
      </c>
      <c r="D161" s="15"/>
      <c r="E161" s="20"/>
      <c r="F161" s="20"/>
      <c r="G161" s="20"/>
      <c r="H161" s="19">
        <f>IF($B161="","",$B161&amp;"|"&amp;$E161)</f>
      </c>
    </row>
    <row r="162">
      <c r="A162" s="23"/>
      <c r="B162" s="20"/>
      <c r="C162" s="19">
        <f>IF($B162="","",IFERROR(VLOOKUP($B162,'Catálogo'!$A:$B,2,FALSE),"⚠ Código no existe"))</f>
      </c>
      <c r="D162" s="15"/>
      <c r="E162" s="20"/>
      <c r="F162" s="20"/>
      <c r="G162" s="20"/>
      <c r="H162" s="19">
        <f>IF($B162="","",$B162&amp;"|"&amp;$E162)</f>
      </c>
    </row>
    <row r="163">
      <c r="A163" s="23"/>
      <c r="B163" s="20"/>
      <c r="C163" s="19">
        <f>IF($B163="","",IFERROR(VLOOKUP($B163,'Catálogo'!$A:$B,2,FALSE),"⚠ Código no existe"))</f>
      </c>
      <c r="D163" s="15"/>
      <c r="E163" s="20"/>
      <c r="F163" s="20"/>
      <c r="G163" s="20"/>
      <c r="H163" s="19">
        <f>IF($B163="","",$B163&amp;"|"&amp;$E163)</f>
      </c>
    </row>
    <row r="164">
      <c r="A164" s="23"/>
      <c r="B164" s="20"/>
      <c r="C164" s="19">
        <f>IF($B164="","",IFERROR(VLOOKUP($B164,'Catálogo'!$A:$B,2,FALSE),"⚠ Código no existe"))</f>
      </c>
      <c r="D164" s="15"/>
      <c r="E164" s="20"/>
      <c r="F164" s="20"/>
      <c r="G164" s="20"/>
      <c r="H164" s="19">
        <f>IF($B164="","",$B164&amp;"|"&amp;$E164)</f>
      </c>
    </row>
    <row r="165">
      <c r="A165" s="23"/>
      <c r="B165" s="20"/>
      <c r="C165" s="19">
        <f>IF($B165="","",IFERROR(VLOOKUP($B165,'Catálogo'!$A:$B,2,FALSE),"⚠ Código no existe"))</f>
      </c>
      <c r="D165" s="15"/>
      <c r="E165" s="20"/>
      <c r="F165" s="20"/>
      <c r="G165" s="20"/>
      <c r="H165" s="19">
        <f>IF($B165="","",$B165&amp;"|"&amp;$E165)</f>
      </c>
    </row>
    <row r="166">
      <c r="A166" s="23"/>
      <c r="B166" s="20"/>
      <c r="C166" s="19">
        <f>IF($B166="","",IFERROR(VLOOKUP($B166,'Catálogo'!$A:$B,2,FALSE),"⚠ Código no existe"))</f>
      </c>
      <c r="D166" s="15"/>
      <c r="E166" s="20"/>
      <c r="F166" s="20"/>
      <c r="G166" s="20"/>
      <c r="H166" s="19">
        <f>IF($B166="","",$B166&amp;"|"&amp;$E166)</f>
      </c>
    </row>
    <row r="167">
      <c r="A167" s="23"/>
      <c r="B167" s="20"/>
      <c r="C167" s="19">
        <f>IF($B167="","",IFERROR(VLOOKUP($B167,'Catálogo'!$A:$B,2,FALSE),"⚠ Código no existe"))</f>
      </c>
      <c r="D167" s="15"/>
      <c r="E167" s="20"/>
      <c r="F167" s="20"/>
      <c r="G167" s="20"/>
      <c r="H167" s="19">
        <f>IF($B167="","",$B167&amp;"|"&amp;$E167)</f>
      </c>
    </row>
    <row r="168">
      <c r="A168" s="23"/>
      <c r="B168" s="20"/>
      <c r="C168" s="19">
        <f>IF($B168="","",IFERROR(VLOOKUP($B168,'Catálogo'!$A:$B,2,FALSE),"⚠ Código no existe"))</f>
      </c>
      <c r="D168" s="15"/>
      <c r="E168" s="20"/>
      <c r="F168" s="20"/>
      <c r="G168" s="20"/>
      <c r="H168" s="19">
        <f>IF($B168="","",$B168&amp;"|"&amp;$E168)</f>
      </c>
    </row>
    <row r="169">
      <c r="A169" s="23"/>
      <c r="B169" s="20"/>
      <c r="C169" s="19">
        <f>IF($B169="","",IFERROR(VLOOKUP($B169,'Catálogo'!$A:$B,2,FALSE),"⚠ Código no existe"))</f>
      </c>
      <c r="D169" s="15"/>
      <c r="E169" s="20"/>
      <c r="F169" s="20"/>
      <c r="G169" s="20"/>
      <c r="H169" s="19">
        <f>IF($B169="","",$B169&amp;"|"&amp;$E169)</f>
      </c>
    </row>
    <row r="170">
      <c r="A170" s="23"/>
      <c r="B170" s="20"/>
      <c r="C170" s="19">
        <f>IF($B170="","",IFERROR(VLOOKUP($B170,'Catálogo'!$A:$B,2,FALSE),"⚠ Código no existe"))</f>
      </c>
      <c r="D170" s="15"/>
      <c r="E170" s="20"/>
      <c r="F170" s="20"/>
      <c r="G170" s="20"/>
      <c r="H170" s="19">
        <f>IF($B170="","",$B170&amp;"|"&amp;$E170)</f>
      </c>
    </row>
    <row r="171">
      <c r="A171" s="23"/>
      <c r="B171" s="20"/>
      <c r="C171" s="19">
        <f>IF($B171="","",IFERROR(VLOOKUP($B171,'Catálogo'!$A:$B,2,FALSE),"⚠ Código no existe"))</f>
      </c>
      <c r="D171" s="15"/>
      <c r="E171" s="20"/>
      <c r="F171" s="20"/>
      <c r="G171" s="20"/>
      <c r="H171" s="19">
        <f>IF($B171="","",$B171&amp;"|"&amp;$E171)</f>
      </c>
    </row>
    <row r="172">
      <c r="A172" s="23"/>
      <c r="B172" s="20"/>
      <c r="C172" s="19">
        <f>IF($B172="","",IFERROR(VLOOKUP($B172,'Catálogo'!$A:$B,2,FALSE),"⚠ Código no existe"))</f>
      </c>
      <c r="D172" s="15"/>
      <c r="E172" s="20"/>
      <c r="F172" s="20"/>
      <c r="G172" s="20"/>
      <c r="H172" s="19">
        <f>IF($B172="","",$B172&amp;"|"&amp;$E172)</f>
      </c>
    </row>
    <row r="173">
      <c r="A173" s="23"/>
      <c r="B173" s="20"/>
      <c r="C173" s="19">
        <f>IF($B173="","",IFERROR(VLOOKUP($B173,'Catálogo'!$A:$B,2,FALSE),"⚠ Código no existe"))</f>
      </c>
      <c r="D173" s="15"/>
      <c r="E173" s="20"/>
      <c r="F173" s="20"/>
      <c r="G173" s="20"/>
      <c r="H173" s="19">
        <f>IF($B173="","",$B173&amp;"|"&amp;$E173)</f>
      </c>
    </row>
    <row r="174">
      <c r="A174" s="23"/>
      <c r="B174" s="20"/>
      <c r="C174" s="19">
        <f>IF($B174="","",IFERROR(VLOOKUP($B174,'Catálogo'!$A:$B,2,FALSE),"⚠ Código no existe"))</f>
      </c>
      <c r="D174" s="15"/>
      <c r="E174" s="20"/>
      <c r="F174" s="20"/>
      <c r="G174" s="20"/>
      <c r="H174" s="19">
        <f>IF($B174="","",$B174&amp;"|"&amp;$E174)</f>
      </c>
    </row>
    <row r="175">
      <c r="A175" s="23"/>
      <c r="B175" s="20"/>
      <c r="C175" s="19">
        <f>IF($B175="","",IFERROR(VLOOKUP($B175,'Catálogo'!$A:$B,2,FALSE),"⚠ Código no existe"))</f>
      </c>
      <c r="D175" s="15"/>
      <c r="E175" s="20"/>
      <c r="F175" s="20"/>
      <c r="G175" s="20"/>
      <c r="H175" s="19">
        <f>IF($B175="","",$B175&amp;"|"&amp;$E175)</f>
      </c>
    </row>
    <row r="176">
      <c r="A176" s="23"/>
      <c r="B176" s="20"/>
      <c r="C176" s="19">
        <f>IF($B176="","",IFERROR(VLOOKUP($B176,'Catálogo'!$A:$B,2,FALSE),"⚠ Código no existe"))</f>
      </c>
      <c r="D176" s="15"/>
      <c r="E176" s="20"/>
      <c r="F176" s="20"/>
      <c r="G176" s="20"/>
      <c r="H176" s="19">
        <f>IF($B176="","",$B176&amp;"|"&amp;$E176)</f>
      </c>
    </row>
    <row r="177">
      <c r="A177" s="23"/>
      <c r="B177" s="20"/>
      <c r="C177" s="19">
        <f>IF($B177="","",IFERROR(VLOOKUP($B177,'Catálogo'!$A:$B,2,FALSE),"⚠ Código no existe"))</f>
      </c>
      <c r="D177" s="15"/>
      <c r="E177" s="20"/>
      <c r="F177" s="20"/>
      <c r="G177" s="20"/>
      <c r="H177" s="19">
        <f>IF($B177="","",$B177&amp;"|"&amp;$E177)</f>
      </c>
    </row>
    <row r="178">
      <c r="A178" s="23"/>
      <c r="B178" s="20"/>
      <c r="C178" s="19">
        <f>IF($B178="","",IFERROR(VLOOKUP($B178,'Catálogo'!$A:$B,2,FALSE),"⚠ Código no existe"))</f>
      </c>
      <c r="D178" s="15"/>
      <c r="E178" s="20"/>
      <c r="F178" s="20"/>
      <c r="G178" s="20"/>
      <c r="H178" s="19">
        <f>IF($B178="","",$B178&amp;"|"&amp;$E178)</f>
      </c>
    </row>
    <row r="179">
      <c r="A179" s="23"/>
      <c r="B179" s="20"/>
      <c r="C179" s="19">
        <f>IF($B179="","",IFERROR(VLOOKUP($B179,'Catálogo'!$A:$B,2,FALSE),"⚠ Código no existe"))</f>
      </c>
      <c r="D179" s="15"/>
      <c r="E179" s="20"/>
      <c r="F179" s="20"/>
      <c r="G179" s="20"/>
      <c r="H179" s="19">
        <f>IF($B179="","",$B179&amp;"|"&amp;$E179)</f>
      </c>
    </row>
    <row r="180">
      <c r="A180" s="23"/>
      <c r="B180" s="20"/>
      <c r="C180" s="19">
        <f>IF($B180="","",IFERROR(VLOOKUP($B180,'Catálogo'!$A:$B,2,FALSE),"⚠ Código no existe"))</f>
      </c>
      <c r="D180" s="15"/>
      <c r="E180" s="20"/>
      <c r="F180" s="20"/>
      <c r="G180" s="20"/>
      <c r="H180" s="19">
        <f>IF($B180="","",$B180&amp;"|"&amp;$E180)</f>
      </c>
    </row>
    <row r="181">
      <c r="A181" s="23"/>
      <c r="B181" s="20"/>
      <c r="C181" s="19">
        <f>IF($B181="","",IFERROR(VLOOKUP($B181,'Catálogo'!$A:$B,2,FALSE),"⚠ Código no existe"))</f>
      </c>
      <c r="D181" s="15"/>
      <c r="E181" s="20"/>
      <c r="F181" s="20"/>
      <c r="G181" s="20"/>
      <c r="H181" s="19">
        <f>IF($B181="","",$B181&amp;"|"&amp;$E181)</f>
      </c>
    </row>
    <row r="182">
      <c r="A182" s="23"/>
      <c r="B182" s="20"/>
      <c r="C182" s="19">
        <f>IF($B182="","",IFERROR(VLOOKUP($B182,'Catálogo'!$A:$B,2,FALSE),"⚠ Código no existe"))</f>
      </c>
      <c r="D182" s="15"/>
      <c r="E182" s="20"/>
      <c r="F182" s="20"/>
      <c r="G182" s="20"/>
      <c r="H182" s="19">
        <f>IF($B182="","",$B182&amp;"|"&amp;$E182)</f>
      </c>
    </row>
    <row r="183">
      <c r="A183" s="23"/>
      <c r="B183" s="20"/>
      <c r="C183" s="19">
        <f>IF($B183="","",IFERROR(VLOOKUP($B183,'Catálogo'!$A:$B,2,FALSE),"⚠ Código no existe"))</f>
      </c>
      <c r="D183" s="15"/>
      <c r="E183" s="20"/>
      <c r="F183" s="20"/>
      <c r="G183" s="20"/>
      <c r="H183" s="19">
        <f>IF($B183="","",$B183&amp;"|"&amp;$E183)</f>
      </c>
    </row>
    <row r="184">
      <c r="A184" s="23"/>
      <c r="B184" s="20"/>
      <c r="C184" s="19">
        <f>IF($B184="","",IFERROR(VLOOKUP($B184,'Catálogo'!$A:$B,2,FALSE),"⚠ Código no existe"))</f>
      </c>
      <c r="D184" s="15"/>
      <c r="E184" s="20"/>
      <c r="F184" s="20"/>
      <c r="G184" s="20"/>
      <c r="H184" s="19">
        <f>IF($B184="","",$B184&amp;"|"&amp;$E184)</f>
      </c>
    </row>
    <row r="185">
      <c r="A185" s="23"/>
      <c r="B185" s="20"/>
      <c r="C185" s="19">
        <f>IF($B185="","",IFERROR(VLOOKUP($B185,'Catálogo'!$A:$B,2,FALSE),"⚠ Código no existe"))</f>
      </c>
      <c r="D185" s="15"/>
      <c r="E185" s="20"/>
      <c r="F185" s="20"/>
      <c r="G185" s="20"/>
      <c r="H185" s="19">
        <f>IF($B185="","",$B185&amp;"|"&amp;$E185)</f>
      </c>
    </row>
    <row r="186">
      <c r="A186" s="23"/>
      <c r="B186" s="20"/>
      <c r="C186" s="19">
        <f>IF($B186="","",IFERROR(VLOOKUP($B186,'Catálogo'!$A:$B,2,FALSE),"⚠ Código no existe"))</f>
      </c>
      <c r="D186" s="15"/>
      <c r="E186" s="20"/>
      <c r="F186" s="20"/>
      <c r="G186" s="20"/>
      <c r="H186" s="19">
        <f>IF($B186="","",$B186&amp;"|"&amp;$E186)</f>
      </c>
    </row>
    <row r="187">
      <c r="A187" s="23"/>
      <c r="B187" s="20"/>
      <c r="C187" s="19">
        <f>IF($B187="","",IFERROR(VLOOKUP($B187,'Catálogo'!$A:$B,2,FALSE),"⚠ Código no existe"))</f>
      </c>
      <c r="D187" s="15"/>
      <c r="E187" s="20"/>
      <c r="F187" s="20"/>
      <c r="G187" s="20"/>
      <c r="H187" s="19">
        <f>IF($B187="","",$B187&amp;"|"&amp;$E187)</f>
      </c>
    </row>
    <row r="188">
      <c r="A188" s="23"/>
      <c r="B188" s="20"/>
      <c r="C188" s="19">
        <f>IF($B188="","",IFERROR(VLOOKUP($B188,'Catálogo'!$A:$B,2,FALSE),"⚠ Código no existe"))</f>
      </c>
      <c r="D188" s="15"/>
      <c r="E188" s="20"/>
      <c r="F188" s="20"/>
      <c r="G188" s="20"/>
      <c r="H188" s="19">
        <f>IF($B188="","",$B188&amp;"|"&amp;$E188)</f>
      </c>
    </row>
    <row r="189">
      <c r="A189" s="23"/>
      <c r="B189" s="20"/>
      <c r="C189" s="19">
        <f>IF($B189="","",IFERROR(VLOOKUP($B189,'Catálogo'!$A:$B,2,FALSE),"⚠ Código no existe"))</f>
      </c>
      <c r="D189" s="15"/>
      <c r="E189" s="20"/>
      <c r="F189" s="20"/>
      <c r="G189" s="20"/>
      <c r="H189" s="19">
        <f>IF($B189="","",$B189&amp;"|"&amp;$E189)</f>
      </c>
    </row>
    <row r="190">
      <c r="A190" s="23"/>
      <c r="B190" s="20"/>
      <c r="C190" s="19">
        <f>IF($B190="","",IFERROR(VLOOKUP($B190,'Catálogo'!$A:$B,2,FALSE),"⚠ Código no existe"))</f>
      </c>
      <c r="D190" s="15"/>
      <c r="E190" s="20"/>
      <c r="F190" s="20"/>
      <c r="G190" s="20"/>
      <c r="H190" s="19">
        <f>IF($B190="","",$B190&amp;"|"&amp;$E190)</f>
      </c>
    </row>
    <row r="191">
      <c r="A191" s="23"/>
      <c r="B191" s="20"/>
      <c r="C191" s="19">
        <f>IF($B191="","",IFERROR(VLOOKUP($B191,'Catálogo'!$A:$B,2,FALSE),"⚠ Código no existe"))</f>
      </c>
      <c r="D191" s="15"/>
      <c r="E191" s="20"/>
      <c r="F191" s="20"/>
      <c r="G191" s="20"/>
      <c r="H191" s="19">
        <f>IF($B191="","",$B191&amp;"|"&amp;$E191)</f>
      </c>
    </row>
    <row r="192">
      <c r="A192" s="23"/>
      <c r="B192" s="20"/>
      <c r="C192" s="19">
        <f>IF($B192="","",IFERROR(VLOOKUP($B192,'Catálogo'!$A:$B,2,FALSE),"⚠ Código no existe"))</f>
      </c>
      <c r="D192" s="15"/>
      <c r="E192" s="20"/>
      <c r="F192" s="20"/>
      <c r="G192" s="20"/>
      <c r="H192" s="19">
        <f>IF($B192="","",$B192&amp;"|"&amp;$E192)</f>
      </c>
    </row>
    <row r="193">
      <c r="A193" s="23"/>
      <c r="B193" s="20"/>
      <c r="C193" s="19">
        <f>IF($B193="","",IFERROR(VLOOKUP($B193,'Catálogo'!$A:$B,2,FALSE),"⚠ Código no existe"))</f>
      </c>
      <c r="D193" s="15"/>
      <c r="E193" s="20"/>
      <c r="F193" s="20"/>
      <c r="G193" s="20"/>
      <c r="H193" s="19">
        <f>IF($B193="","",$B193&amp;"|"&amp;$E193)</f>
      </c>
    </row>
    <row r="194">
      <c r="A194" s="23"/>
      <c r="B194" s="20"/>
      <c r="C194" s="19">
        <f>IF($B194="","",IFERROR(VLOOKUP($B194,'Catálogo'!$A:$B,2,FALSE),"⚠ Código no existe"))</f>
      </c>
      <c r="D194" s="15"/>
      <c r="E194" s="20"/>
      <c r="F194" s="20"/>
      <c r="G194" s="20"/>
      <c r="H194" s="19">
        <f>IF($B194="","",$B194&amp;"|"&amp;$E194)</f>
      </c>
    </row>
    <row r="195">
      <c r="A195" s="23"/>
      <c r="B195" s="20"/>
      <c r="C195" s="19">
        <f>IF($B195="","",IFERROR(VLOOKUP($B195,'Catálogo'!$A:$B,2,FALSE),"⚠ Código no existe"))</f>
      </c>
      <c r="D195" s="15"/>
      <c r="E195" s="20"/>
      <c r="F195" s="20"/>
      <c r="G195" s="20"/>
      <c r="H195" s="19">
        <f>IF($B195="","",$B195&amp;"|"&amp;$E195)</f>
      </c>
    </row>
    <row r="196">
      <c r="A196" s="23"/>
      <c r="B196" s="20"/>
      <c r="C196" s="19">
        <f>IF($B196="","",IFERROR(VLOOKUP($B196,'Catálogo'!$A:$B,2,FALSE),"⚠ Código no existe"))</f>
      </c>
      <c r="D196" s="15"/>
      <c r="E196" s="20"/>
      <c r="F196" s="20"/>
      <c r="G196" s="20"/>
      <c r="H196" s="19">
        <f>IF($B196="","",$B196&amp;"|"&amp;$E196)</f>
      </c>
    </row>
    <row r="197">
      <c r="A197" s="23"/>
      <c r="B197" s="20"/>
      <c r="C197" s="19">
        <f>IF($B197="","",IFERROR(VLOOKUP($B197,'Catálogo'!$A:$B,2,FALSE),"⚠ Código no existe"))</f>
      </c>
      <c r="D197" s="15"/>
      <c r="E197" s="20"/>
      <c r="F197" s="20"/>
      <c r="G197" s="20"/>
      <c r="H197" s="19">
        <f>IF($B197="","",$B197&amp;"|"&amp;$E197)</f>
      </c>
    </row>
    <row r="198">
      <c r="A198" s="23"/>
      <c r="B198" s="20"/>
      <c r="C198" s="19">
        <f>IF($B198="","",IFERROR(VLOOKUP($B198,'Catálogo'!$A:$B,2,FALSE),"⚠ Código no existe"))</f>
      </c>
      <c r="D198" s="15"/>
      <c r="E198" s="20"/>
      <c r="F198" s="20"/>
      <c r="G198" s="20"/>
      <c r="H198" s="19">
        <f>IF($B198="","",$B198&amp;"|"&amp;$E198)</f>
      </c>
    </row>
    <row r="199">
      <c r="A199" s="23"/>
      <c r="B199" s="20"/>
      <c r="C199" s="19">
        <f>IF($B199="","",IFERROR(VLOOKUP($B199,'Catálogo'!$A:$B,2,FALSE),"⚠ Código no existe"))</f>
      </c>
      <c r="D199" s="15"/>
      <c r="E199" s="20"/>
      <c r="F199" s="20"/>
      <c r="G199" s="20"/>
      <c r="H199" s="19">
        <f>IF($B199="","",$B199&amp;"|"&amp;$E199)</f>
      </c>
    </row>
    <row r="200">
      <c r="A200" s="23"/>
      <c r="B200" s="20"/>
      <c r="C200" s="19">
        <f>IF($B200="","",IFERROR(VLOOKUP($B200,'Catálogo'!$A:$B,2,FALSE),"⚠ Código no existe"))</f>
      </c>
      <c r="D200" s="15"/>
      <c r="E200" s="20"/>
      <c r="F200" s="20"/>
      <c r="G200" s="20"/>
      <c r="H200" s="19">
        <f>IF($B200="","",$B200&amp;"|"&amp;$E200)</f>
      </c>
    </row>
    <row r="201">
      <c r="A201" s="23"/>
      <c r="B201" s="20"/>
      <c r="C201" s="19">
        <f>IF($B201="","",IFERROR(VLOOKUP($B201,'Catálogo'!$A:$B,2,FALSE),"⚠ Código no existe"))</f>
      </c>
      <c r="D201" s="15"/>
      <c r="E201" s="20"/>
      <c r="F201" s="20"/>
      <c r="G201" s="20"/>
      <c r="H201" s="19">
        <f>IF($B201="","",$B201&amp;"|"&amp;$E201)</f>
      </c>
    </row>
    <row r="202">
      <c r="A202" s="23"/>
      <c r="B202" s="20"/>
      <c r="C202" s="19">
        <f>IF($B202="","",IFERROR(VLOOKUP($B202,'Catálogo'!$A:$B,2,FALSE),"⚠ Código no existe"))</f>
      </c>
      <c r="D202" s="15"/>
      <c r="E202" s="20"/>
      <c r="F202" s="20"/>
      <c r="G202" s="20"/>
      <c r="H202" s="19">
        <f>IF($B202="","",$B202&amp;"|"&amp;$E202)</f>
      </c>
    </row>
    <row r="203">
      <c r="A203" s="23"/>
      <c r="B203" s="20"/>
      <c r="C203" s="19">
        <f>IF($B203="","",IFERROR(VLOOKUP($B203,'Catálogo'!$A:$B,2,FALSE),"⚠ Código no existe"))</f>
      </c>
      <c r="D203" s="15"/>
      <c r="E203" s="20"/>
      <c r="F203" s="20"/>
      <c r="G203" s="20"/>
      <c r="H203" s="19">
        <f>IF($B203="","",$B203&amp;"|"&amp;$E203)</f>
      </c>
    </row>
    <row r="204">
      <c r="A204" s="23"/>
      <c r="B204" s="20"/>
      <c r="C204" s="19">
        <f>IF($B204="","",IFERROR(VLOOKUP($B204,'Catálogo'!$A:$B,2,FALSE),"⚠ Código no existe"))</f>
      </c>
      <c r="D204" s="15"/>
      <c r="E204" s="20"/>
      <c r="F204" s="20"/>
      <c r="G204" s="20"/>
      <c r="H204" s="19">
        <f>IF($B204="","",$B204&amp;"|"&amp;$E204)</f>
      </c>
    </row>
    <row r="205">
      <c r="A205" s="23"/>
      <c r="B205" s="20"/>
      <c r="C205" s="19">
        <f>IF($B205="","",IFERROR(VLOOKUP($B205,'Catálogo'!$A:$B,2,FALSE),"⚠ Código no existe"))</f>
      </c>
      <c r="D205" s="15"/>
      <c r="E205" s="20"/>
      <c r="F205" s="20"/>
      <c r="G205" s="20"/>
      <c r="H205" s="19">
        <f>IF($B205="","",$B205&amp;"|"&amp;$E205)</f>
      </c>
    </row>
    <row r="206">
      <c r="A206" s="23"/>
      <c r="B206" s="20"/>
      <c r="C206" s="19">
        <f>IF($B206="","",IFERROR(VLOOKUP($B206,'Catálogo'!$A:$B,2,FALSE),"⚠ Código no existe"))</f>
      </c>
      <c r="D206" s="15"/>
      <c r="E206" s="20"/>
      <c r="F206" s="20"/>
      <c r="G206" s="20"/>
      <c r="H206" s="19">
        <f>IF($B206="","",$B206&amp;"|"&amp;$E206)</f>
      </c>
    </row>
    <row r="207">
      <c r="A207" s="23"/>
      <c r="B207" s="20"/>
      <c r="C207" s="19">
        <f>IF($B207="","",IFERROR(VLOOKUP($B207,'Catálogo'!$A:$B,2,FALSE),"⚠ Código no existe"))</f>
      </c>
      <c r="D207" s="15"/>
      <c r="E207" s="20"/>
      <c r="F207" s="20"/>
      <c r="G207" s="20"/>
      <c r="H207" s="19">
        <f>IF($B207="","",$B207&amp;"|"&amp;$E207)</f>
      </c>
    </row>
    <row r="208">
      <c r="A208" s="23"/>
      <c r="B208" s="20"/>
      <c r="C208" s="19">
        <f>IF($B208="","",IFERROR(VLOOKUP($B208,'Catálogo'!$A:$B,2,FALSE),"⚠ Código no existe"))</f>
      </c>
      <c r="D208" s="15"/>
      <c r="E208" s="20"/>
      <c r="F208" s="20"/>
      <c r="G208" s="20"/>
      <c r="H208" s="19">
        <f>IF($B208="","",$B208&amp;"|"&amp;$E208)</f>
      </c>
    </row>
    <row r="209">
      <c r="A209" s="23"/>
      <c r="B209" s="20"/>
      <c r="C209" s="19">
        <f>IF($B209="","",IFERROR(VLOOKUP($B209,'Catálogo'!$A:$B,2,FALSE),"⚠ Código no existe"))</f>
      </c>
      <c r="D209" s="15"/>
      <c r="E209" s="20"/>
      <c r="F209" s="20"/>
      <c r="G209" s="20"/>
      <c r="H209" s="19">
        <f>IF($B209="","",$B209&amp;"|"&amp;$E209)</f>
      </c>
    </row>
    <row r="210">
      <c r="A210" s="23"/>
      <c r="B210" s="20"/>
      <c r="C210" s="19">
        <f>IF($B210="","",IFERROR(VLOOKUP($B210,'Catálogo'!$A:$B,2,FALSE),"⚠ Código no existe"))</f>
      </c>
      <c r="D210" s="15"/>
      <c r="E210" s="20"/>
      <c r="F210" s="20"/>
      <c r="G210" s="20"/>
      <c r="H210" s="19">
        <f>IF($B210="","",$B210&amp;"|"&amp;$E210)</f>
      </c>
    </row>
    <row r="211">
      <c r="A211" s="23"/>
      <c r="B211" s="20"/>
      <c r="C211" s="19">
        <f>IF($B211="","",IFERROR(VLOOKUP($B211,'Catálogo'!$A:$B,2,FALSE),"⚠ Código no existe"))</f>
      </c>
      <c r="D211" s="15"/>
      <c r="E211" s="20"/>
      <c r="F211" s="20"/>
      <c r="G211" s="20"/>
      <c r="H211" s="19">
        <f>IF($B211="","",$B211&amp;"|"&amp;$E211)</f>
      </c>
    </row>
    <row r="212">
      <c r="A212" s="23"/>
      <c r="B212" s="20"/>
      <c r="C212" s="19">
        <f>IF($B212="","",IFERROR(VLOOKUP($B212,'Catálogo'!$A:$B,2,FALSE),"⚠ Código no existe"))</f>
      </c>
      <c r="D212" s="15"/>
      <c r="E212" s="20"/>
      <c r="F212" s="20"/>
      <c r="G212" s="20"/>
      <c r="H212" s="19">
        <f>IF($B212="","",$B212&amp;"|"&amp;$E212)</f>
      </c>
    </row>
    <row r="213">
      <c r="A213" s="23"/>
      <c r="B213" s="20"/>
      <c r="C213" s="19">
        <f>IF($B213="","",IFERROR(VLOOKUP($B213,'Catálogo'!$A:$B,2,FALSE),"⚠ Código no existe"))</f>
      </c>
      <c r="D213" s="15"/>
      <c r="E213" s="20"/>
      <c r="F213" s="20"/>
      <c r="G213" s="20"/>
      <c r="H213" s="19">
        <f>IF($B213="","",$B213&amp;"|"&amp;$E213)</f>
      </c>
    </row>
    <row r="214">
      <c r="A214" s="23"/>
      <c r="B214" s="20"/>
      <c r="C214" s="19">
        <f>IF($B214="","",IFERROR(VLOOKUP($B214,'Catálogo'!$A:$B,2,FALSE),"⚠ Código no existe"))</f>
      </c>
      <c r="D214" s="15"/>
      <c r="E214" s="20"/>
      <c r="F214" s="20"/>
      <c r="G214" s="20"/>
      <c r="H214" s="19">
        <f>IF($B214="","",$B214&amp;"|"&amp;$E214)</f>
      </c>
    </row>
    <row r="215">
      <c r="A215" s="23"/>
      <c r="B215" s="20"/>
      <c r="C215" s="19">
        <f>IF($B215="","",IFERROR(VLOOKUP($B215,'Catálogo'!$A:$B,2,FALSE),"⚠ Código no existe"))</f>
      </c>
      <c r="D215" s="15"/>
      <c r="E215" s="20"/>
      <c r="F215" s="20"/>
      <c r="G215" s="20"/>
      <c r="H215" s="19">
        <f>IF($B215="","",$B215&amp;"|"&amp;$E215)</f>
      </c>
    </row>
    <row r="216">
      <c r="A216" s="23"/>
      <c r="B216" s="20"/>
      <c r="C216" s="19">
        <f>IF($B216="","",IFERROR(VLOOKUP($B216,'Catálogo'!$A:$B,2,FALSE),"⚠ Código no existe"))</f>
      </c>
      <c r="D216" s="15"/>
      <c r="E216" s="20"/>
      <c r="F216" s="20"/>
      <c r="G216" s="20"/>
      <c r="H216" s="19">
        <f>IF($B216="","",$B216&amp;"|"&amp;$E216)</f>
      </c>
    </row>
    <row r="217">
      <c r="A217" s="23"/>
      <c r="B217" s="20"/>
      <c r="C217" s="19">
        <f>IF($B217="","",IFERROR(VLOOKUP($B217,'Catálogo'!$A:$B,2,FALSE),"⚠ Código no existe"))</f>
      </c>
      <c r="D217" s="15"/>
      <c r="E217" s="20"/>
      <c r="F217" s="20"/>
      <c r="G217" s="20"/>
      <c r="H217" s="19">
        <f>IF($B217="","",$B217&amp;"|"&amp;$E217)</f>
      </c>
    </row>
    <row r="218">
      <c r="A218" s="23"/>
      <c r="B218" s="20"/>
      <c r="C218" s="19">
        <f>IF($B218="","",IFERROR(VLOOKUP($B218,'Catálogo'!$A:$B,2,FALSE),"⚠ Código no existe"))</f>
      </c>
      <c r="D218" s="15"/>
      <c r="E218" s="20"/>
      <c r="F218" s="20"/>
      <c r="G218" s="20"/>
      <c r="H218" s="19">
        <f>IF($B218="","",$B218&amp;"|"&amp;$E218)</f>
      </c>
    </row>
    <row r="219">
      <c r="A219" s="23"/>
      <c r="B219" s="20"/>
      <c r="C219" s="19">
        <f>IF($B219="","",IFERROR(VLOOKUP($B219,'Catálogo'!$A:$B,2,FALSE),"⚠ Código no existe"))</f>
      </c>
      <c r="D219" s="15"/>
      <c r="E219" s="20"/>
      <c r="F219" s="20"/>
      <c r="G219" s="20"/>
      <c r="H219" s="19">
        <f>IF($B219="","",$B219&amp;"|"&amp;$E219)</f>
      </c>
    </row>
    <row r="220">
      <c r="A220" s="23"/>
      <c r="B220" s="20"/>
      <c r="C220" s="19">
        <f>IF($B220="","",IFERROR(VLOOKUP($B220,'Catálogo'!$A:$B,2,FALSE),"⚠ Código no existe"))</f>
      </c>
      <c r="D220" s="15"/>
      <c r="E220" s="20"/>
      <c r="F220" s="20"/>
      <c r="G220" s="20"/>
      <c r="H220" s="19">
        <f>IF($B220="","",$B220&amp;"|"&amp;$E220)</f>
      </c>
    </row>
    <row r="221">
      <c r="A221" s="23"/>
      <c r="B221" s="20"/>
      <c r="C221" s="19">
        <f>IF($B221="","",IFERROR(VLOOKUP($B221,'Catálogo'!$A:$B,2,FALSE),"⚠ Código no existe"))</f>
      </c>
      <c r="D221" s="15"/>
      <c r="E221" s="20"/>
      <c r="F221" s="20"/>
      <c r="G221" s="20"/>
      <c r="H221" s="19">
        <f>IF($B221="","",$B221&amp;"|"&amp;$E221)</f>
      </c>
    </row>
    <row r="222">
      <c r="A222" s="23"/>
      <c r="B222" s="20"/>
      <c r="C222" s="19">
        <f>IF($B222="","",IFERROR(VLOOKUP($B222,'Catálogo'!$A:$B,2,FALSE),"⚠ Código no existe"))</f>
      </c>
      <c r="D222" s="15"/>
      <c r="E222" s="20"/>
      <c r="F222" s="20"/>
      <c r="G222" s="20"/>
      <c r="H222" s="19">
        <f>IF($B222="","",$B222&amp;"|"&amp;$E222)</f>
      </c>
    </row>
    <row r="223">
      <c r="A223" s="23"/>
      <c r="B223" s="20"/>
      <c r="C223" s="19">
        <f>IF($B223="","",IFERROR(VLOOKUP($B223,'Catálogo'!$A:$B,2,FALSE),"⚠ Código no existe"))</f>
      </c>
      <c r="D223" s="15"/>
      <c r="E223" s="20"/>
      <c r="F223" s="20"/>
      <c r="G223" s="20"/>
      <c r="H223" s="19">
        <f>IF($B223="","",$B223&amp;"|"&amp;$E223)</f>
      </c>
    </row>
    <row r="224">
      <c r="A224" s="23"/>
      <c r="B224" s="20"/>
      <c r="C224" s="19">
        <f>IF($B224="","",IFERROR(VLOOKUP($B224,'Catálogo'!$A:$B,2,FALSE),"⚠ Código no existe"))</f>
      </c>
      <c r="D224" s="15"/>
      <c r="E224" s="20"/>
      <c r="F224" s="20"/>
      <c r="G224" s="20"/>
      <c r="H224" s="19">
        <f>IF($B224="","",$B224&amp;"|"&amp;$E224)</f>
      </c>
    </row>
    <row r="225">
      <c r="A225" s="23"/>
      <c r="B225" s="20"/>
      <c r="C225" s="19">
        <f>IF($B225="","",IFERROR(VLOOKUP($B225,'Catálogo'!$A:$B,2,FALSE),"⚠ Código no existe"))</f>
      </c>
      <c r="D225" s="15"/>
      <c r="E225" s="20"/>
      <c r="F225" s="20"/>
      <c r="G225" s="20"/>
      <c r="H225" s="19">
        <f>IF($B225="","",$B225&amp;"|"&amp;$E225)</f>
      </c>
    </row>
    <row r="226">
      <c r="A226" s="23"/>
      <c r="B226" s="20"/>
      <c r="C226" s="19">
        <f>IF($B226="","",IFERROR(VLOOKUP($B226,'Catálogo'!$A:$B,2,FALSE),"⚠ Código no existe"))</f>
      </c>
      <c r="D226" s="15"/>
      <c r="E226" s="20"/>
      <c r="F226" s="20"/>
      <c r="G226" s="20"/>
      <c r="H226" s="19">
        <f>IF($B226="","",$B226&amp;"|"&amp;$E226)</f>
      </c>
    </row>
    <row r="227">
      <c r="A227" s="23"/>
      <c r="B227" s="20"/>
      <c r="C227" s="19">
        <f>IF($B227="","",IFERROR(VLOOKUP($B227,'Catálogo'!$A:$B,2,FALSE),"⚠ Código no existe"))</f>
      </c>
      <c r="D227" s="15"/>
      <c r="E227" s="20"/>
      <c r="F227" s="20"/>
      <c r="G227" s="20"/>
      <c r="H227" s="19">
        <f>IF($B227="","",$B227&amp;"|"&amp;$E227)</f>
      </c>
    </row>
    <row r="228">
      <c r="A228" s="23"/>
      <c r="B228" s="20"/>
      <c r="C228" s="19">
        <f>IF($B228="","",IFERROR(VLOOKUP($B228,'Catálogo'!$A:$B,2,FALSE),"⚠ Código no existe"))</f>
      </c>
      <c r="D228" s="15"/>
      <c r="E228" s="20"/>
      <c r="F228" s="20"/>
      <c r="G228" s="20"/>
      <c r="H228" s="19">
        <f>IF($B228="","",$B228&amp;"|"&amp;$E228)</f>
      </c>
    </row>
    <row r="229">
      <c r="A229" s="23"/>
      <c r="B229" s="20"/>
      <c r="C229" s="19">
        <f>IF($B229="","",IFERROR(VLOOKUP($B229,'Catálogo'!$A:$B,2,FALSE),"⚠ Código no existe"))</f>
      </c>
      <c r="D229" s="15"/>
      <c r="E229" s="20"/>
      <c r="F229" s="20"/>
      <c r="G229" s="20"/>
      <c r="H229" s="19">
        <f>IF($B229="","",$B229&amp;"|"&amp;$E229)</f>
      </c>
    </row>
    <row r="230">
      <c r="A230" s="23"/>
      <c r="B230" s="20"/>
      <c r="C230" s="19">
        <f>IF($B230="","",IFERROR(VLOOKUP($B230,'Catálogo'!$A:$B,2,FALSE),"⚠ Código no existe"))</f>
      </c>
      <c r="D230" s="15"/>
      <c r="E230" s="20"/>
      <c r="F230" s="20"/>
      <c r="G230" s="20"/>
      <c r="H230" s="19">
        <f>IF($B230="","",$B230&amp;"|"&amp;$E230)</f>
      </c>
    </row>
    <row r="231">
      <c r="A231" s="23"/>
      <c r="B231" s="20"/>
      <c r="C231" s="19">
        <f>IF($B231="","",IFERROR(VLOOKUP($B231,'Catálogo'!$A:$B,2,FALSE),"⚠ Código no existe"))</f>
      </c>
      <c r="D231" s="15"/>
      <c r="E231" s="20"/>
      <c r="F231" s="20"/>
      <c r="G231" s="20"/>
      <c r="H231" s="19">
        <f>IF($B231="","",$B231&amp;"|"&amp;$E231)</f>
      </c>
    </row>
    <row r="232">
      <c r="A232" s="23"/>
      <c r="B232" s="20"/>
      <c r="C232" s="19">
        <f>IF($B232="","",IFERROR(VLOOKUP($B232,'Catálogo'!$A:$B,2,FALSE),"⚠ Código no existe"))</f>
      </c>
      <c r="D232" s="15"/>
      <c r="E232" s="20"/>
      <c r="F232" s="20"/>
      <c r="G232" s="20"/>
      <c r="H232" s="19">
        <f>IF($B232="","",$B232&amp;"|"&amp;$E232)</f>
      </c>
    </row>
    <row r="233">
      <c r="A233" s="23"/>
      <c r="B233" s="20"/>
      <c r="C233" s="19">
        <f>IF($B233="","",IFERROR(VLOOKUP($B233,'Catálogo'!$A:$B,2,FALSE),"⚠ Código no existe"))</f>
      </c>
      <c r="D233" s="15"/>
      <c r="E233" s="20"/>
      <c r="F233" s="20"/>
      <c r="G233" s="20"/>
      <c r="H233" s="19">
        <f>IF($B233="","",$B233&amp;"|"&amp;$E233)</f>
      </c>
    </row>
    <row r="234">
      <c r="A234" s="23"/>
      <c r="B234" s="20"/>
      <c r="C234" s="19">
        <f>IF($B234="","",IFERROR(VLOOKUP($B234,'Catálogo'!$A:$B,2,FALSE),"⚠ Código no existe"))</f>
      </c>
      <c r="D234" s="15"/>
      <c r="E234" s="20"/>
      <c r="F234" s="20"/>
      <c r="G234" s="20"/>
      <c r="H234" s="19">
        <f>IF($B234="","",$B234&amp;"|"&amp;$E234)</f>
      </c>
    </row>
    <row r="235">
      <c r="A235" s="23"/>
      <c r="B235" s="20"/>
      <c r="C235" s="19">
        <f>IF($B235="","",IFERROR(VLOOKUP($B235,'Catálogo'!$A:$B,2,FALSE),"⚠ Código no existe"))</f>
      </c>
      <c r="D235" s="15"/>
      <c r="E235" s="20"/>
      <c r="F235" s="20"/>
      <c r="G235" s="20"/>
      <c r="H235" s="19">
        <f>IF($B235="","",$B235&amp;"|"&amp;$E235)</f>
      </c>
    </row>
    <row r="236">
      <c r="A236" s="23"/>
      <c r="B236" s="20"/>
      <c r="C236" s="19">
        <f>IF($B236="","",IFERROR(VLOOKUP($B236,'Catálogo'!$A:$B,2,FALSE),"⚠ Código no existe"))</f>
      </c>
      <c r="D236" s="15"/>
      <c r="E236" s="20"/>
      <c r="F236" s="20"/>
      <c r="G236" s="20"/>
      <c r="H236" s="19">
        <f>IF($B236="","",$B236&amp;"|"&amp;$E236)</f>
      </c>
    </row>
    <row r="237">
      <c r="A237" s="23"/>
      <c r="B237" s="20"/>
      <c r="C237" s="19">
        <f>IF($B237="","",IFERROR(VLOOKUP($B237,'Catálogo'!$A:$B,2,FALSE),"⚠ Código no existe"))</f>
      </c>
      <c r="D237" s="15"/>
      <c r="E237" s="20"/>
      <c r="F237" s="20"/>
      <c r="G237" s="20"/>
      <c r="H237" s="19">
        <f>IF($B237="","",$B237&amp;"|"&amp;$E237)</f>
      </c>
    </row>
    <row r="238">
      <c r="A238" s="23"/>
      <c r="B238" s="20"/>
      <c r="C238" s="19">
        <f>IF($B238="","",IFERROR(VLOOKUP($B238,'Catálogo'!$A:$B,2,FALSE),"⚠ Código no existe"))</f>
      </c>
      <c r="D238" s="15"/>
      <c r="E238" s="20"/>
      <c r="F238" s="20"/>
      <c r="G238" s="20"/>
      <c r="H238" s="19">
        <f>IF($B238="","",$B238&amp;"|"&amp;$E238)</f>
      </c>
    </row>
    <row r="239">
      <c r="A239" s="23"/>
      <c r="B239" s="20"/>
      <c r="C239" s="19">
        <f>IF($B239="","",IFERROR(VLOOKUP($B239,'Catálogo'!$A:$B,2,FALSE),"⚠ Código no existe"))</f>
      </c>
      <c r="D239" s="15"/>
      <c r="E239" s="20"/>
      <c r="F239" s="20"/>
      <c r="G239" s="20"/>
      <c r="H239" s="19">
        <f>IF($B239="","",$B239&amp;"|"&amp;$E239)</f>
      </c>
    </row>
    <row r="240">
      <c r="A240" s="23"/>
      <c r="B240" s="20"/>
      <c r="C240" s="19">
        <f>IF($B240="","",IFERROR(VLOOKUP($B240,'Catálogo'!$A:$B,2,FALSE),"⚠ Código no existe"))</f>
      </c>
      <c r="D240" s="15"/>
      <c r="E240" s="20"/>
      <c r="F240" s="20"/>
      <c r="G240" s="20"/>
      <c r="H240" s="19">
        <f>IF($B240="","",$B240&amp;"|"&amp;$E240)</f>
      </c>
    </row>
    <row r="241">
      <c r="A241" s="23"/>
      <c r="B241" s="20"/>
      <c r="C241" s="19">
        <f>IF($B241="","",IFERROR(VLOOKUP($B241,'Catálogo'!$A:$B,2,FALSE),"⚠ Código no existe"))</f>
      </c>
      <c r="D241" s="15"/>
      <c r="E241" s="20"/>
      <c r="F241" s="20"/>
      <c r="G241" s="20"/>
      <c r="H241" s="19">
        <f>IF($B241="","",$B241&amp;"|"&amp;$E241)</f>
      </c>
    </row>
    <row r="242">
      <c r="A242" s="23"/>
      <c r="B242" s="20"/>
      <c r="C242" s="19">
        <f>IF($B242="","",IFERROR(VLOOKUP($B242,'Catálogo'!$A:$B,2,FALSE),"⚠ Código no existe"))</f>
      </c>
      <c r="D242" s="15"/>
      <c r="E242" s="20"/>
      <c r="F242" s="20"/>
      <c r="G242" s="20"/>
      <c r="H242" s="19">
        <f>IF($B242="","",$B242&amp;"|"&amp;$E242)</f>
      </c>
    </row>
    <row r="243">
      <c r="A243" s="23"/>
      <c r="B243" s="20"/>
      <c r="C243" s="19">
        <f>IF($B243="","",IFERROR(VLOOKUP($B243,'Catálogo'!$A:$B,2,FALSE),"⚠ Código no existe"))</f>
      </c>
      <c r="D243" s="15"/>
      <c r="E243" s="20"/>
      <c r="F243" s="20"/>
      <c r="G243" s="20"/>
      <c r="H243" s="19">
        <f>IF($B243="","",$B243&amp;"|"&amp;$E243)</f>
      </c>
    </row>
    <row r="244">
      <c r="A244" s="23"/>
      <c r="B244" s="20"/>
      <c r="C244" s="19">
        <f>IF($B244="","",IFERROR(VLOOKUP($B244,'Catálogo'!$A:$B,2,FALSE),"⚠ Código no existe"))</f>
      </c>
      <c r="D244" s="15"/>
      <c r="E244" s="20"/>
      <c r="F244" s="20"/>
      <c r="G244" s="20"/>
      <c r="H244" s="19">
        <f>IF($B244="","",$B244&amp;"|"&amp;$E244)</f>
      </c>
    </row>
    <row r="245">
      <c r="A245" s="23"/>
      <c r="B245" s="20"/>
      <c r="C245" s="19">
        <f>IF($B245="","",IFERROR(VLOOKUP($B245,'Catálogo'!$A:$B,2,FALSE),"⚠ Código no existe"))</f>
      </c>
      <c r="D245" s="15"/>
      <c r="E245" s="20"/>
      <c r="F245" s="20"/>
      <c r="G245" s="20"/>
      <c r="H245" s="19">
        <f>IF($B245="","",$B245&amp;"|"&amp;$E245)</f>
      </c>
    </row>
    <row r="246">
      <c r="A246" s="23"/>
      <c r="B246" s="20"/>
      <c r="C246" s="19">
        <f>IF($B246="","",IFERROR(VLOOKUP($B246,'Catálogo'!$A:$B,2,FALSE),"⚠ Código no existe"))</f>
      </c>
      <c r="D246" s="15"/>
      <c r="E246" s="20"/>
      <c r="F246" s="20"/>
      <c r="G246" s="20"/>
      <c r="H246" s="19">
        <f>IF($B246="","",$B246&amp;"|"&amp;$E246)</f>
      </c>
    </row>
    <row r="247">
      <c r="A247" s="23"/>
      <c r="B247" s="20"/>
      <c r="C247" s="19">
        <f>IF($B247="","",IFERROR(VLOOKUP($B247,'Catálogo'!$A:$B,2,FALSE),"⚠ Código no existe"))</f>
      </c>
      <c r="D247" s="15"/>
      <c r="E247" s="20"/>
      <c r="F247" s="20"/>
      <c r="G247" s="20"/>
      <c r="H247" s="19">
        <f>IF($B247="","",$B247&amp;"|"&amp;$E247)</f>
      </c>
    </row>
    <row r="248">
      <c r="A248" s="23"/>
      <c r="B248" s="20"/>
      <c r="C248" s="19">
        <f>IF($B248="","",IFERROR(VLOOKUP($B248,'Catálogo'!$A:$B,2,FALSE),"⚠ Código no existe"))</f>
      </c>
      <c r="D248" s="15"/>
      <c r="E248" s="20"/>
      <c r="F248" s="20"/>
      <c r="G248" s="20"/>
      <c r="H248" s="19">
        <f>IF($B248="","",$B248&amp;"|"&amp;$E248)</f>
      </c>
    </row>
    <row r="249">
      <c r="A249" s="23"/>
      <c r="B249" s="20"/>
      <c r="C249" s="19">
        <f>IF($B249="","",IFERROR(VLOOKUP($B249,'Catálogo'!$A:$B,2,FALSE),"⚠ Código no existe"))</f>
      </c>
      <c r="D249" s="15"/>
      <c r="E249" s="20"/>
      <c r="F249" s="20"/>
      <c r="G249" s="20"/>
      <c r="H249" s="19">
        <f>IF($B249="","",$B249&amp;"|"&amp;$E249)</f>
      </c>
    </row>
    <row r="250">
      <c r="A250" s="23"/>
      <c r="B250" s="20"/>
      <c r="C250" s="19">
        <f>IF($B250="","",IFERROR(VLOOKUP($B250,'Catálogo'!$A:$B,2,FALSE),"⚠ Código no existe"))</f>
      </c>
      <c r="D250" s="15"/>
      <c r="E250" s="20"/>
      <c r="F250" s="20"/>
      <c r="G250" s="20"/>
      <c r="H250" s="19">
        <f>IF($B250="","",$B250&amp;"|"&amp;$E250)</f>
      </c>
    </row>
    <row r="251">
      <c r="A251" s="23"/>
      <c r="B251" s="20"/>
      <c r="C251" s="19">
        <f>IF($B251="","",IFERROR(VLOOKUP($B251,'Catálogo'!$A:$B,2,FALSE),"⚠ Código no existe"))</f>
      </c>
      <c r="D251" s="15"/>
      <c r="E251" s="20"/>
      <c r="F251" s="20"/>
      <c r="G251" s="20"/>
      <c r="H251" s="19">
        <f>IF($B251="","",$B251&amp;"|"&amp;$E251)</f>
      </c>
    </row>
    <row r="252">
      <c r="A252" s="23"/>
      <c r="B252" s="20"/>
      <c r="C252" s="19">
        <f>IF($B252="","",IFERROR(VLOOKUP($B252,'Catálogo'!$A:$B,2,FALSE),"⚠ Código no existe"))</f>
      </c>
      <c r="D252" s="15"/>
      <c r="E252" s="20"/>
      <c r="F252" s="20"/>
      <c r="G252" s="20"/>
      <c r="H252" s="19">
        <f>IF($B252="","",$B252&amp;"|"&amp;$E252)</f>
      </c>
    </row>
    <row r="253">
      <c r="A253" s="23"/>
      <c r="B253" s="20"/>
      <c r="C253" s="19">
        <f>IF($B253="","",IFERROR(VLOOKUP($B253,'Catálogo'!$A:$B,2,FALSE),"⚠ Código no existe"))</f>
      </c>
      <c r="D253" s="15"/>
      <c r="E253" s="20"/>
      <c r="F253" s="20"/>
      <c r="G253" s="20"/>
      <c r="H253" s="19">
        <f>IF($B253="","",$B253&amp;"|"&amp;$E253)</f>
      </c>
    </row>
    <row r="254">
      <c r="A254" s="23"/>
      <c r="B254" s="20"/>
      <c r="C254" s="19">
        <f>IF($B254="","",IFERROR(VLOOKUP($B254,'Catálogo'!$A:$B,2,FALSE),"⚠ Código no existe"))</f>
      </c>
      <c r="D254" s="15"/>
      <c r="E254" s="20"/>
      <c r="F254" s="20"/>
      <c r="G254" s="20"/>
      <c r="H254" s="19">
        <f>IF($B254="","",$B254&amp;"|"&amp;$E254)</f>
      </c>
    </row>
    <row r="255">
      <c r="A255" s="23"/>
      <c r="B255" s="20"/>
      <c r="C255" s="19">
        <f>IF($B255="","",IFERROR(VLOOKUP($B255,'Catálogo'!$A:$B,2,FALSE),"⚠ Código no existe"))</f>
      </c>
      <c r="D255" s="15"/>
      <c r="E255" s="20"/>
      <c r="F255" s="20"/>
      <c r="G255" s="20"/>
      <c r="H255" s="19">
        <f>IF($B255="","",$B255&amp;"|"&amp;$E255)</f>
      </c>
    </row>
    <row r="256">
      <c r="A256" s="23"/>
      <c r="B256" s="20"/>
      <c r="C256" s="19">
        <f>IF($B256="","",IFERROR(VLOOKUP($B256,'Catálogo'!$A:$B,2,FALSE),"⚠ Código no existe"))</f>
      </c>
      <c r="D256" s="15"/>
      <c r="E256" s="20"/>
      <c r="F256" s="20"/>
      <c r="G256" s="20"/>
      <c r="H256" s="19">
        <f>IF($B256="","",$B256&amp;"|"&amp;$E256)</f>
      </c>
    </row>
    <row r="257">
      <c r="A257" s="23"/>
      <c r="B257" s="20"/>
      <c r="C257" s="19">
        <f>IF($B257="","",IFERROR(VLOOKUP($B257,'Catálogo'!$A:$B,2,FALSE),"⚠ Código no existe"))</f>
      </c>
      <c r="D257" s="15"/>
      <c r="E257" s="20"/>
      <c r="F257" s="20"/>
      <c r="G257" s="20"/>
      <c r="H257" s="19">
        <f>IF($B257="","",$B257&amp;"|"&amp;$E257)</f>
      </c>
    </row>
    <row r="258">
      <c r="A258" s="23"/>
      <c r="B258" s="20"/>
      <c r="C258" s="19">
        <f>IF($B258="","",IFERROR(VLOOKUP($B258,'Catálogo'!$A:$B,2,FALSE),"⚠ Código no existe"))</f>
      </c>
      <c r="D258" s="15"/>
      <c r="E258" s="20"/>
      <c r="F258" s="20"/>
      <c r="G258" s="20"/>
      <c r="H258" s="19">
        <f>IF($B258="","",$B258&amp;"|"&amp;$E258)</f>
      </c>
    </row>
    <row r="259">
      <c r="A259" s="23"/>
      <c r="B259" s="20"/>
      <c r="C259" s="19">
        <f>IF($B259="","",IFERROR(VLOOKUP($B259,'Catálogo'!$A:$B,2,FALSE),"⚠ Código no existe"))</f>
      </c>
      <c r="D259" s="15"/>
      <c r="E259" s="20"/>
      <c r="F259" s="20"/>
      <c r="G259" s="20"/>
      <c r="H259" s="19">
        <f>IF($B259="","",$B259&amp;"|"&amp;$E259)</f>
      </c>
    </row>
    <row r="260">
      <c r="A260" s="23"/>
      <c r="B260" s="20"/>
      <c r="C260" s="19">
        <f>IF($B260="","",IFERROR(VLOOKUP($B260,'Catálogo'!$A:$B,2,FALSE),"⚠ Código no existe"))</f>
      </c>
      <c r="D260" s="15"/>
      <c r="E260" s="20"/>
      <c r="F260" s="20"/>
      <c r="G260" s="20"/>
      <c r="H260" s="19">
        <f>IF($B260="","",$B260&amp;"|"&amp;$E260)</f>
      </c>
    </row>
    <row r="261">
      <c r="A261" s="23"/>
      <c r="B261" s="20"/>
      <c r="C261" s="19">
        <f>IF($B261="","",IFERROR(VLOOKUP($B261,'Catálogo'!$A:$B,2,FALSE),"⚠ Código no existe"))</f>
      </c>
      <c r="D261" s="15"/>
      <c r="E261" s="20"/>
      <c r="F261" s="20"/>
      <c r="G261" s="20"/>
      <c r="H261" s="19">
        <f>IF($B261="","",$B261&amp;"|"&amp;$E261)</f>
      </c>
    </row>
    <row r="262">
      <c r="A262" s="23"/>
      <c r="B262" s="20"/>
      <c r="C262" s="19">
        <f>IF($B262="","",IFERROR(VLOOKUP($B262,'Catálogo'!$A:$B,2,FALSE),"⚠ Código no existe"))</f>
      </c>
      <c r="D262" s="15"/>
      <c r="E262" s="20"/>
      <c r="F262" s="20"/>
      <c r="G262" s="20"/>
      <c r="H262" s="19">
        <f>IF($B262="","",$B262&amp;"|"&amp;$E262)</f>
      </c>
    </row>
    <row r="263">
      <c r="A263" s="23"/>
      <c r="B263" s="20"/>
      <c r="C263" s="19">
        <f>IF($B263="","",IFERROR(VLOOKUP($B263,'Catálogo'!$A:$B,2,FALSE),"⚠ Código no existe"))</f>
      </c>
      <c r="D263" s="15"/>
      <c r="E263" s="20"/>
      <c r="F263" s="20"/>
      <c r="G263" s="20"/>
      <c r="H263" s="19">
        <f>IF($B263="","",$B263&amp;"|"&amp;$E263)</f>
      </c>
    </row>
    <row r="264">
      <c r="A264" s="23"/>
      <c r="B264" s="20"/>
      <c r="C264" s="19">
        <f>IF($B264="","",IFERROR(VLOOKUP($B264,'Catálogo'!$A:$B,2,FALSE),"⚠ Código no existe"))</f>
      </c>
      <c r="D264" s="15"/>
      <c r="E264" s="20"/>
      <c r="F264" s="20"/>
      <c r="G264" s="20"/>
      <c r="H264" s="19">
        <f>IF($B264="","",$B264&amp;"|"&amp;$E264)</f>
      </c>
    </row>
    <row r="265">
      <c r="A265" s="23"/>
      <c r="B265" s="20"/>
      <c r="C265" s="19">
        <f>IF($B265="","",IFERROR(VLOOKUP($B265,'Catálogo'!$A:$B,2,FALSE),"⚠ Código no existe"))</f>
      </c>
      <c r="D265" s="15"/>
      <c r="E265" s="20"/>
      <c r="F265" s="20"/>
      <c r="G265" s="20"/>
      <c r="H265" s="19">
        <f>IF($B265="","",$B265&amp;"|"&amp;$E265)</f>
      </c>
    </row>
    <row r="266">
      <c r="A266" s="23"/>
      <c r="B266" s="20"/>
      <c r="C266" s="19">
        <f>IF($B266="","",IFERROR(VLOOKUP($B266,'Catálogo'!$A:$B,2,FALSE),"⚠ Código no existe"))</f>
      </c>
      <c r="D266" s="15"/>
      <c r="E266" s="20"/>
      <c r="F266" s="20"/>
      <c r="G266" s="20"/>
      <c r="H266" s="19">
        <f>IF($B266="","",$B266&amp;"|"&amp;$E266)</f>
      </c>
    </row>
    <row r="267">
      <c r="A267" s="23"/>
      <c r="B267" s="20"/>
      <c r="C267" s="19">
        <f>IF($B267="","",IFERROR(VLOOKUP($B267,'Catálogo'!$A:$B,2,FALSE),"⚠ Código no existe"))</f>
      </c>
      <c r="D267" s="15"/>
      <c r="E267" s="20"/>
      <c r="F267" s="20"/>
      <c r="G267" s="20"/>
      <c r="H267" s="19">
        <f>IF($B267="","",$B267&amp;"|"&amp;$E267)</f>
      </c>
    </row>
    <row r="268">
      <c r="A268" s="23"/>
      <c r="B268" s="20"/>
      <c r="C268" s="19">
        <f>IF($B268="","",IFERROR(VLOOKUP($B268,'Catálogo'!$A:$B,2,FALSE),"⚠ Código no existe"))</f>
      </c>
      <c r="D268" s="15"/>
      <c r="E268" s="20"/>
      <c r="F268" s="20"/>
      <c r="G268" s="20"/>
      <c r="H268" s="19">
        <f>IF($B268="","",$B268&amp;"|"&amp;$E268)</f>
      </c>
    </row>
    <row r="269">
      <c r="A269" s="23"/>
      <c r="B269" s="20"/>
      <c r="C269" s="19">
        <f>IF($B269="","",IFERROR(VLOOKUP($B269,'Catálogo'!$A:$B,2,FALSE),"⚠ Código no existe"))</f>
      </c>
      <c r="D269" s="15"/>
      <c r="E269" s="20"/>
      <c r="F269" s="20"/>
      <c r="G269" s="20"/>
      <c r="H269" s="19">
        <f>IF($B269="","",$B269&amp;"|"&amp;$E269)</f>
      </c>
    </row>
    <row r="270">
      <c r="A270" s="23"/>
      <c r="B270" s="20"/>
      <c r="C270" s="19">
        <f>IF($B270="","",IFERROR(VLOOKUP($B270,'Catálogo'!$A:$B,2,FALSE),"⚠ Código no existe"))</f>
      </c>
      <c r="D270" s="15"/>
      <c r="E270" s="20"/>
      <c r="F270" s="20"/>
      <c r="G270" s="20"/>
      <c r="H270" s="19">
        <f>IF($B270="","",$B270&amp;"|"&amp;$E270)</f>
      </c>
    </row>
    <row r="271">
      <c r="A271" s="23"/>
      <c r="B271" s="20"/>
      <c r="C271" s="19">
        <f>IF($B271="","",IFERROR(VLOOKUP($B271,'Catálogo'!$A:$B,2,FALSE),"⚠ Código no existe"))</f>
      </c>
      <c r="D271" s="15"/>
      <c r="E271" s="20"/>
      <c r="F271" s="20"/>
      <c r="G271" s="20"/>
      <c r="H271" s="19">
        <f>IF($B271="","",$B271&amp;"|"&amp;$E271)</f>
      </c>
    </row>
    <row r="272">
      <c r="A272" s="23"/>
      <c r="B272" s="20"/>
      <c r="C272" s="19">
        <f>IF($B272="","",IFERROR(VLOOKUP($B272,'Catálogo'!$A:$B,2,FALSE),"⚠ Código no existe"))</f>
      </c>
      <c r="D272" s="15"/>
      <c r="E272" s="20"/>
      <c r="F272" s="20"/>
      <c r="G272" s="20"/>
      <c r="H272" s="19">
        <f>IF($B272="","",$B272&amp;"|"&amp;$E272)</f>
      </c>
    </row>
    <row r="273">
      <c r="A273" s="23"/>
      <c r="B273" s="20"/>
      <c r="C273" s="19">
        <f>IF($B273="","",IFERROR(VLOOKUP($B273,'Catálogo'!$A:$B,2,FALSE),"⚠ Código no existe"))</f>
      </c>
      <c r="D273" s="15"/>
      <c r="E273" s="20"/>
      <c r="F273" s="20"/>
      <c r="G273" s="20"/>
      <c r="H273" s="19">
        <f>IF($B273="","",$B273&amp;"|"&amp;$E273)</f>
      </c>
    </row>
    <row r="274">
      <c r="A274" s="23"/>
      <c r="B274" s="20"/>
      <c r="C274" s="19">
        <f>IF($B274="","",IFERROR(VLOOKUP($B274,'Catálogo'!$A:$B,2,FALSE),"⚠ Código no existe"))</f>
      </c>
      <c r="D274" s="15"/>
      <c r="E274" s="20"/>
      <c r="F274" s="20"/>
      <c r="G274" s="20"/>
      <c r="H274" s="19">
        <f>IF($B274="","",$B274&amp;"|"&amp;$E274)</f>
      </c>
    </row>
    <row r="275">
      <c r="A275" s="23"/>
      <c r="B275" s="20"/>
      <c r="C275" s="19">
        <f>IF($B275="","",IFERROR(VLOOKUP($B275,'Catálogo'!$A:$B,2,FALSE),"⚠ Código no existe"))</f>
      </c>
      <c r="D275" s="15"/>
      <c r="E275" s="20"/>
      <c r="F275" s="20"/>
      <c r="G275" s="20"/>
      <c r="H275" s="19">
        <f>IF($B275="","",$B275&amp;"|"&amp;$E275)</f>
      </c>
    </row>
    <row r="276">
      <c r="A276" s="23"/>
      <c r="B276" s="20"/>
      <c r="C276" s="19">
        <f>IF($B276="","",IFERROR(VLOOKUP($B276,'Catálogo'!$A:$B,2,FALSE),"⚠ Código no existe"))</f>
      </c>
      <c r="D276" s="15"/>
      <c r="E276" s="20"/>
      <c r="F276" s="20"/>
      <c r="G276" s="20"/>
      <c r="H276" s="19">
        <f>IF($B276="","",$B276&amp;"|"&amp;$E276)</f>
      </c>
    </row>
    <row r="277">
      <c r="A277" s="23"/>
      <c r="B277" s="20"/>
      <c r="C277" s="19">
        <f>IF($B277="","",IFERROR(VLOOKUP($B277,'Catálogo'!$A:$B,2,FALSE),"⚠ Código no existe"))</f>
      </c>
      <c r="D277" s="15"/>
      <c r="E277" s="20"/>
      <c r="F277" s="20"/>
      <c r="G277" s="20"/>
      <c r="H277" s="19">
        <f>IF($B277="","",$B277&amp;"|"&amp;$E277)</f>
      </c>
    </row>
    <row r="278">
      <c r="A278" s="23"/>
      <c r="B278" s="20"/>
      <c r="C278" s="19">
        <f>IF($B278="","",IFERROR(VLOOKUP($B278,'Catálogo'!$A:$B,2,FALSE),"⚠ Código no existe"))</f>
      </c>
      <c r="D278" s="15"/>
      <c r="E278" s="20"/>
      <c r="F278" s="20"/>
      <c r="G278" s="20"/>
      <c r="H278" s="19">
        <f>IF($B278="","",$B278&amp;"|"&amp;$E278)</f>
      </c>
    </row>
    <row r="279">
      <c r="A279" s="23"/>
      <c r="B279" s="20"/>
      <c r="C279" s="19">
        <f>IF($B279="","",IFERROR(VLOOKUP($B279,'Catálogo'!$A:$B,2,FALSE),"⚠ Código no existe"))</f>
      </c>
      <c r="D279" s="15"/>
      <c r="E279" s="20"/>
      <c r="F279" s="20"/>
      <c r="G279" s="20"/>
      <c r="H279" s="19">
        <f>IF($B279="","",$B279&amp;"|"&amp;$E279)</f>
      </c>
    </row>
    <row r="280">
      <c r="A280" s="23"/>
      <c r="B280" s="20"/>
      <c r="C280" s="19">
        <f>IF($B280="","",IFERROR(VLOOKUP($B280,'Catálogo'!$A:$B,2,FALSE),"⚠ Código no existe"))</f>
      </c>
      <c r="D280" s="15"/>
      <c r="E280" s="20"/>
      <c r="F280" s="20"/>
      <c r="G280" s="20"/>
      <c r="H280" s="19">
        <f>IF($B280="","",$B280&amp;"|"&amp;$E280)</f>
      </c>
    </row>
    <row r="281">
      <c r="A281" s="23"/>
      <c r="B281" s="20"/>
      <c r="C281" s="19">
        <f>IF($B281="","",IFERROR(VLOOKUP($B281,'Catálogo'!$A:$B,2,FALSE),"⚠ Código no existe"))</f>
      </c>
      <c r="D281" s="15"/>
      <c r="E281" s="20"/>
      <c r="F281" s="20"/>
      <c r="G281" s="20"/>
      <c r="H281" s="19">
        <f>IF($B281="","",$B281&amp;"|"&amp;$E281)</f>
      </c>
    </row>
    <row r="282">
      <c r="A282" s="23"/>
      <c r="B282" s="20"/>
      <c r="C282" s="19">
        <f>IF($B282="","",IFERROR(VLOOKUP($B282,'Catálogo'!$A:$B,2,FALSE),"⚠ Código no existe"))</f>
      </c>
      <c r="D282" s="15"/>
      <c r="E282" s="20"/>
      <c r="F282" s="20"/>
      <c r="G282" s="20"/>
      <c r="H282" s="19">
        <f>IF($B282="","",$B282&amp;"|"&amp;$E282)</f>
      </c>
    </row>
    <row r="283">
      <c r="A283" s="23"/>
      <c r="B283" s="20"/>
      <c r="C283" s="19">
        <f>IF($B283="","",IFERROR(VLOOKUP($B283,'Catálogo'!$A:$B,2,FALSE),"⚠ Código no existe"))</f>
      </c>
      <c r="D283" s="15"/>
      <c r="E283" s="20"/>
      <c r="F283" s="20"/>
      <c r="G283" s="20"/>
      <c r="H283" s="19">
        <f>IF($B283="","",$B283&amp;"|"&amp;$E283)</f>
      </c>
    </row>
    <row r="284">
      <c r="A284" s="23"/>
      <c r="B284" s="20"/>
      <c r="C284" s="19">
        <f>IF($B284="","",IFERROR(VLOOKUP($B284,'Catálogo'!$A:$B,2,FALSE),"⚠ Código no existe"))</f>
      </c>
      <c r="D284" s="15"/>
      <c r="E284" s="20"/>
      <c r="F284" s="20"/>
      <c r="G284" s="20"/>
      <c r="H284" s="19">
        <f>IF($B284="","",$B284&amp;"|"&amp;$E284)</f>
      </c>
    </row>
    <row r="285">
      <c r="A285" s="23"/>
      <c r="B285" s="20"/>
      <c r="C285" s="19">
        <f>IF($B285="","",IFERROR(VLOOKUP($B285,'Catálogo'!$A:$B,2,FALSE),"⚠ Código no existe"))</f>
      </c>
      <c r="D285" s="15"/>
      <c r="E285" s="20"/>
      <c r="F285" s="20"/>
      <c r="G285" s="20"/>
      <c r="H285" s="19">
        <f>IF($B285="","",$B285&amp;"|"&amp;$E285)</f>
      </c>
    </row>
    <row r="286">
      <c r="A286" s="23"/>
      <c r="B286" s="20"/>
      <c r="C286" s="19">
        <f>IF($B286="","",IFERROR(VLOOKUP($B286,'Catálogo'!$A:$B,2,FALSE),"⚠ Código no existe"))</f>
      </c>
      <c r="D286" s="15"/>
      <c r="E286" s="20"/>
      <c r="F286" s="20"/>
      <c r="G286" s="20"/>
      <c r="H286" s="19">
        <f>IF($B286="","",$B286&amp;"|"&amp;$E286)</f>
      </c>
    </row>
    <row r="287">
      <c r="A287" s="23"/>
      <c r="B287" s="20"/>
      <c r="C287" s="19">
        <f>IF($B287="","",IFERROR(VLOOKUP($B287,'Catálogo'!$A:$B,2,FALSE),"⚠ Código no existe"))</f>
      </c>
      <c r="D287" s="15"/>
      <c r="E287" s="20"/>
      <c r="F287" s="20"/>
      <c r="G287" s="20"/>
      <c r="H287" s="19">
        <f>IF($B287="","",$B287&amp;"|"&amp;$E287)</f>
      </c>
    </row>
    <row r="288">
      <c r="A288" s="23"/>
      <c r="B288" s="20"/>
      <c r="C288" s="19">
        <f>IF($B288="","",IFERROR(VLOOKUP($B288,'Catálogo'!$A:$B,2,FALSE),"⚠ Código no existe"))</f>
      </c>
      <c r="D288" s="15"/>
      <c r="E288" s="20"/>
      <c r="F288" s="20"/>
      <c r="G288" s="20"/>
      <c r="H288" s="19">
        <f>IF($B288="","",$B288&amp;"|"&amp;$E288)</f>
      </c>
    </row>
    <row r="289">
      <c r="A289" s="23"/>
      <c r="B289" s="20"/>
      <c r="C289" s="19">
        <f>IF($B289="","",IFERROR(VLOOKUP($B289,'Catálogo'!$A:$B,2,FALSE),"⚠ Código no existe"))</f>
      </c>
      <c r="D289" s="15"/>
      <c r="E289" s="20"/>
      <c r="F289" s="20"/>
      <c r="G289" s="20"/>
      <c r="H289" s="19">
        <f>IF($B289="","",$B289&amp;"|"&amp;$E289)</f>
      </c>
    </row>
    <row r="290">
      <c r="A290" s="23"/>
      <c r="B290" s="20"/>
      <c r="C290" s="19">
        <f>IF($B290="","",IFERROR(VLOOKUP($B290,'Catálogo'!$A:$B,2,FALSE),"⚠ Código no existe"))</f>
      </c>
      <c r="D290" s="15"/>
      <c r="E290" s="20"/>
      <c r="F290" s="20"/>
      <c r="G290" s="20"/>
      <c r="H290" s="19">
        <f>IF($B290="","",$B290&amp;"|"&amp;$E290)</f>
      </c>
    </row>
    <row r="291">
      <c r="A291" s="23"/>
      <c r="B291" s="20"/>
      <c r="C291" s="19">
        <f>IF($B291="","",IFERROR(VLOOKUP($B291,'Catálogo'!$A:$B,2,FALSE),"⚠ Código no existe"))</f>
      </c>
      <c r="D291" s="15"/>
      <c r="E291" s="20"/>
      <c r="F291" s="20"/>
      <c r="G291" s="20"/>
      <c r="H291" s="19">
        <f>IF($B291="","",$B291&amp;"|"&amp;$E291)</f>
      </c>
    </row>
    <row r="292">
      <c r="A292" s="23"/>
      <c r="B292" s="20"/>
      <c r="C292" s="19">
        <f>IF($B292="","",IFERROR(VLOOKUP($B292,'Catálogo'!$A:$B,2,FALSE),"⚠ Código no existe"))</f>
      </c>
      <c r="D292" s="15"/>
      <c r="E292" s="20"/>
      <c r="F292" s="20"/>
      <c r="G292" s="20"/>
      <c r="H292" s="19">
        <f>IF($B292="","",$B292&amp;"|"&amp;$E292)</f>
      </c>
    </row>
    <row r="293">
      <c r="A293" s="23"/>
      <c r="B293" s="20"/>
      <c r="C293" s="19">
        <f>IF($B293="","",IFERROR(VLOOKUP($B293,'Catálogo'!$A:$B,2,FALSE),"⚠ Código no existe"))</f>
      </c>
      <c r="D293" s="15"/>
      <c r="E293" s="20"/>
      <c r="F293" s="20"/>
      <c r="G293" s="20"/>
      <c r="H293" s="19">
        <f>IF($B293="","",$B293&amp;"|"&amp;$E293)</f>
      </c>
    </row>
    <row r="294">
      <c r="A294" s="23"/>
      <c r="B294" s="20"/>
      <c r="C294" s="19">
        <f>IF($B294="","",IFERROR(VLOOKUP($B294,'Catálogo'!$A:$B,2,FALSE),"⚠ Código no existe"))</f>
      </c>
      <c r="D294" s="15"/>
      <c r="E294" s="20"/>
      <c r="F294" s="20"/>
      <c r="G294" s="20"/>
      <c r="H294" s="19">
        <f>IF($B294="","",$B294&amp;"|"&amp;$E294)</f>
      </c>
    </row>
    <row r="295">
      <c r="A295" s="23"/>
      <c r="B295" s="20"/>
      <c r="C295" s="19">
        <f>IF($B295="","",IFERROR(VLOOKUP($B295,'Catálogo'!$A:$B,2,FALSE),"⚠ Código no existe"))</f>
      </c>
      <c r="D295" s="15"/>
      <c r="E295" s="20"/>
      <c r="F295" s="20"/>
      <c r="G295" s="20"/>
      <c r="H295" s="19">
        <f>IF($B295="","",$B295&amp;"|"&amp;$E295)</f>
      </c>
    </row>
    <row r="296">
      <c r="A296" s="23"/>
      <c r="B296" s="20"/>
      <c r="C296" s="19">
        <f>IF($B296="","",IFERROR(VLOOKUP($B296,'Catálogo'!$A:$B,2,FALSE),"⚠ Código no existe"))</f>
      </c>
      <c r="D296" s="15"/>
      <c r="E296" s="20"/>
      <c r="F296" s="20"/>
      <c r="G296" s="20"/>
      <c r="H296" s="19">
        <f>IF($B296="","",$B296&amp;"|"&amp;$E296)</f>
      </c>
    </row>
    <row r="297">
      <c r="A297" s="23"/>
      <c r="B297" s="20"/>
      <c r="C297" s="19">
        <f>IF($B297="","",IFERROR(VLOOKUP($B297,'Catálogo'!$A:$B,2,FALSE),"⚠ Código no existe"))</f>
      </c>
      <c r="D297" s="15"/>
      <c r="E297" s="20"/>
      <c r="F297" s="20"/>
      <c r="G297" s="20"/>
      <c r="H297" s="19">
        <f>IF($B297="","",$B297&amp;"|"&amp;$E297)</f>
      </c>
    </row>
    <row r="298">
      <c r="A298" s="23"/>
      <c r="B298" s="20"/>
      <c r="C298" s="19">
        <f>IF($B298="","",IFERROR(VLOOKUP($B298,'Catálogo'!$A:$B,2,FALSE),"⚠ Código no existe"))</f>
      </c>
      <c r="D298" s="15"/>
      <c r="E298" s="20"/>
      <c r="F298" s="20"/>
      <c r="G298" s="20"/>
      <c r="H298" s="19">
        <f>IF($B298="","",$B298&amp;"|"&amp;$E298)</f>
      </c>
    </row>
    <row r="299">
      <c r="A299" s="23"/>
      <c r="B299" s="20"/>
      <c r="C299" s="19">
        <f>IF($B299="","",IFERROR(VLOOKUP($B299,'Catálogo'!$A:$B,2,FALSE),"⚠ Código no existe"))</f>
      </c>
      <c r="D299" s="15"/>
      <c r="E299" s="20"/>
      <c r="F299" s="20"/>
      <c r="G299" s="20"/>
      <c r="H299" s="19">
        <f>IF($B299="","",$B299&amp;"|"&amp;$E299)</f>
      </c>
    </row>
    <row r="300">
      <c r="A300" s="23"/>
      <c r="B300" s="20"/>
      <c r="C300" s="19">
        <f>IF($B300="","",IFERROR(VLOOKUP($B300,'Catálogo'!$A:$B,2,FALSE),"⚠ Código no existe"))</f>
      </c>
      <c r="D300" s="15"/>
      <c r="E300" s="20"/>
      <c r="F300" s="20"/>
      <c r="G300" s="20"/>
      <c r="H300" s="19">
        <f>IF($B300="","",$B300&amp;"|"&amp;$E300)</f>
      </c>
    </row>
    <row r="301">
      <c r="A301" s="23"/>
      <c r="B301" s="20"/>
      <c r="C301" s="19">
        <f>IF($B301="","",IFERROR(VLOOKUP($B301,'Catálogo'!$A:$B,2,FALSE),"⚠ Código no existe"))</f>
      </c>
      <c r="D301" s="15"/>
      <c r="E301" s="20"/>
      <c r="F301" s="20"/>
      <c r="G301" s="20"/>
      <c r="H301" s="19">
        <f>IF($B301="","",$B301&amp;"|"&amp;$E301)</f>
      </c>
    </row>
  </sheetData>
  <dataValidations count="3">
    <dataValidation type="list" allowBlank="1" showInputMessage="1" showErrorMessage="0" sqref="B2:B301">
      <formula1>'Catálogo'!$A$2:$A$201</formula1>
    </dataValidation>
    <dataValidation type="list" allowBlank="1" showInputMessage="1" showErrorMessage="0" sqref="E2:E301">
      <formula1>'Config'!$F$2:$F$3</formula1>
    </dataValidation>
    <dataValidation type="list" allowBlank="1" showInputMessage="1" showErrorMessage="0" sqref="F2:F301">
      <formula1>'Config'!$J$2:$J$6</formula1>
    </dataValidation>
  </dataValidations>
  <pageMargins left="0.5" right="0.5" top="0.5" bottom="0.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22.00" customWidth="1"/>
    <col min="3" max="3" width="14.00" customWidth="1"/>
    <col min="4" max="4" width="28.00" customWidth="1"/>
    <col min="5" max="5" width="15.00" customWidth="1"/>
    <col min="6" max="6" width="14.00" customWidth="1"/>
    <col min="7" max="7" width="14.00" customWidth="1"/>
    <col min="8" max="8" width="15.00" customWidth="1"/>
    <col min="9" max="9" width="13.00" customWidth="1"/>
    <col min="10" max="10" width="26.00" customWidth="1"/>
    <col min="11" max="11" width="16.00" customWidth="1"/>
  </cols>
  <sheetData>
    <row r="1">
      <c r="A1" s="1" t="inlineStr">
        <is>
          <t xml:space="preserve">Fecha</t>
        </is>
      </c>
      <c r="B1" s="1" t="inlineStr">
        <is>
          <t xml:space="preserve">Persona</t>
        </is>
      </c>
      <c r="C1" s="1" t="inlineStr">
        <is>
          <t xml:space="preserve">Teléfono</t>
        </is>
      </c>
      <c r="D1" s="1" t="inlineStr">
        <is>
          <t xml:space="preserve">Motivo / Nota</t>
        </is>
      </c>
      <c r="E1" s="1" t="inlineStr">
        <is>
          <t xml:space="preserve">Valor Prestado</t>
        </is>
      </c>
      <c r="F1" s="1" t="inlineStr">
        <is>
          <t xml:space="preserve">Abonado</t>
        </is>
      </c>
      <c r="G1" s="1" t="inlineStr">
        <is>
          <t xml:space="preserve">Saldo</t>
        </is>
      </c>
      <c r="H1" s="1" t="inlineStr">
        <is>
          <t xml:space="preserve">Estado</t>
        </is>
      </c>
      <c r="I1" s="1" t="inlineStr">
        <is>
          <t xml:space="preserve">Días sin pagar</t>
        </is>
      </c>
      <c r="J1" s="1" t="inlineStr">
        <is>
          <t xml:space="preserve">Alerta</t>
        </is>
      </c>
      <c r="K1" s="1" t="inlineStr">
        <is>
          <t xml:space="preserve">Billetera origen</t>
        </is>
      </c>
    </row>
    <row r="2">
      <c r="A2" s="23"/>
      <c r="B2" s="20"/>
      <c r="C2" s="20"/>
      <c r="D2" s="20"/>
      <c r="E2" s="22"/>
      <c r="F2" s="16">
        <f>IF($B2="","",SUMIF('Abonos Préstamos'!$B:$B,$B2,'Abonos Préstamos'!$C:$C))</f>
      </c>
      <c r="G2" s="16">
        <f>IF($B2="","",MAX($E2-$F2,0))</f>
      </c>
      <c r="H2" s="19">
        <f>IF($B2="","",IF($G2&lt;=0,"Pagado",IF($F2&gt;0,"Abono parcial","Pendiente")))</f>
      </c>
      <c r="I2" s="17">
        <f>IF(OR($B2="",$G2&lt;=0),"",TODAY()-$A2)</f>
      </c>
      <c r="J2" s="19">
        <f>IF($B2="","",IF($G2&lt;=0,"✅ Pagado",IF($I2&gt;30,"🔴 Cóbrale ya ("&amp;$I2&amp;" días)",IF($I2&gt;15,"🟠 Lleva "&amp;$I2&amp;" días","🟢 Reciente ("&amp;$I2&amp;" días)"))))</f>
      </c>
      <c r="K2" s="20"/>
    </row>
    <row r="3">
      <c r="A3" s="23"/>
      <c r="B3" s="20"/>
      <c r="C3" s="20"/>
      <c r="D3" s="20"/>
      <c r="E3" s="22"/>
      <c r="F3" s="16">
        <f>IF($B3="","",SUMIF('Abonos Préstamos'!$B:$B,$B3,'Abonos Préstamos'!$C:$C))</f>
      </c>
      <c r="G3" s="16">
        <f>IF($B3="","",MAX($E3-$F3,0))</f>
      </c>
      <c r="H3" s="19">
        <f>IF($B3="","",IF($G3&lt;=0,"Pagado",IF($F3&gt;0,"Abono parcial","Pendiente")))</f>
      </c>
      <c r="I3" s="17">
        <f>IF(OR($B3="",$G3&lt;=0),"",TODAY()-$A3)</f>
      </c>
      <c r="J3" s="19">
        <f>IF($B3="","",IF($G3&lt;=0,"✅ Pagado",IF($I3&gt;30,"🔴 Cóbrale ya ("&amp;$I3&amp;" días)",IF($I3&gt;15,"🟠 Lleva "&amp;$I3&amp;" días","🟢 Reciente ("&amp;$I3&amp;" días)"))))</f>
      </c>
      <c r="K3" s="20"/>
    </row>
    <row r="4">
      <c r="A4" s="23"/>
      <c r="B4" s="20"/>
      <c r="C4" s="20"/>
      <c r="D4" s="20"/>
      <c r="E4" s="22"/>
      <c r="F4" s="16">
        <f>IF($B4="","",SUMIF('Abonos Préstamos'!$B:$B,$B4,'Abonos Préstamos'!$C:$C))</f>
      </c>
      <c r="G4" s="16">
        <f>IF($B4="","",MAX($E4-$F4,0))</f>
      </c>
      <c r="H4" s="19">
        <f>IF($B4="","",IF($G4&lt;=0,"Pagado",IF($F4&gt;0,"Abono parcial","Pendiente")))</f>
      </c>
      <c r="I4" s="17">
        <f>IF(OR($B4="",$G4&lt;=0),"",TODAY()-$A4)</f>
      </c>
      <c r="J4" s="19">
        <f>IF($B4="","",IF($G4&lt;=0,"✅ Pagado",IF($I4&gt;30,"🔴 Cóbrale ya ("&amp;$I4&amp;" días)",IF($I4&gt;15,"🟠 Lleva "&amp;$I4&amp;" días","🟢 Reciente ("&amp;$I4&amp;" días)"))))</f>
      </c>
      <c r="K4" s="20"/>
    </row>
    <row r="5">
      <c r="A5" s="23"/>
      <c r="B5" s="20"/>
      <c r="C5" s="20"/>
      <c r="D5" s="20"/>
      <c r="E5" s="22"/>
      <c r="F5" s="16">
        <f>IF($B5="","",SUMIF('Abonos Préstamos'!$B:$B,$B5,'Abonos Préstamos'!$C:$C))</f>
      </c>
      <c r="G5" s="16">
        <f>IF($B5="","",MAX($E5-$F5,0))</f>
      </c>
      <c r="H5" s="19">
        <f>IF($B5="","",IF($G5&lt;=0,"Pagado",IF($F5&gt;0,"Abono parcial","Pendiente")))</f>
      </c>
      <c r="I5" s="17">
        <f>IF(OR($B5="",$G5&lt;=0),"",TODAY()-$A5)</f>
      </c>
      <c r="J5" s="19">
        <f>IF($B5="","",IF($G5&lt;=0,"✅ Pagado",IF($I5&gt;30,"🔴 Cóbrale ya ("&amp;$I5&amp;" días)",IF($I5&gt;15,"🟠 Lleva "&amp;$I5&amp;" días","🟢 Reciente ("&amp;$I5&amp;" días)"))))</f>
      </c>
      <c r="K5" s="20"/>
    </row>
    <row r="6">
      <c r="A6" s="23"/>
      <c r="B6" s="20"/>
      <c r="C6" s="20"/>
      <c r="D6" s="20"/>
      <c r="E6" s="22"/>
      <c r="F6" s="16">
        <f>IF($B6="","",SUMIF('Abonos Préstamos'!$B:$B,$B6,'Abonos Préstamos'!$C:$C))</f>
      </c>
      <c r="G6" s="16">
        <f>IF($B6="","",MAX($E6-$F6,0))</f>
      </c>
      <c r="H6" s="19">
        <f>IF($B6="","",IF($G6&lt;=0,"Pagado",IF($F6&gt;0,"Abono parcial","Pendiente")))</f>
      </c>
      <c r="I6" s="17">
        <f>IF(OR($B6="",$G6&lt;=0),"",TODAY()-$A6)</f>
      </c>
      <c r="J6" s="19">
        <f>IF($B6="","",IF($G6&lt;=0,"✅ Pagado",IF($I6&gt;30,"🔴 Cóbrale ya ("&amp;$I6&amp;" días)",IF($I6&gt;15,"🟠 Lleva "&amp;$I6&amp;" días","🟢 Reciente ("&amp;$I6&amp;" días)"))))</f>
      </c>
      <c r="K6" s="20"/>
    </row>
    <row r="7">
      <c r="A7" s="23"/>
      <c r="B7" s="20"/>
      <c r="C7" s="20"/>
      <c r="D7" s="20"/>
      <c r="E7" s="22"/>
      <c r="F7" s="16">
        <f>IF($B7="","",SUMIF('Abonos Préstamos'!$B:$B,$B7,'Abonos Préstamos'!$C:$C))</f>
      </c>
      <c r="G7" s="16">
        <f>IF($B7="","",MAX($E7-$F7,0))</f>
      </c>
      <c r="H7" s="19">
        <f>IF($B7="","",IF($G7&lt;=0,"Pagado",IF($F7&gt;0,"Abono parcial","Pendiente")))</f>
      </c>
      <c r="I7" s="17">
        <f>IF(OR($B7="",$G7&lt;=0),"",TODAY()-$A7)</f>
      </c>
      <c r="J7" s="19">
        <f>IF($B7="","",IF($G7&lt;=0,"✅ Pagado",IF($I7&gt;30,"🔴 Cóbrale ya ("&amp;$I7&amp;" días)",IF($I7&gt;15,"🟠 Lleva "&amp;$I7&amp;" días","🟢 Reciente ("&amp;$I7&amp;" días)"))))</f>
      </c>
      <c r="K7" s="20"/>
    </row>
    <row r="8">
      <c r="A8" s="23"/>
      <c r="B8" s="20"/>
      <c r="C8" s="20"/>
      <c r="D8" s="20"/>
      <c r="E8" s="22"/>
      <c r="F8" s="16">
        <f>IF($B8="","",SUMIF('Abonos Préstamos'!$B:$B,$B8,'Abonos Préstamos'!$C:$C))</f>
      </c>
      <c r="G8" s="16">
        <f>IF($B8="","",MAX($E8-$F8,0))</f>
      </c>
      <c r="H8" s="19">
        <f>IF($B8="","",IF($G8&lt;=0,"Pagado",IF($F8&gt;0,"Abono parcial","Pendiente")))</f>
      </c>
      <c r="I8" s="17">
        <f>IF(OR($B8="",$G8&lt;=0),"",TODAY()-$A8)</f>
      </c>
      <c r="J8" s="19">
        <f>IF($B8="","",IF($G8&lt;=0,"✅ Pagado",IF($I8&gt;30,"🔴 Cóbrale ya ("&amp;$I8&amp;" días)",IF($I8&gt;15,"🟠 Lleva "&amp;$I8&amp;" días","🟢 Reciente ("&amp;$I8&amp;" días)"))))</f>
      </c>
      <c r="K8" s="20"/>
    </row>
    <row r="9">
      <c r="A9" s="23"/>
      <c r="B9" s="20"/>
      <c r="C9" s="20"/>
      <c r="D9" s="20"/>
      <c r="E9" s="22"/>
      <c r="F9" s="16">
        <f>IF($B9="","",SUMIF('Abonos Préstamos'!$B:$B,$B9,'Abonos Préstamos'!$C:$C))</f>
      </c>
      <c r="G9" s="16">
        <f>IF($B9="","",MAX($E9-$F9,0))</f>
      </c>
      <c r="H9" s="19">
        <f>IF($B9="","",IF($G9&lt;=0,"Pagado",IF($F9&gt;0,"Abono parcial","Pendiente")))</f>
      </c>
      <c r="I9" s="17">
        <f>IF(OR($B9="",$G9&lt;=0),"",TODAY()-$A9)</f>
      </c>
      <c r="J9" s="19">
        <f>IF($B9="","",IF($G9&lt;=0,"✅ Pagado",IF($I9&gt;30,"🔴 Cóbrale ya ("&amp;$I9&amp;" días)",IF($I9&gt;15,"🟠 Lleva "&amp;$I9&amp;" días","🟢 Reciente ("&amp;$I9&amp;" días)"))))</f>
      </c>
      <c r="K9" s="20"/>
    </row>
    <row r="10">
      <c r="A10" s="23"/>
      <c r="B10" s="20"/>
      <c r="C10" s="20"/>
      <c r="D10" s="20"/>
      <c r="E10" s="22"/>
      <c r="F10" s="16">
        <f>IF($B10="","",SUMIF('Abonos Préstamos'!$B:$B,$B10,'Abonos Préstamos'!$C:$C))</f>
      </c>
      <c r="G10" s="16">
        <f>IF($B10="","",MAX($E10-$F10,0))</f>
      </c>
      <c r="H10" s="19">
        <f>IF($B10="","",IF($G10&lt;=0,"Pagado",IF($F10&gt;0,"Abono parcial","Pendiente")))</f>
      </c>
      <c r="I10" s="17">
        <f>IF(OR($B10="",$G10&lt;=0),"",TODAY()-$A10)</f>
      </c>
      <c r="J10" s="19">
        <f>IF($B10="","",IF($G10&lt;=0,"✅ Pagado",IF($I10&gt;30,"🔴 Cóbrale ya ("&amp;$I10&amp;" días)",IF($I10&gt;15,"🟠 Lleva "&amp;$I10&amp;" días","🟢 Reciente ("&amp;$I10&amp;" días)"))))</f>
      </c>
      <c r="K10" s="20"/>
    </row>
    <row r="11">
      <c r="A11" s="23"/>
      <c r="B11" s="20"/>
      <c r="C11" s="20"/>
      <c r="D11" s="20"/>
      <c r="E11" s="22"/>
      <c r="F11" s="16">
        <f>IF($B11="","",SUMIF('Abonos Préstamos'!$B:$B,$B11,'Abonos Préstamos'!$C:$C))</f>
      </c>
      <c r="G11" s="16">
        <f>IF($B11="","",MAX($E11-$F11,0))</f>
      </c>
      <c r="H11" s="19">
        <f>IF($B11="","",IF($G11&lt;=0,"Pagado",IF($F11&gt;0,"Abono parcial","Pendiente")))</f>
      </c>
      <c r="I11" s="17">
        <f>IF(OR($B11="",$G11&lt;=0),"",TODAY()-$A11)</f>
      </c>
      <c r="J11" s="19">
        <f>IF($B11="","",IF($G11&lt;=0,"✅ Pagado",IF($I11&gt;30,"🔴 Cóbrale ya ("&amp;$I11&amp;" días)",IF($I11&gt;15,"🟠 Lleva "&amp;$I11&amp;" días","🟢 Reciente ("&amp;$I11&amp;" días)"))))</f>
      </c>
      <c r="K11" s="20"/>
    </row>
    <row r="12">
      <c r="A12" s="23"/>
      <c r="B12" s="20"/>
      <c r="C12" s="20"/>
      <c r="D12" s="20"/>
      <c r="E12" s="22"/>
      <c r="F12" s="16">
        <f>IF($B12="","",SUMIF('Abonos Préstamos'!$B:$B,$B12,'Abonos Préstamos'!$C:$C))</f>
      </c>
      <c r="G12" s="16">
        <f>IF($B12="","",MAX($E12-$F12,0))</f>
      </c>
      <c r="H12" s="19">
        <f>IF($B12="","",IF($G12&lt;=0,"Pagado",IF($F12&gt;0,"Abono parcial","Pendiente")))</f>
      </c>
      <c r="I12" s="17">
        <f>IF(OR($B12="",$G12&lt;=0),"",TODAY()-$A12)</f>
      </c>
      <c r="J12" s="19">
        <f>IF($B12="","",IF($G12&lt;=0,"✅ Pagado",IF($I12&gt;30,"🔴 Cóbrale ya ("&amp;$I12&amp;" días)",IF($I12&gt;15,"🟠 Lleva "&amp;$I12&amp;" días","🟢 Reciente ("&amp;$I12&amp;" días)"))))</f>
      </c>
      <c r="K12" s="20"/>
    </row>
    <row r="13">
      <c r="A13" s="23"/>
      <c r="B13" s="20"/>
      <c r="C13" s="20"/>
      <c r="D13" s="20"/>
      <c r="E13" s="22"/>
      <c r="F13" s="16">
        <f>IF($B13="","",SUMIF('Abonos Préstamos'!$B:$B,$B13,'Abonos Préstamos'!$C:$C))</f>
      </c>
      <c r="G13" s="16">
        <f>IF($B13="","",MAX($E13-$F13,0))</f>
      </c>
      <c r="H13" s="19">
        <f>IF($B13="","",IF($G13&lt;=0,"Pagado",IF($F13&gt;0,"Abono parcial","Pendiente")))</f>
      </c>
      <c r="I13" s="17">
        <f>IF(OR($B13="",$G13&lt;=0),"",TODAY()-$A13)</f>
      </c>
      <c r="J13" s="19">
        <f>IF($B13="","",IF($G13&lt;=0,"✅ Pagado",IF($I13&gt;30,"🔴 Cóbrale ya ("&amp;$I13&amp;" días)",IF($I13&gt;15,"🟠 Lleva "&amp;$I13&amp;" días","🟢 Reciente ("&amp;$I13&amp;" días)"))))</f>
      </c>
      <c r="K13" s="20"/>
    </row>
    <row r="14">
      <c r="A14" s="23"/>
      <c r="B14" s="20"/>
      <c r="C14" s="20"/>
      <c r="D14" s="20"/>
      <c r="E14" s="22"/>
      <c r="F14" s="16">
        <f>IF($B14="","",SUMIF('Abonos Préstamos'!$B:$B,$B14,'Abonos Préstamos'!$C:$C))</f>
      </c>
      <c r="G14" s="16">
        <f>IF($B14="","",MAX($E14-$F14,0))</f>
      </c>
      <c r="H14" s="19">
        <f>IF($B14="","",IF($G14&lt;=0,"Pagado",IF($F14&gt;0,"Abono parcial","Pendiente")))</f>
      </c>
      <c r="I14" s="17">
        <f>IF(OR($B14="",$G14&lt;=0),"",TODAY()-$A14)</f>
      </c>
      <c r="J14" s="19">
        <f>IF($B14="","",IF($G14&lt;=0,"✅ Pagado",IF($I14&gt;30,"🔴 Cóbrale ya ("&amp;$I14&amp;" días)",IF($I14&gt;15,"🟠 Lleva "&amp;$I14&amp;" días","🟢 Reciente ("&amp;$I14&amp;" días)"))))</f>
      </c>
      <c r="K14" s="20"/>
    </row>
    <row r="15">
      <c r="A15" s="23"/>
      <c r="B15" s="20"/>
      <c r="C15" s="20"/>
      <c r="D15" s="20"/>
      <c r="E15" s="22"/>
      <c r="F15" s="16">
        <f>IF($B15="","",SUMIF('Abonos Préstamos'!$B:$B,$B15,'Abonos Préstamos'!$C:$C))</f>
      </c>
      <c r="G15" s="16">
        <f>IF($B15="","",MAX($E15-$F15,0))</f>
      </c>
      <c r="H15" s="19">
        <f>IF($B15="","",IF($G15&lt;=0,"Pagado",IF($F15&gt;0,"Abono parcial","Pendiente")))</f>
      </c>
      <c r="I15" s="17">
        <f>IF(OR($B15="",$G15&lt;=0),"",TODAY()-$A15)</f>
      </c>
      <c r="J15" s="19">
        <f>IF($B15="","",IF($G15&lt;=0,"✅ Pagado",IF($I15&gt;30,"🔴 Cóbrale ya ("&amp;$I15&amp;" días)",IF($I15&gt;15,"🟠 Lleva "&amp;$I15&amp;" días","🟢 Reciente ("&amp;$I15&amp;" días)"))))</f>
      </c>
      <c r="K15" s="20"/>
    </row>
    <row r="16">
      <c r="A16" s="23"/>
      <c r="B16" s="20"/>
      <c r="C16" s="20"/>
      <c r="D16" s="20"/>
      <c r="E16" s="22"/>
      <c r="F16" s="16">
        <f>IF($B16="","",SUMIF('Abonos Préstamos'!$B:$B,$B16,'Abonos Préstamos'!$C:$C))</f>
      </c>
      <c r="G16" s="16">
        <f>IF($B16="","",MAX($E16-$F16,0))</f>
      </c>
      <c r="H16" s="19">
        <f>IF($B16="","",IF($G16&lt;=0,"Pagado",IF($F16&gt;0,"Abono parcial","Pendiente")))</f>
      </c>
      <c r="I16" s="17">
        <f>IF(OR($B16="",$G16&lt;=0),"",TODAY()-$A16)</f>
      </c>
      <c r="J16" s="19">
        <f>IF($B16="","",IF($G16&lt;=0,"✅ Pagado",IF($I16&gt;30,"🔴 Cóbrale ya ("&amp;$I16&amp;" días)",IF($I16&gt;15,"🟠 Lleva "&amp;$I16&amp;" días","🟢 Reciente ("&amp;$I16&amp;" días)"))))</f>
      </c>
      <c r="K16" s="20"/>
    </row>
    <row r="17">
      <c r="A17" s="23"/>
      <c r="B17" s="20"/>
      <c r="C17" s="20"/>
      <c r="D17" s="20"/>
      <c r="E17" s="22"/>
      <c r="F17" s="16">
        <f>IF($B17="","",SUMIF('Abonos Préstamos'!$B:$B,$B17,'Abonos Préstamos'!$C:$C))</f>
      </c>
      <c r="G17" s="16">
        <f>IF($B17="","",MAX($E17-$F17,0))</f>
      </c>
      <c r="H17" s="19">
        <f>IF($B17="","",IF($G17&lt;=0,"Pagado",IF($F17&gt;0,"Abono parcial","Pendiente")))</f>
      </c>
      <c r="I17" s="17">
        <f>IF(OR($B17="",$G17&lt;=0),"",TODAY()-$A17)</f>
      </c>
      <c r="J17" s="19">
        <f>IF($B17="","",IF($G17&lt;=0,"✅ Pagado",IF($I17&gt;30,"🔴 Cóbrale ya ("&amp;$I17&amp;" días)",IF($I17&gt;15,"🟠 Lleva "&amp;$I17&amp;" días","🟢 Reciente ("&amp;$I17&amp;" días)"))))</f>
      </c>
      <c r="K17" s="20"/>
    </row>
    <row r="18">
      <c r="A18" s="23"/>
      <c r="B18" s="20"/>
      <c r="C18" s="20"/>
      <c r="D18" s="20"/>
      <c r="E18" s="22"/>
      <c r="F18" s="16">
        <f>IF($B18="","",SUMIF('Abonos Préstamos'!$B:$B,$B18,'Abonos Préstamos'!$C:$C))</f>
      </c>
      <c r="G18" s="16">
        <f>IF($B18="","",MAX($E18-$F18,0))</f>
      </c>
      <c r="H18" s="19">
        <f>IF($B18="","",IF($G18&lt;=0,"Pagado",IF($F18&gt;0,"Abono parcial","Pendiente")))</f>
      </c>
      <c r="I18" s="17">
        <f>IF(OR($B18="",$G18&lt;=0),"",TODAY()-$A18)</f>
      </c>
      <c r="J18" s="19">
        <f>IF($B18="","",IF($G18&lt;=0,"✅ Pagado",IF($I18&gt;30,"🔴 Cóbrale ya ("&amp;$I18&amp;" días)",IF($I18&gt;15,"🟠 Lleva "&amp;$I18&amp;" días","🟢 Reciente ("&amp;$I18&amp;" días)"))))</f>
      </c>
      <c r="K18" s="20"/>
    </row>
    <row r="19">
      <c r="A19" s="23"/>
      <c r="B19" s="20"/>
      <c r="C19" s="20"/>
      <c r="D19" s="20"/>
      <c r="E19" s="22"/>
      <c r="F19" s="16">
        <f>IF($B19="","",SUMIF('Abonos Préstamos'!$B:$B,$B19,'Abonos Préstamos'!$C:$C))</f>
      </c>
      <c r="G19" s="16">
        <f>IF($B19="","",MAX($E19-$F19,0))</f>
      </c>
      <c r="H19" s="19">
        <f>IF($B19="","",IF($G19&lt;=0,"Pagado",IF($F19&gt;0,"Abono parcial","Pendiente")))</f>
      </c>
      <c r="I19" s="17">
        <f>IF(OR($B19="",$G19&lt;=0),"",TODAY()-$A19)</f>
      </c>
      <c r="J19" s="19">
        <f>IF($B19="","",IF($G19&lt;=0,"✅ Pagado",IF($I19&gt;30,"🔴 Cóbrale ya ("&amp;$I19&amp;" días)",IF($I19&gt;15,"🟠 Lleva "&amp;$I19&amp;" días","🟢 Reciente ("&amp;$I19&amp;" días)"))))</f>
      </c>
      <c r="K19" s="20"/>
    </row>
    <row r="20">
      <c r="A20" s="23"/>
      <c r="B20" s="20"/>
      <c r="C20" s="20"/>
      <c r="D20" s="20"/>
      <c r="E20" s="22"/>
      <c r="F20" s="16">
        <f>IF($B20="","",SUMIF('Abonos Préstamos'!$B:$B,$B20,'Abonos Préstamos'!$C:$C))</f>
      </c>
      <c r="G20" s="16">
        <f>IF($B20="","",MAX($E20-$F20,0))</f>
      </c>
      <c r="H20" s="19">
        <f>IF($B20="","",IF($G20&lt;=0,"Pagado",IF($F20&gt;0,"Abono parcial","Pendiente")))</f>
      </c>
      <c r="I20" s="17">
        <f>IF(OR($B20="",$G20&lt;=0),"",TODAY()-$A20)</f>
      </c>
      <c r="J20" s="19">
        <f>IF($B20="","",IF($G20&lt;=0,"✅ Pagado",IF($I20&gt;30,"🔴 Cóbrale ya ("&amp;$I20&amp;" días)",IF($I20&gt;15,"🟠 Lleva "&amp;$I20&amp;" días","🟢 Reciente ("&amp;$I20&amp;" días)"))))</f>
      </c>
      <c r="K20" s="20"/>
    </row>
    <row r="21">
      <c r="A21" s="23"/>
      <c r="B21" s="20"/>
      <c r="C21" s="20"/>
      <c r="D21" s="20"/>
      <c r="E21" s="22"/>
      <c r="F21" s="16">
        <f>IF($B21="","",SUMIF('Abonos Préstamos'!$B:$B,$B21,'Abonos Préstamos'!$C:$C))</f>
      </c>
      <c r="G21" s="16">
        <f>IF($B21="","",MAX($E21-$F21,0))</f>
      </c>
      <c r="H21" s="19">
        <f>IF($B21="","",IF($G21&lt;=0,"Pagado",IF($F21&gt;0,"Abono parcial","Pendiente")))</f>
      </c>
      <c r="I21" s="17">
        <f>IF(OR($B21="",$G21&lt;=0),"",TODAY()-$A21)</f>
      </c>
      <c r="J21" s="19">
        <f>IF($B21="","",IF($G21&lt;=0,"✅ Pagado",IF($I21&gt;30,"🔴 Cóbrale ya ("&amp;$I21&amp;" días)",IF($I21&gt;15,"🟠 Lleva "&amp;$I21&amp;" días","🟢 Reciente ("&amp;$I21&amp;" días)"))))</f>
      </c>
      <c r="K21" s="20"/>
    </row>
    <row r="22">
      <c r="A22" s="23"/>
      <c r="B22" s="20"/>
      <c r="C22" s="20"/>
      <c r="D22" s="20"/>
      <c r="E22" s="22"/>
      <c r="F22" s="16">
        <f>IF($B22="","",SUMIF('Abonos Préstamos'!$B:$B,$B22,'Abonos Préstamos'!$C:$C))</f>
      </c>
      <c r="G22" s="16">
        <f>IF($B22="","",MAX($E22-$F22,0))</f>
      </c>
      <c r="H22" s="19">
        <f>IF($B22="","",IF($G22&lt;=0,"Pagado",IF($F22&gt;0,"Abono parcial","Pendiente")))</f>
      </c>
      <c r="I22" s="17">
        <f>IF(OR($B22="",$G22&lt;=0),"",TODAY()-$A22)</f>
      </c>
      <c r="J22" s="19">
        <f>IF($B22="","",IF($G22&lt;=0,"✅ Pagado",IF($I22&gt;30,"🔴 Cóbrale ya ("&amp;$I22&amp;" días)",IF($I22&gt;15,"🟠 Lleva "&amp;$I22&amp;" días","🟢 Reciente ("&amp;$I22&amp;" días)"))))</f>
      </c>
      <c r="K22" s="20"/>
    </row>
    <row r="23">
      <c r="A23" s="23"/>
      <c r="B23" s="20"/>
      <c r="C23" s="20"/>
      <c r="D23" s="20"/>
      <c r="E23" s="22"/>
      <c r="F23" s="16">
        <f>IF($B23="","",SUMIF('Abonos Préstamos'!$B:$B,$B23,'Abonos Préstamos'!$C:$C))</f>
      </c>
      <c r="G23" s="16">
        <f>IF($B23="","",MAX($E23-$F23,0))</f>
      </c>
      <c r="H23" s="19">
        <f>IF($B23="","",IF($G23&lt;=0,"Pagado",IF($F23&gt;0,"Abono parcial","Pendiente")))</f>
      </c>
      <c r="I23" s="17">
        <f>IF(OR($B23="",$G23&lt;=0),"",TODAY()-$A23)</f>
      </c>
      <c r="J23" s="19">
        <f>IF($B23="","",IF($G23&lt;=0,"✅ Pagado",IF($I23&gt;30,"🔴 Cóbrale ya ("&amp;$I23&amp;" días)",IF($I23&gt;15,"🟠 Lleva "&amp;$I23&amp;" días","🟢 Reciente ("&amp;$I23&amp;" días)"))))</f>
      </c>
      <c r="K23" s="20"/>
    </row>
    <row r="24">
      <c r="A24" s="23"/>
      <c r="B24" s="20"/>
      <c r="C24" s="20"/>
      <c r="D24" s="20"/>
      <c r="E24" s="22"/>
      <c r="F24" s="16">
        <f>IF($B24="","",SUMIF('Abonos Préstamos'!$B:$B,$B24,'Abonos Préstamos'!$C:$C))</f>
      </c>
      <c r="G24" s="16">
        <f>IF($B24="","",MAX($E24-$F24,0))</f>
      </c>
      <c r="H24" s="19">
        <f>IF($B24="","",IF($G24&lt;=0,"Pagado",IF($F24&gt;0,"Abono parcial","Pendiente")))</f>
      </c>
      <c r="I24" s="17">
        <f>IF(OR($B24="",$G24&lt;=0),"",TODAY()-$A24)</f>
      </c>
      <c r="J24" s="19">
        <f>IF($B24="","",IF($G24&lt;=0,"✅ Pagado",IF($I24&gt;30,"🔴 Cóbrale ya ("&amp;$I24&amp;" días)",IF($I24&gt;15,"🟠 Lleva "&amp;$I24&amp;" días","🟢 Reciente ("&amp;$I24&amp;" días)"))))</f>
      </c>
      <c r="K24" s="20"/>
    </row>
    <row r="25">
      <c r="A25" s="23"/>
      <c r="B25" s="20"/>
      <c r="C25" s="20"/>
      <c r="D25" s="20"/>
      <c r="E25" s="22"/>
      <c r="F25" s="16">
        <f>IF($B25="","",SUMIF('Abonos Préstamos'!$B:$B,$B25,'Abonos Préstamos'!$C:$C))</f>
      </c>
      <c r="G25" s="16">
        <f>IF($B25="","",MAX($E25-$F25,0))</f>
      </c>
      <c r="H25" s="19">
        <f>IF($B25="","",IF($G25&lt;=0,"Pagado",IF($F25&gt;0,"Abono parcial","Pendiente")))</f>
      </c>
      <c r="I25" s="17">
        <f>IF(OR($B25="",$G25&lt;=0),"",TODAY()-$A25)</f>
      </c>
      <c r="J25" s="19">
        <f>IF($B25="","",IF($G25&lt;=0,"✅ Pagado",IF($I25&gt;30,"🔴 Cóbrale ya ("&amp;$I25&amp;" días)",IF($I25&gt;15,"🟠 Lleva "&amp;$I25&amp;" días","🟢 Reciente ("&amp;$I25&amp;" días)"))))</f>
      </c>
      <c r="K25" s="20"/>
    </row>
    <row r="26">
      <c r="A26" s="23"/>
      <c r="B26" s="20"/>
      <c r="C26" s="20"/>
      <c r="D26" s="20"/>
      <c r="E26" s="22"/>
      <c r="F26" s="16">
        <f>IF($B26="","",SUMIF('Abonos Préstamos'!$B:$B,$B26,'Abonos Préstamos'!$C:$C))</f>
      </c>
      <c r="G26" s="16">
        <f>IF($B26="","",MAX($E26-$F26,0))</f>
      </c>
      <c r="H26" s="19">
        <f>IF($B26="","",IF($G26&lt;=0,"Pagado",IF($F26&gt;0,"Abono parcial","Pendiente")))</f>
      </c>
      <c r="I26" s="17">
        <f>IF(OR($B26="",$G26&lt;=0),"",TODAY()-$A26)</f>
      </c>
      <c r="J26" s="19">
        <f>IF($B26="","",IF($G26&lt;=0,"✅ Pagado",IF($I26&gt;30,"🔴 Cóbrale ya ("&amp;$I26&amp;" días)",IF($I26&gt;15,"🟠 Lleva "&amp;$I26&amp;" días","🟢 Reciente ("&amp;$I26&amp;" días)"))))</f>
      </c>
      <c r="K26" s="20"/>
    </row>
    <row r="27">
      <c r="A27" s="23"/>
      <c r="B27" s="20"/>
      <c r="C27" s="20"/>
      <c r="D27" s="20"/>
      <c r="E27" s="22"/>
      <c r="F27" s="16">
        <f>IF($B27="","",SUMIF('Abonos Préstamos'!$B:$B,$B27,'Abonos Préstamos'!$C:$C))</f>
      </c>
      <c r="G27" s="16">
        <f>IF($B27="","",MAX($E27-$F27,0))</f>
      </c>
      <c r="H27" s="19">
        <f>IF($B27="","",IF($G27&lt;=0,"Pagado",IF($F27&gt;0,"Abono parcial","Pendiente")))</f>
      </c>
      <c r="I27" s="17">
        <f>IF(OR($B27="",$G27&lt;=0),"",TODAY()-$A27)</f>
      </c>
      <c r="J27" s="19">
        <f>IF($B27="","",IF($G27&lt;=0,"✅ Pagado",IF($I27&gt;30,"🔴 Cóbrale ya ("&amp;$I27&amp;" días)",IF($I27&gt;15,"🟠 Lleva "&amp;$I27&amp;" días","🟢 Reciente ("&amp;$I27&amp;" días)"))))</f>
      </c>
      <c r="K27" s="20"/>
    </row>
    <row r="28">
      <c r="A28" s="23"/>
      <c r="B28" s="20"/>
      <c r="C28" s="20"/>
      <c r="D28" s="20"/>
      <c r="E28" s="22"/>
      <c r="F28" s="16">
        <f>IF($B28="","",SUMIF('Abonos Préstamos'!$B:$B,$B28,'Abonos Préstamos'!$C:$C))</f>
      </c>
      <c r="G28" s="16">
        <f>IF($B28="","",MAX($E28-$F28,0))</f>
      </c>
      <c r="H28" s="19">
        <f>IF($B28="","",IF($G28&lt;=0,"Pagado",IF($F28&gt;0,"Abono parcial","Pendiente")))</f>
      </c>
      <c r="I28" s="17">
        <f>IF(OR($B28="",$G28&lt;=0),"",TODAY()-$A28)</f>
      </c>
      <c r="J28" s="19">
        <f>IF($B28="","",IF($G28&lt;=0,"✅ Pagado",IF($I28&gt;30,"🔴 Cóbrale ya ("&amp;$I28&amp;" días)",IF($I28&gt;15,"🟠 Lleva "&amp;$I28&amp;" días","🟢 Reciente ("&amp;$I28&amp;" días)"))))</f>
      </c>
      <c r="K28" s="20"/>
    </row>
    <row r="29">
      <c r="A29" s="23"/>
      <c r="B29" s="20"/>
      <c r="C29" s="20"/>
      <c r="D29" s="20"/>
      <c r="E29" s="22"/>
      <c r="F29" s="16">
        <f>IF($B29="","",SUMIF('Abonos Préstamos'!$B:$B,$B29,'Abonos Préstamos'!$C:$C))</f>
      </c>
      <c r="G29" s="16">
        <f>IF($B29="","",MAX($E29-$F29,0))</f>
      </c>
      <c r="H29" s="19">
        <f>IF($B29="","",IF($G29&lt;=0,"Pagado",IF($F29&gt;0,"Abono parcial","Pendiente")))</f>
      </c>
      <c r="I29" s="17">
        <f>IF(OR($B29="",$G29&lt;=0),"",TODAY()-$A29)</f>
      </c>
      <c r="J29" s="19">
        <f>IF($B29="","",IF($G29&lt;=0,"✅ Pagado",IF($I29&gt;30,"🔴 Cóbrale ya ("&amp;$I29&amp;" días)",IF($I29&gt;15,"🟠 Lleva "&amp;$I29&amp;" días","🟢 Reciente ("&amp;$I29&amp;" días)"))))</f>
      </c>
      <c r="K29" s="20"/>
    </row>
    <row r="30">
      <c r="A30" s="23"/>
      <c r="B30" s="20"/>
      <c r="C30" s="20"/>
      <c r="D30" s="20"/>
      <c r="E30" s="22"/>
      <c r="F30" s="16">
        <f>IF($B30="","",SUMIF('Abonos Préstamos'!$B:$B,$B30,'Abonos Préstamos'!$C:$C))</f>
      </c>
      <c r="G30" s="16">
        <f>IF($B30="","",MAX($E30-$F30,0))</f>
      </c>
      <c r="H30" s="19">
        <f>IF($B30="","",IF($G30&lt;=0,"Pagado",IF($F30&gt;0,"Abono parcial","Pendiente")))</f>
      </c>
      <c r="I30" s="17">
        <f>IF(OR($B30="",$G30&lt;=0),"",TODAY()-$A30)</f>
      </c>
      <c r="J30" s="19">
        <f>IF($B30="","",IF($G30&lt;=0,"✅ Pagado",IF($I30&gt;30,"🔴 Cóbrale ya ("&amp;$I30&amp;" días)",IF($I30&gt;15,"🟠 Lleva "&amp;$I30&amp;" días","🟢 Reciente ("&amp;$I30&amp;" días)"))))</f>
      </c>
      <c r="K30" s="20"/>
    </row>
    <row r="31">
      <c r="A31" s="23"/>
      <c r="B31" s="20"/>
      <c r="C31" s="20"/>
      <c r="D31" s="20"/>
      <c r="E31" s="22"/>
      <c r="F31" s="16">
        <f>IF($B31="","",SUMIF('Abonos Préstamos'!$B:$B,$B31,'Abonos Préstamos'!$C:$C))</f>
      </c>
      <c r="G31" s="16">
        <f>IF($B31="","",MAX($E31-$F31,0))</f>
      </c>
      <c r="H31" s="19">
        <f>IF($B31="","",IF($G31&lt;=0,"Pagado",IF($F31&gt;0,"Abono parcial","Pendiente")))</f>
      </c>
      <c r="I31" s="17">
        <f>IF(OR($B31="",$G31&lt;=0),"",TODAY()-$A31)</f>
      </c>
      <c r="J31" s="19">
        <f>IF($B31="","",IF($G31&lt;=0,"✅ Pagado",IF($I31&gt;30,"🔴 Cóbrale ya ("&amp;$I31&amp;" días)",IF($I31&gt;15,"🟠 Lleva "&amp;$I31&amp;" días","🟢 Reciente ("&amp;$I31&amp;" días)"))))</f>
      </c>
      <c r="K31" s="20"/>
    </row>
    <row r="32">
      <c r="A32" s="23"/>
      <c r="B32" s="20"/>
      <c r="C32" s="20"/>
      <c r="D32" s="20"/>
      <c r="E32" s="22"/>
      <c r="F32" s="16">
        <f>IF($B32="","",SUMIF('Abonos Préstamos'!$B:$B,$B32,'Abonos Préstamos'!$C:$C))</f>
      </c>
      <c r="G32" s="16">
        <f>IF($B32="","",MAX($E32-$F32,0))</f>
      </c>
      <c r="H32" s="19">
        <f>IF($B32="","",IF($G32&lt;=0,"Pagado",IF($F32&gt;0,"Abono parcial","Pendiente")))</f>
      </c>
      <c r="I32" s="17">
        <f>IF(OR($B32="",$G32&lt;=0),"",TODAY()-$A32)</f>
      </c>
      <c r="J32" s="19">
        <f>IF($B32="","",IF($G32&lt;=0,"✅ Pagado",IF($I32&gt;30,"🔴 Cóbrale ya ("&amp;$I32&amp;" días)",IF($I32&gt;15,"🟠 Lleva "&amp;$I32&amp;" días","🟢 Reciente ("&amp;$I32&amp;" días)"))))</f>
      </c>
      <c r="K32" s="20"/>
    </row>
    <row r="33">
      <c r="A33" s="23"/>
      <c r="B33" s="20"/>
      <c r="C33" s="20"/>
      <c r="D33" s="20"/>
      <c r="E33" s="22"/>
      <c r="F33" s="16">
        <f>IF($B33="","",SUMIF('Abonos Préstamos'!$B:$B,$B33,'Abonos Préstamos'!$C:$C))</f>
      </c>
      <c r="G33" s="16">
        <f>IF($B33="","",MAX($E33-$F33,0))</f>
      </c>
      <c r="H33" s="19">
        <f>IF($B33="","",IF($G33&lt;=0,"Pagado",IF($F33&gt;0,"Abono parcial","Pendiente")))</f>
      </c>
      <c r="I33" s="17">
        <f>IF(OR($B33="",$G33&lt;=0),"",TODAY()-$A33)</f>
      </c>
      <c r="J33" s="19">
        <f>IF($B33="","",IF($G33&lt;=0,"✅ Pagado",IF($I33&gt;30,"🔴 Cóbrale ya ("&amp;$I33&amp;" días)",IF($I33&gt;15,"🟠 Lleva "&amp;$I33&amp;" días","🟢 Reciente ("&amp;$I33&amp;" días)"))))</f>
      </c>
      <c r="K33" s="20"/>
    </row>
    <row r="34">
      <c r="A34" s="23"/>
      <c r="B34" s="20"/>
      <c r="C34" s="20"/>
      <c r="D34" s="20"/>
      <c r="E34" s="22"/>
      <c r="F34" s="16">
        <f>IF($B34="","",SUMIF('Abonos Préstamos'!$B:$B,$B34,'Abonos Préstamos'!$C:$C))</f>
      </c>
      <c r="G34" s="16">
        <f>IF($B34="","",MAX($E34-$F34,0))</f>
      </c>
      <c r="H34" s="19">
        <f>IF($B34="","",IF($G34&lt;=0,"Pagado",IF($F34&gt;0,"Abono parcial","Pendiente")))</f>
      </c>
      <c r="I34" s="17">
        <f>IF(OR($B34="",$G34&lt;=0),"",TODAY()-$A34)</f>
      </c>
      <c r="J34" s="19">
        <f>IF($B34="","",IF($G34&lt;=0,"✅ Pagado",IF($I34&gt;30,"🔴 Cóbrale ya ("&amp;$I34&amp;" días)",IF($I34&gt;15,"🟠 Lleva "&amp;$I34&amp;" días","🟢 Reciente ("&amp;$I34&amp;" días)"))))</f>
      </c>
      <c r="K34" s="20"/>
    </row>
    <row r="35">
      <c r="A35" s="23"/>
      <c r="B35" s="20"/>
      <c r="C35" s="20"/>
      <c r="D35" s="20"/>
      <c r="E35" s="22"/>
      <c r="F35" s="16">
        <f>IF($B35="","",SUMIF('Abonos Préstamos'!$B:$B,$B35,'Abonos Préstamos'!$C:$C))</f>
      </c>
      <c r="G35" s="16">
        <f>IF($B35="","",MAX($E35-$F35,0))</f>
      </c>
      <c r="H35" s="19">
        <f>IF($B35="","",IF($G35&lt;=0,"Pagado",IF($F35&gt;0,"Abono parcial","Pendiente")))</f>
      </c>
      <c r="I35" s="17">
        <f>IF(OR($B35="",$G35&lt;=0),"",TODAY()-$A35)</f>
      </c>
      <c r="J35" s="19">
        <f>IF($B35="","",IF($G35&lt;=0,"✅ Pagado",IF($I35&gt;30,"🔴 Cóbrale ya ("&amp;$I35&amp;" días)",IF($I35&gt;15,"🟠 Lleva "&amp;$I35&amp;" días","🟢 Reciente ("&amp;$I35&amp;" días)"))))</f>
      </c>
      <c r="K35" s="20"/>
    </row>
    <row r="36">
      <c r="A36" s="23"/>
      <c r="B36" s="20"/>
      <c r="C36" s="20"/>
      <c r="D36" s="20"/>
      <c r="E36" s="22"/>
      <c r="F36" s="16">
        <f>IF($B36="","",SUMIF('Abonos Préstamos'!$B:$B,$B36,'Abonos Préstamos'!$C:$C))</f>
      </c>
      <c r="G36" s="16">
        <f>IF($B36="","",MAX($E36-$F36,0))</f>
      </c>
      <c r="H36" s="19">
        <f>IF($B36="","",IF($G36&lt;=0,"Pagado",IF($F36&gt;0,"Abono parcial","Pendiente")))</f>
      </c>
      <c r="I36" s="17">
        <f>IF(OR($B36="",$G36&lt;=0),"",TODAY()-$A36)</f>
      </c>
      <c r="J36" s="19">
        <f>IF($B36="","",IF($G36&lt;=0,"✅ Pagado",IF($I36&gt;30,"🔴 Cóbrale ya ("&amp;$I36&amp;" días)",IF($I36&gt;15,"🟠 Lleva "&amp;$I36&amp;" días","🟢 Reciente ("&amp;$I36&amp;" días)"))))</f>
      </c>
      <c r="K36" s="20"/>
    </row>
    <row r="37">
      <c r="A37" s="23"/>
      <c r="B37" s="20"/>
      <c r="C37" s="20"/>
      <c r="D37" s="20"/>
      <c r="E37" s="22"/>
      <c r="F37" s="16">
        <f>IF($B37="","",SUMIF('Abonos Préstamos'!$B:$B,$B37,'Abonos Préstamos'!$C:$C))</f>
      </c>
      <c r="G37" s="16">
        <f>IF($B37="","",MAX($E37-$F37,0))</f>
      </c>
      <c r="H37" s="19">
        <f>IF($B37="","",IF($G37&lt;=0,"Pagado",IF($F37&gt;0,"Abono parcial","Pendiente")))</f>
      </c>
      <c r="I37" s="17">
        <f>IF(OR($B37="",$G37&lt;=0),"",TODAY()-$A37)</f>
      </c>
      <c r="J37" s="19">
        <f>IF($B37="","",IF($G37&lt;=0,"✅ Pagado",IF($I37&gt;30,"🔴 Cóbrale ya ("&amp;$I37&amp;" días)",IF($I37&gt;15,"🟠 Lleva "&amp;$I37&amp;" días","🟢 Reciente ("&amp;$I37&amp;" días)"))))</f>
      </c>
      <c r="K37" s="20"/>
    </row>
    <row r="38">
      <c r="A38" s="23"/>
      <c r="B38" s="20"/>
      <c r="C38" s="20"/>
      <c r="D38" s="20"/>
      <c r="E38" s="22"/>
      <c r="F38" s="16">
        <f>IF($B38="","",SUMIF('Abonos Préstamos'!$B:$B,$B38,'Abonos Préstamos'!$C:$C))</f>
      </c>
      <c r="G38" s="16">
        <f>IF($B38="","",MAX($E38-$F38,0))</f>
      </c>
      <c r="H38" s="19">
        <f>IF($B38="","",IF($G38&lt;=0,"Pagado",IF($F38&gt;0,"Abono parcial","Pendiente")))</f>
      </c>
      <c r="I38" s="17">
        <f>IF(OR($B38="",$G38&lt;=0),"",TODAY()-$A38)</f>
      </c>
      <c r="J38" s="19">
        <f>IF($B38="","",IF($G38&lt;=0,"✅ Pagado",IF($I38&gt;30,"🔴 Cóbrale ya ("&amp;$I38&amp;" días)",IF($I38&gt;15,"🟠 Lleva "&amp;$I38&amp;" días","🟢 Reciente ("&amp;$I38&amp;" días)"))))</f>
      </c>
      <c r="K38" s="20"/>
    </row>
    <row r="39">
      <c r="A39" s="23"/>
      <c r="B39" s="20"/>
      <c r="C39" s="20"/>
      <c r="D39" s="20"/>
      <c r="E39" s="22"/>
      <c r="F39" s="16">
        <f>IF($B39="","",SUMIF('Abonos Préstamos'!$B:$B,$B39,'Abonos Préstamos'!$C:$C))</f>
      </c>
      <c r="G39" s="16">
        <f>IF($B39="","",MAX($E39-$F39,0))</f>
      </c>
      <c r="H39" s="19">
        <f>IF($B39="","",IF($G39&lt;=0,"Pagado",IF($F39&gt;0,"Abono parcial","Pendiente")))</f>
      </c>
      <c r="I39" s="17">
        <f>IF(OR($B39="",$G39&lt;=0),"",TODAY()-$A39)</f>
      </c>
      <c r="J39" s="19">
        <f>IF($B39="","",IF($G39&lt;=0,"✅ Pagado",IF($I39&gt;30,"🔴 Cóbrale ya ("&amp;$I39&amp;" días)",IF($I39&gt;15,"🟠 Lleva "&amp;$I39&amp;" días","🟢 Reciente ("&amp;$I39&amp;" días)"))))</f>
      </c>
      <c r="K39" s="20"/>
    </row>
    <row r="40">
      <c r="A40" s="23"/>
      <c r="B40" s="20"/>
      <c r="C40" s="20"/>
      <c r="D40" s="20"/>
      <c r="E40" s="22"/>
      <c r="F40" s="16">
        <f>IF($B40="","",SUMIF('Abonos Préstamos'!$B:$B,$B40,'Abonos Préstamos'!$C:$C))</f>
      </c>
      <c r="G40" s="16">
        <f>IF($B40="","",MAX($E40-$F40,0))</f>
      </c>
      <c r="H40" s="19">
        <f>IF($B40="","",IF($G40&lt;=0,"Pagado",IF($F40&gt;0,"Abono parcial","Pendiente")))</f>
      </c>
      <c r="I40" s="17">
        <f>IF(OR($B40="",$G40&lt;=0),"",TODAY()-$A40)</f>
      </c>
      <c r="J40" s="19">
        <f>IF($B40="","",IF($G40&lt;=0,"✅ Pagado",IF($I40&gt;30,"🔴 Cóbrale ya ("&amp;$I40&amp;" días)",IF($I40&gt;15,"🟠 Lleva "&amp;$I40&amp;" días","🟢 Reciente ("&amp;$I40&amp;" días)"))))</f>
      </c>
      <c r="K40" s="20"/>
    </row>
    <row r="41">
      <c r="A41" s="23"/>
      <c r="B41" s="20"/>
      <c r="C41" s="20"/>
      <c r="D41" s="20"/>
      <c r="E41" s="22"/>
      <c r="F41" s="16">
        <f>IF($B41="","",SUMIF('Abonos Préstamos'!$B:$B,$B41,'Abonos Préstamos'!$C:$C))</f>
      </c>
      <c r="G41" s="16">
        <f>IF($B41="","",MAX($E41-$F41,0))</f>
      </c>
      <c r="H41" s="19">
        <f>IF($B41="","",IF($G41&lt;=0,"Pagado",IF($F41&gt;0,"Abono parcial","Pendiente")))</f>
      </c>
      <c r="I41" s="17">
        <f>IF(OR($B41="",$G41&lt;=0),"",TODAY()-$A41)</f>
      </c>
      <c r="J41" s="19">
        <f>IF($B41="","",IF($G41&lt;=0,"✅ Pagado",IF($I41&gt;30,"🔴 Cóbrale ya ("&amp;$I41&amp;" días)",IF($I41&gt;15,"🟠 Lleva "&amp;$I41&amp;" días","🟢 Reciente ("&amp;$I41&amp;" días)"))))</f>
      </c>
      <c r="K41" s="20"/>
    </row>
    <row r="42">
      <c r="A42" s="23"/>
      <c r="B42" s="20"/>
      <c r="C42" s="20"/>
      <c r="D42" s="20"/>
      <c r="E42" s="22"/>
      <c r="F42" s="16">
        <f>IF($B42="","",SUMIF('Abonos Préstamos'!$B:$B,$B42,'Abonos Préstamos'!$C:$C))</f>
      </c>
      <c r="G42" s="16">
        <f>IF($B42="","",MAX($E42-$F42,0))</f>
      </c>
      <c r="H42" s="19">
        <f>IF($B42="","",IF($G42&lt;=0,"Pagado",IF($F42&gt;0,"Abono parcial","Pendiente")))</f>
      </c>
      <c r="I42" s="17">
        <f>IF(OR($B42="",$G42&lt;=0),"",TODAY()-$A42)</f>
      </c>
      <c r="J42" s="19">
        <f>IF($B42="","",IF($G42&lt;=0,"✅ Pagado",IF($I42&gt;30,"🔴 Cóbrale ya ("&amp;$I42&amp;" días)",IF($I42&gt;15,"🟠 Lleva "&amp;$I42&amp;" días","🟢 Reciente ("&amp;$I42&amp;" días)"))))</f>
      </c>
      <c r="K42" s="20"/>
    </row>
    <row r="43">
      <c r="A43" s="23"/>
      <c r="B43" s="20"/>
      <c r="C43" s="20"/>
      <c r="D43" s="20"/>
      <c r="E43" s="22"/>
      <c r="F43" s="16">
        <f>IF($B43="","",SUMIF('Abonos Préstamos'!$B:$B,$B43,'Abonos Préstamos'!$C:$C))</f>
      </c>
      <c r="G43" s="16">
        <f>IF($B43="","",MAX($E43-$F43,0))</f>
      </c>
      <c r="H43" s="19">
        <f>IF($B43="","",IF($G43&lt;=0,"Pagado",IF($F43&gt;0,"Abono parcial","Pendiente")))</f>
      </c>
      <c r="I43" s="17">
        <f>IF(OR($B43="",$G43&lt;=0),"",TODAY()-$A43)</f>
      </c>
      <c r="J43" s="19">
        <f>IF($B43="","",IF($G43&lt;=0,"✅ Pagado",IF($I43&gt;30,"🔴 Cóbrale ya ("&amp;$I43&amp;" días)",IF($I43&gt;15,"🟠 Lleva "&amp;$I43&amp;" días","🟢 Reciente ("&amp;$I43&amp;" días)"))))</f>
      </c>
      <c r="K43" s="20"/>
    </row>
    <row r="44">
      <c r="A44" s="23"/>
      <c r="B44" s="20"/>
      <c r="C44" s="20"/>
      <c r="D44" s="20"/>
      <c r="E44" s="22"/>
      <c r="F44" s="16">
        <f>IF($B44="","",SUMIF('Abonos Préstamos'!$B:$B,$B44,'Abonos Préstamos'!$C:$C))</f>
      </c>
      <c r="G44" s="16">
        <f>IF($B44="","",MAX($E44-$F44,0))</f>
      </c>
      <c r="H44" s="19">
        <f>IF($B44="","",IF($G44&lt;=0,"Pagado",IF($F44&gt;0,"Abono parcial","Pendiente")))</f>
      </c>
      <c r="I44" s="17">
        <f>IF(OR($B44="",$G44&lt;=0),"",TODAY()-$A44)</f>
      </c>
      <c r="J44" s="19">
        <f>IF($B44="","",IF($G44&lt;=0,"✅ Pagado",IF($I44&gt;30,"🔴 Cóbrale ya ("&amp;$I44&amp;" días)",IF($I44&gt;15,"🟠 Lleva "&amp;$I44&amp;" días","🟢 Reciente ("&amp;$I44&amp;" días)"))))</f>
      </c>
      <c r="K44" s="20"/>
    </row>
    <row r="45">
      <c r="A45" s="23"/>
      <c r="B45" s="20"/>
      <c r="C45" s="20"/>
      <c r="D45" s="20"/>
      <c r="E45" s="22"/>
      <c r="F45" s="16">
        <f>IF($B45="","",SUMIF('Abonos Préstamos'!$B:$B,$B45,'Abonos Préstamos'!$C:$C))</f>
      </c>
      <c r="G45" s="16">
        <f>IF($B45="","",MAX($E45-$F45,0))</f>
      </c>
      <c r="H45" s="19">
        <f>IF($B45="","",IF($G45&lt;=0,"Pagado",IF($F45&gt;0,"Abono parcial","Pendiente")))</f>
      </c>
      <c r="I45" s="17">
        <f>IF(OR($B45="",$G45&lt;=0),"",TODAY()-$A45)</f>
      </c>
      <c r="J45" s="19">
        <f>IF($B45="","",IF($G45&lt;=0,"✅ Pagado",IF($I45&gt;30,"🔴 Cóbrale ya ("&amp;$I45&amp;" días)",IF($I45&gt;15,"🟠 Lleva "&amp;$I45&amp;" días","🟢 Reciente ("&amp;$I45&amp;" días)"))))</f>
      </c>
      <c r="K45" s="20"/>
    </row>
    <row r="46">
      <c r="A46" s="23"/>
      <c r="B46" s="20"/>
      <c r="C46" s="20"/>
      <c r="D46" s="20"/>
      <c r="E46" s="22"/>
      <c r="F46" s="16">
        <f>IF($B46="","",SUMIF('Abonos Préstamos'!$B:$B,$B46,'Abonos Préstamos'!$C:$C))</f>
      </c>
      <c r="G46" s="16">
        <f>IF($B46="","",MAX($E46-$F46,0))</f>
      </c>
      <c r="H46" s="19">
        <f>IF($B46="","",IF($G46&lt;=0,"Pagado",IF($F46&gt;0,"Abono parcial","Pendiente")))</f>
      </c>
      <c r="I46" s="17">
        <f>IF(OR($B46="",$G46&lt;=0),"",TODAY()-$A46)</f>
      </c>
      <c r="J46" s="19">
        <f>IF($B46="","",IF($G46&lt;=0,"✅ Pagado",IF($I46&gt;30,"🔴 Cóbrale ya ("&amp;$I46&amp;" días)",IF($I46&gt;15,"🟠 Lleva "&amp;$I46&amp;" días","🟢 Reciente ("&amp;$I46&amp;" días)"))))</f>
      </c>
      <c r="K46" s="20"/>
    </row>
    <row r="47">
      <c r="A47" s="23"/>
      <c r="B47" s="20"/>
      <c r="C47" s="20"/>
      <c r="D47" s="20"/>
      <c r="E47" s="22"/>
      <c r="F47" s="16">
        <f>IF($B47="","",SUMIF('Abonos Préstamos'!$B:$B,$B47,'Abonos Préstamos'!$C:$C))</f>
      </c>
      <c r="G47" s="16">
        <f>IF($B47="","",MAX($E47-$F47,0))</f>
      </c>
      <c r="H47" s="19">
        <f>IF($B47="","",IF($G47&lt;=0,"Pagado",IF($F47&gt;0,"Abono parcial","Pendiente")))</f>
      </c>
      <c r="I47" s="17">
        <f>IF(OR($B47="",$G47&lt;=0),"",TODAY()-$A47)</f>
      </c>
      <c r="J47" s="19">
        <f>IF($B47="","",IF($G47&lt;=0,"✅ Pagado",IF($I47&gt;30,"🔴 Cóbrale ya ("&amp;$I47&amp;" días)",IF($I47&gt;15,"🟠 Lleva "&amp;$I47&amp;" días","🟢 Reciente ("&amp;$I47&amp;" días)"))))</f>
      </c>
      <c r="K47" s="20"/>
    </row>
    <row r="48">
      <c r="A48" s="23"/>
      <c r="B48" s="20"/>
      <c r="C48" s="20"/>
      <c r="D48" s="20"/>
      <c r="E48" s="22"/>
      <c r="F48" s="16">
        <f>IF($B48="","",SUMIF('Abonos Préstamos'!$B:$B,$B48,'Abonos Préstamos'!$C:$C))</f>
      </c>
      <c r="G48" s="16">
        <f>IF($B48="","",MAX($E48-$F48,0))</f>
      </c>
      <c r="H48" s="19">
        <f>IF($B48="","",IF($G48&lt;=0,"Pagado",IF($F48&gt;0,"Abono parcial","Pendiente")))</f>
      </c>
      <c r="I48" s="17">
        <f>IF(OR($B48="",$G48&lt;=0),"",TODAY()-$A48)</f>
      </c>
      <c r="J48" s="19">
        <f>IF($B48="","",IF($G48&lt;=0,"✅ Pagado",IF($I48&gt;30,"🔴 Cóbrale ya ("&amp;$I48&amp;" días)",IF($I48&gt;15,"🟠 Lleva "&amp;$I48&amp;" días","🟢 Reciente ("&amp;$I48&amp;" días)"))))</f>
      </c>
      <c r="K48" s="20"/>
    </row>
    <row r="49">
      <c r="A49" s="23"/>
      <c r="B49" s="20"/>
      <c r="C49" s="20"/>
      <c r="D49" s="20"/>
      <c r="E49" s="22"/>
      <c r="F49" s="16">
        <f>IF($B49="","",SUMIF('Abonos Préstamos'!$B:$B,$B49,'Abonos Préstamos'!$C:$C))</f>
      </c>
      <c r="G49" s="16">
        <f>IF($B49="","",MAX($E49-$F49,0))</f>
      </c>
      <c r="H49" s="19">
        <f>IF($B49="","",IF($G49&lt;=0,"Pagado",IF($F49&gt;0,"Abono parcial","Pendiente")))</f>
      </c>
      <c r="I49" s="17">
        <f>IF(OR($B49="",$G49&lt;=0),"",TODAY()-$A49)</f>
      </c>
      <c r="J49" s="19">
        <f>IF($B49="","",IF($G49&lt;=0,"✅ Pagado",IF($I49&gt;30,"🔴 Cóbrale ya ("&amp;$I49&amp;" días)",IF($I49&gt;15,"🟠 Lleva "&amp;$I49&amp;" días","🟢 Reciente ("&amp;$I49&amp;" días)"))))</f>
      </c>
      <c r="K49" s="20"/>
    </row>
    <row r="50">
      <c r="A50" s="23"/>
      <c r="B50" s="20"/>
      <c r="C50" s="20"/>
      <c r="D50" s="20"/>
      <c r="E50" s="22"/>
      <c r="F50" s="16">
        <f>IF($B50="","",SUMIF('Abonos Préstamos'!$B:$B,$B50,'Abonos Préstamos'!$C:$C))</f>
      </c>
      <c r="G50" s="16">
        <f>IF($B50="","",MAX($E50-$F50,0))</f>
      </c>
      <c r="H50" s="19">
        <f>IF($B50="","",IF($G50&lt;=0,"Pagado",IF($F50&gt;0,"Abono parcial","Pendiente")))</f>
      </c>
      <c r="I50" s="17">
        <f>IF(OR($B50="",$G50&lt;=0),"",TODAY()-$A50)</f>
      </c>
      <c r="J50" s="19">
        <f>IF($B50="","",IF($G50&lt;=0,"✅ Pagado",IF($I50&gt;30,"🔴 Cóbrale ya ("&amp;$I50&amp;" días)",IF($I50&gt;15,"🟠 Lleva "&amp;$I50&amp;" días","🟢 Reciente ("&amp;$I50&amp;" días)"))))</f>
      </c>
      <c r="K50" s="20"/>
    </row>
    <row r="51">
      <c r="A51" s="23"/>
      <c r="B51" s="20"/>
      <c r="C51" s="20"/>
      <c r="D51" s="20"/>
      <c r="E51" s="22"/>
      <c r="F51" s="16">
        <f>IF($B51="","",SUMIF('Abonos Préstamos'!$B:$B,$B51,'Abonos Préstamos'!$C:$C))</f>
      </c>
      <c r="G51" s="16">
        <f>IF($B51="","",MAX($E51-$F51,0))</f>
      </c>
      <c r="H51" s="19">
        <f>IF($B51="","",IF($G51&lt;=0,"Pagado",IF($F51&gt;0,"Abono parcial","Pendiente")))</f>
      </c>
      <c r="I51" s="17">
        <f>IF(OR($B51="",$G51&lt;=0),"",TODAY()-$A51)</f>
      </c>
      <c r="J51" s="19">
        <f>IF($B51="","",IF($G51&lt;=0,"✅ Pagado",IF($I51&gt;30,"🔴 Cóbrale ya ("&amp;$I51&amp;" días)",IF($I51&gt;15,"🟠 Lleva "&amp;$I51&amp;" días","🟢 Reciente ("&amp;$I51&amp;" días)"))))</f>
      </c>
      <c r="K51" s="20"/>
    </row>
    <row r="52">
      <c r="A52" s="23"/>
      <c r="B52" s="20"/>
      <c r="C52" s="20"/>
      <c r="D52" s="20"/>
      <c r="E52" s="22"/>
      <c r="F52" s="16">
        <f>IF($B52="","",SUMIF('Abonos Préstamos'!$B:$B,$B52,'Abonos Préstamos'!$C:$C))</f>
      </c>
      <c r="G52" s="16">
        <f>IF($B52="","",MAX($E52-$F52,0))</f>
      </c>
      <c r="H52" s="19">
        <f>IF($B52="","",IF($G52&lt;=0,"Pagado",IF($F52&gt;0,"Abono parcial","Pendiente")))</f>
      </c>
      <c r="I52" s="17">
        <f>IF(OR($B52="",$G52&lt;=0),"",TODAY()-$A52)</f>
      </c>
      <c r="J52" s="19">
        <f>IF($B52="","",IF($G52&lt;=0,"✅ Pagado",IF($I52&gt;30,"🔴 Cóbrale ya ("&amp;$I52&amp;" días)",IF($I52&gt;15,"🟠 Lleva "&amp;$I52&amp;" días","🟢 Reciente ("&amp;$I52&amp;" días)"))))</f>
      </c>
      <c r="K52" s="20"/>
    </row>
    <row r="53">
      <c r="A53" s="23"/>
      <c r="B53" s="20"/>
      <c r="C53" s="20"/>
      <c r="D53" s="20"/>
      <c r="E53" s="22"/>
      <c r="F53" s="16">
        <f>IF($B53="","",SUMIF('Abonos Préstamos'!$B:$B,$B53,'Abonos Préstamos'!$C:$C))</f>
      </c>
      <c r="G53" s="16">
        <f>IF($B53="","",MAX($E53-$F53,0))</f>
      </c>
      <c r="H53" s="19">
        <f>IF($B53="","",IF($G53&lt;=0,"Pagado",IF($F53&gt;0,"Abono parcial","Pendiente")))</f>
      </c>
      <c r="I53" s="17">
        <f>IF(OR($B53="",$G53&lt;=0),"",TODAY()-$A53)</f>
      </c>
      <c r="J53" s="19">
        <f>IF($B53="","",IF($G53&lt;=0,"✅ Pagado",IF($I53&gt;30,"🔴 Cóbrale ya ("&amp;$I53&amp;" días)",IF($I53&gt;15,"🟠 Lleva "&amp;$I53&amp;" días","🟢 Reciente ("&amp;$I53&amp;" días)"))))</f>
      </c>
      <c r="K53" s="20"/>
    </row>
    <row r="54">
      <c r="A54" s="23"/>
      <c r="B54" s="20"/>
      <c r="C54" s="20"/>
      <c r="D54" s="20"/>
      <c r="E54" s="22"/>
      <c r="F54" s="16">
        <f>IF($B54="","",SUMIF('Abonos Préstamos'!$B:$B,$B54,'Abonos Préstamos'!$C:$C))</f>
      </c>
      <c r="G54" s="16">
        <f>IF($B54="","",MAX($E54-$F54,0))</f>
      </c>
      <c r="H54" s="19">
        <f>IF($B54="","",IF($G54&lt;=0,"Pagado",IF($F54&gt;0,"Abono parcial","Pendiente")))</f>
      </c>
      <c r="I54" s="17">
        <f>IF(OR($B54="",$G54&lt;=0),"",TODAY()-$A54)</f>
      </c>
      <c r="J54" s="19">
        <f>IF($B54="","",IF($G54&lt;=0,"✅ Pagado",IF($I54&gt;30,"🔴 Cóbrale ya ("&amp;$I54&amp;" días)",IF($I54&gt;15,"🟠 Lleva "&amp;$I54&amp;" días","🟢 Reciente ("&amp;$I54&amp;" días)"))))</f>
      </c>
      <c r="K54" s="20"/>
    </row>
    <row r="55">
      <c r="A55" s="23"/>
      <c r="B55" s="20"/>
      <c r="C55" s="20"/>
      <c r="D55" s="20"/>
      <c r="E55" s="22"/>
      <c r="F55" s="16">
        <f>IF($B55="","",SUMIF('Abonos Préstamos'!$B:$B,$B55,'Abonos Préstamos'!$C:$C))</f>
      </c>
      <c r="G55" s="16">
        <f>IF($B55="","",MAX($E55-$F55,0))</f>
      </c>
      <c r="H55" s="19">
        <f>IF($B55="","",IF($G55&lt;=0,"Pagado",IF($F55&gt;0,"Abono parcial","Pendiente")))</f>
      </c>
      <c r="I55" s="17">
        <f>IF(OR($B55="",$G55&lt;=0),"",TODAY()-$A55)</f>
      </c>
      <c r="J55" s="19">
        <f>IF($B55="","",IF($G55&lt;=0,"✅ Pagado",IF($I55&gt;30,"🔴 Cóbrale ya ("&amp;$I55&amp;" días)",IF($I55&gt;15,"🟠 Lleva "&amp;$I55&amp;" días","🟢 Reciente ("&amp;$I55&amp;" días)"))))</f>
      </c>
      <c r="K55" s="20"/>
    </row>
    <row r="56">
      <c r="A56" s="23"/>
      <c r="B56" s="20"/>
      <c r="C56" s="20"/>
      <c r="D56" s="20"/>
      <c r="E56" s="22"/>
      <c r="F56" s="16">
        <f>IF($B56="","",SUMIF('Abonos Préstamos'!$B:$B,$B56,'Abonos Préstamos'!$C:$C))</f>
      </c>
      <c r="G56" s="16">
        <f>IF($B56="","",MAX($E56-$F56,0))</f>
      </c>
      <c r="H56" s="19">
        <f>IF($B56="","",IF($G56&lt;=0,"Pagado",IF($F56&gt;0,"Abono parcial","Pendiente")))</f>
      </c>
      <c r="I56" s="17">
        <f>IF(OR($B56="",$G56&lt;=0),"",TODAY()-$A56)</f>
      </c>
      <c r="J56" s="19">
        <f>IF($B56="","",IF($G56&lt;=0,"✅ Pagado",IF($I56&gt;30,"🔴 Cóbrale ya ("&amp;$I56&amp;" días)",IF($I56&gt;15,"🟠 Lleva "&amp;$I56&amp;" días","🟢 Reciente ("&amp;$I56&amp;" días)"))))</f>
      </c>
      <c r="K56" s="20"/>
    </row>
    <row r="57">
      <c r="A57" s="23"/>
      <c r="B57" s="20"/>
      <c r="C57" s="20"/>
      <c r="D57" s="20"/>
      <c r="E57" s="22"/>
      <c r="F57" s="16">
        <f>IF($B57="","",SUMIF('Abonos Préstamos'!$B:$B,$B57,'Abonos Préstamos'!$C:$C))</f>
      </c>
      <c r="G57" s="16">
        <f>IF($B57="","",MAX($E57-$F57,0))</f>
      </c>
      <c r="H57" s="19">
        <f>IF($B57="","",IF($G57&lt;=0,"Pagado",IF($F57&gt;0,"Abono parcial","Pendiente")))</f>
      </c>
      <c r="I57" s="17">
        <f>IF(OR($B57="",$G57&lt;=0),"",TODAY()-$A57)</f>
      </c>
      <c r="J57" s="19">
        <f>IF($B57="","",IF($G57&lt;=0,"✅ Pagado",IF($I57&gt;30,"🔴 Cóbrale ya ("&amp;$I57&amp;" días)",IF($I57&gt;15,"🟠 Lleva "&amp;$I57&amp;" días","🟢 Reciente ("&amp;$I57&amp;" días)"))))</f>
      </c>
      <c r="K57" s="20"/>
    </row>
    <row r="58">
      <c r="A58" s="23"/>
      <c r="B58" s="20"/>
      <c r="C58" s="20"/>
      <c r="D58" s="20"/>
      <c r="E58" s="22"/>
      <c r="F58" s="16">
        <f>IF($B58="","",SUMIF('Abonos Préstamos'!$B:$B,$B58,'Abonos Préstamos'!$C:$C))</f>
      </c>
      <c r="G58" s="16">
        <f>IF($B58="","",MAX($E58-$F58,0))</f>
      </c>
      <c r="H58" s="19">
        <f>IF($B58="","",IF($G58&lt;=0,"Pagado",IF($F58&gt;0,"Abono parcial","Pendiente")))</f>
      </c>
      <c r="I58" s="17">
        <f>IF(OR($B58="",$G58&lt;=0),"",TODAY()-$A58)</f>
      </c>
      <c r="J58" s="19">
        <f>IF($B58="","",IF($G58&lt;=0,"✅ Pagado",IF($I58&gt;30,"🔴 Cóbrale ya ("&amp;$I58&amp;" días)",IF($I58&gt;15,"🟠 Lleva "&amp;$I58&amp;" días","🟢 Reciente ("&amp;$I58&amp;" días)"))))</f>
      </c>
      <c r="K58" s="20"/>
    </row>
    <row r="59">
      <c r="A59" s="23"/>
      <c r="B59" s="20"/>
      <c r="C59" s="20"/>
      <c r="D59" s="20"/>
      <c r="E59" s="22"/>
      <c r="F59" s="16">
        <f>IF($B59="","",SUMIF('Abonos Préstamos'!$B:$B,$B59,'Abonos Préstamos'!$C:$C))</f>
      </c>
      <c r="G59" s="16">
        <f>IF($B59="","",MAX($E59-$F59,0))</f>
      </c>
      <c r="H59" s="19">
        <f>IF($B59="","",IF($G59&lt;=0,"Pagado",IF($F59&gt;0,"Abono parcial","Pendiente")))</f>
      </c>
      <c r="I59" s="17">
        <f>IF(OR($B59="",$G59&lt;=0),"",TODAY()-$A59)</f>
      </c>
      <c r="J59" s="19">
        <f>IF($B59="","",IF($G59&lt;=0,"✅ Pagado",IF($I59&gt;30,"🔴 Cóbrale ya ("&amp;$I59&amp;" días)",IF($I59&gt;15,"🟠 Lleva "&amp;$I59&amp;" días","🟢 Reciente ("&amp;$I59&amp;" días)"))))</f>
      </c>
      <c r="K59" s="20"/>
    </row>
    <row r="60">
      <c r="A60" s="23"/>
      <c r="B60" s="20"/>
      <c r="C60" s="20"/>
      <c r="D60" s="20"/>
      <c r="E60" s="22"/>
      <c r="F60" s="16">
        <f>IF($B60="","",SUMIF('Abonos Préstamos'!$B:$B,$B60,'Abonos Préstamos'!$C:$C))</f>
      </c>
      <c r="G60" s="16">
        <f>IF($B60="","",MAX($E60-$F60,0))</f>
      </c>
      <c r="H60" s="19">
        <f>IF($B60="","",IF($G60&lt;=0,"Pagado",IF($F60&gt;0,"Abono parcial","Pendiente")))</f>
      </c>
      <c r="I60" s="17">
        <f>IF(OR($B60="",$G60&lt;=0),"",TODAY()-$A60)</f>
      </c>
      <c r="J60" s="19">
        <f>IF($B60="","",IF($G60&lt;=0,"✅ Pagado",IF($I60&gt;30,"🔴 Cóbrale ya ("&amp;$I60&amp;" días)",IF($I60&gt;15,"🟠 Lleva "&amp;$I60&amp;" días","🟢 Reciente ("&amp;$I60&amp;" días)"))))</f>
      </c>
      <c r="K60" s="20"/>
    </row>
    <row r="61">
      <c r="A61" s="23"/>
      <c r="B61" s="20"/>
      <c r="C61" s="20"/>
      <c r="D61" s="20"/>
      <c r="E61" s="22"/>
      <c r="F61" s="16">
        <f>IF($B61="","",SUMIF('Abonos Préstamos'!$B:$B,$B61,'Abonos Préstamos'!$C:$C))</f>
      </c>
      <c r="G61" s="16">
        <f>IF($B61="","",MAX($E61-$F61,0))</f>
      </c>
      <c r="H61" s="19">
        <f>IF($B61="","",IF($G61&lt;=0,"Pagado",IF($F61&gt;0,"Abono parcial","Pendiente")))</f>
      </c>
      <c r="I61" s="17">
        <f>IF(OR($B61="",$G61&lt;=0),"",TODAY()-$A61)</f>
      </c>
      <c r="J61" s="19">
        <f>IF($B61="","",IF($G61&lt;=0,"✅ Pagado",IF($I61&gt;30,"🔴 Cóbrale ya ("&amp;$I61&amp;" días)",IF($I61&gt;15,"🟠 Lleva "&amp;$I61&amp;" días","🟢 Reciente ("&amp;$I61&amp;" días)"))))</f>
      </c>
      <c r="K61" s="20"/>
    </row>
    <row r="62">
      <c r="A62" s="23"/>
      <c r="B62" s="20"/>
      <c r="C62" s="20"/>
      <c r="D62" s="20"/>
      <c r="E62" s="22"/>
      <c r="F62" s="16">
        <f>IF($B62="","",SUMIF('Abonos Préstamos'!$B:$B,$B62,'Abonos Préstamos'!$C:$C))</f>
      </c>
      <c r="G62" s="16">
        <f>IF($B62="","",MAX($E62-$F62,0))</f>
      </c>
      <c r="H62" s="19">
        <f>IF($B62="","",IF($G62&lt;=0,"Pagado",IF($F62&gt;0,"Abono parcial","Pendiente")))</f>
      </c>
      <c r="I62" s="17">
        <f>IF(OR($B62="",$G62&lt;=0),"",TODAY()-$A62)</f>
      </c>
      <c r="J62" s="19">
        <f>IF($B62="","",IF($G62&lt;=0,"✅ Pagado",IF($I62&gt;30,"🔴 Cóbrale ya ("&amp;$I62&amp;" días)",IF($I62&gt;15,"🟠 Lleva "&amp;$I62&amp;" días","🟢 Reciente ("&amp;$I62&amp;" días)"))))</f>
      </c>
      <c r="K62" s="20"/>
    </row>
    <row r="63">
      <c r="A63" s="23"/>
      <c r="B63" s="20"/>
      <c r="C63" s="20"/>
      <c r="D63" s="20"/>
      <c r="E63" s="22"/>
      <c r="F63" s="16">
        <f>IF($B63="","",SUMIF('Abonos Préstamos'!$B:$B,$B63,'Abonos Préstamos'!$C:$C))</f>
      </c>
      <c r="G63" s="16">
        <f>IF($B63="","",MAX($E63-$F63,0))</f>
      </c>
      <c r="H63" s="19">
        <f>IF($B63="","",IF($G63&lt;=0,"Pagado",IF($F63&gt;0,"Abono parcial","Pendiente")))</f>
      </c>
      <c r="I63" s="17">
        <f>IF(OR($B63="",$G63&lt;=0),"",TODAY()-$A63)</f>
      </c>
      <c r="J63" s="19">
        <f>IF($B63="","",IF($G63&lt;=0,"✅ Pagado",IF($I63&gt;30,"🔴 Cóbrale ya ("&amp;$I63&amp;" días)",IF($I63&gt;15,"🟠 Lleva "&amp;$I63&amp;" días","🟢 Reciente ("&amp;$I63&amp;" días)"))))</f>
      </c>
      <c r="K63" s="20"/>
    </row>
    <row r="64">
      <c r="A64" s="23"/>
      <c r="B64" s="20"/>
      <c r="C64" s="20"/>
      <c r="D64" s="20"/>
      <c r="E64" s="22"/>
      <c r="F64" s="16">
        <f>IF($B64="","",SUMIF('Abonos Préstamos'!$B:$B,$B64,'Abonos Préstamos'!$C:$C))</f>
      </c>
      <c r="G64" s="16">
        <f>IF($B64="","",MAX($E64-$F64,0))</f>
      </c>
      <c r="H64" s="19">
        <f>IF($B64="","",IF($G64&lt;=0,"Pagado",IF($F64&gt;0,"Abono parcial","Pendiente")))</f>
      </c>
      <c r="I64" s="17">
        <f>IF(OR($B64="",$G64&lt;=0),"",TODAY()-$A64)</f>
      </c>
      <c r="J64" s="19">
        <f>IF($B64="","",IF($G64&lt;=0,"✅ Pagado",IF($I64&gt;30,"🔴 Cóbrale ya ("&amp;$I64&amp;" días)",IF($I64&gt;15,"🟠 Lleva "&amp;$I64&amp;" días","🟢 Reciente ("&amp;$I64&amp;" días)"))))</f>
      </c>
      <c r="K64" s="20"/>
    </row>
    <row r="65">
      <c r="A65" s="23"/>
      <c r="B65" s="20"/>
      <c r="C65" s="20"/>
      <c r="D65" s="20"/>
      <c r="E65" s="22"/>
      <c r="F65" s="16">
        <f>IF($B65="","",SUMIF('Abonos Préstamos'!$B:$B,$B65,'Abonos Préstamos'!$C:$C))</f>
      </c>
      <c r="G65" s="16">
        <f>IF($B65="","",MAX($E65-$F65,0))</f>
      </c>
      <c r="H65" s="19">
        <f>IF($B65="","",IF($G65&lt;=0,"Pagado",IF($F65&gt;0,"Abono parcial","Pendiente")))</f>
      </c>
      <c r="I65" s="17">
        <f>IF(OR($B65="",$G65&lt;=0),"",TODAY()-$A65)</f>
      </c>
      <c r="J65" s="19">
        <f>IF($B65="","",IF($G65&lt;=0,"✅ Pagado",IF($I65&gt;30,"🔴 Cóbrale ya ("&amp;$I65&amp;" días)",IF($I65&gt;15,"🟠 Lleva "&amp;$I65&amp;" días","🟢 Reciente ("&amp;$I65&amp;" días)"))))</f>
      </c>
      <c r="K65" s="20"/>
    </row>
    <row r="66">
      <c r="A66" s="23"/>
      <c r="B66" s="20"/>
      <c r="C66" s="20"/>
      <c r="D66" s="20"/>
      <c r="E66" s="22"/>
      <c r="F66" s="16">
        <f>IF($B66="","",SUMIF('Abonos Préstamos'!$B:$B,$B66,'Abonos Préstamos'!$C:$C))</f>
      </c>
      <c r="G66" s="16">
        <f>IF($B66="","",MAX($E66-$F66,0))</f>
      </c>
      <c r="H66" s="19">
        <f>IF($B66="","",IF($G66&lt;=0,"Pagado",IF($F66&gt;0,"Abono parcial","Pendiente")))</f>
      </c>
      <c r="I66" s="17">
        <f>IF(OR($B66="",$G66&lt;=0),"",TODAY()-$A66)</f>
      </c>
      <c r="J66" s="19">
        <f>IF($B66="","",IF($G66&lt;=0,"✅ Pagado",IF($I66&gt;30,"🔴 Cóbrale ya ("&amp;$I66&amp;" días)",IF($I66&gt;15,"🟠 Lleva "&amp;$I66&amp;" días","🟢 Reciente ("&amp;$I66&amp;" días)"))))</f>
      </c>
      <c r="K66" s="20"/>
    </row>
    <row r="67">
      <c r="A67" s="23"/>
      <c r="B67" s="20"/>
      <c r="C67" s="20"/>
      <c r="D67" s="20"/>
      <c r="E67" s="22"/>
      <c r="F67" s="16">
        <f>IF($B67="","",SUMIF('Abonos Préstamos'!$B:$B,$B67,'Abonos Préstamos'!$C:$C))</f>
      </c>
      <c r="G67" s="16">
        <f>IF($B67="","",MAX($E67-$F67,0))</f>
      </c>
      <c r="H67" s="19">
        <f>IF($B67="","",IF($G67&lt;=0,"Pagado",IF($F67&gt;0,"Abono parcial","Pendiente")))</f>
      </c>
      <c r="I67" s="17">
        <f>IF(OR($B67="",$G67&lt;=0),"",TODAY()-$A67)</f>
      </c>
      <c r="J67" s="19">
        <f>IF($B67="","",IF($G67&lt;=0,"✅ Pagado",IF($I67&gt;30,"🔴 Cóbrale ya ("&amp;$I67&amp;" días)",IF($I67&gt;15,"🟠 Lleva "&amp;$I67&amp;" días","🟢 Reciente ("&amp;$I67&amp;" días)"))))</f>
      </c>
      <c r="K67" s="20"/>
    </row>
    <row r="68">
      <c r="A68" s="23"/>
      <c r="B68" s="20"/>
      <c r="C68" s="20"/>
      <c r="D68" s="20"/>
      <c r="E68" s="22"/>
      <c r="F68" s="16">
        <f>IF($B68="","",SUMIF('Abonos Préstamos'!$B:$B,$B68,'Abonos Préstamos'!$C:$C))</f>
      </c>
      <c r="G68" s="16">
        <f>IF($B68="","",MAX($E68-$F68,0))</f>
      </c>
      <c r="H68" s="19">
        <f>IF($B68="","",IF($G68&lt;=0,"Pagado",IF($F68&gt;0,"Abono parcial","Pendiente")))</f>
      </c>
      <c r="I68" s="17">
        <f>IF(OR($B68="",$G68&lt;=0),"",TODAY()-$A68)</f>
      </c>
      <c r="J68" s="19">
        <f>IF($B68="","",IF($G68&lt;=0,"✅ Pagado",IF($I68&gt;30,"🔴 Cóbrale ya ("&amp;$I68&amp;" días)",IF($I68&gt;15,"🟠 Lleva "&amp;$I68&amp;" días","🟢 Reciente ("&amp;$I68&amp;" días)"))))</f>
      </c>
      <c r="K68" s="20"/>
    </row>
    <row r="69">
      <c r="A69" s="23"/>
      <c r="B69" s="20"/>
      <c r="C69" s="20"/>
      <c r="D69" s="20"/>
      <c r="E69" s="22"/>
      <c r="F69" s="16">
        <f>IF($B69="","",SUMIF('Abonos Préstamos'!$B:$B,$B69,'Abonos Préstamos'!$C:$C))</f>
      </c>
      <c r="G69" s="16">
        <f>IF($B69="","",MAX($E69-$F69,0))</f>
      </c>
      <c r="H69" s="19">
        <f>IF($B69="","",IF($G69&lt;=0,"Pagado",IF($F69&gt;0,"Abono parcial","Pendiente")))</f>
      </c>
      <c r="I69" s="17">
        <f>IF(OR($B69="",$G69&lt;=0),"",TODAY()-$A69)</f>
      </c>
      <c r="J69" s="19">
        <f>IF($B69="","",IF($G69&lt;=0,"✅ Pagado",IF($I69&gt;30,"🔴 Cóbrale ya ("&amp;$I69&amp;" días)",IF($I69&gt;15,"🟠 Lleva "&amp;$I69&amp;" días","🟢 Reciente ("&amp;$I69&amp;" días)"))))</f>
      </c>
      <c r="K69" s="20"/>
    </row>
    <row r="70">
      <c r="A70" s="23"/>
      <c r="B70" s="20"/>
      <c r="C70" s="20"/>
      <c r="D70" s="20"/>
      <c r="E70" s="22"/>
      <c r="F70" s="16">
        <f>IF($B70="","",SUMIF('Abonos Préstamos'!$B:$B,$B70,'Abonos Préstamos'!$C:$C))</f>
      </c>
      <c r="G70" s="16">
        <f>IF($B70="","",MAX($E70-$F70,0))</f>
      </c>
      <c r="H70" s="19">
        <f>IF($B70="","",IF($G70&lt;=0,"Pagado",IF($F70&gt;0,"Abono parcial","Pendiente")))</f>
      </c>
      <c r="I70" s="17">
        <f>IF(OR($B70="",$G70&lt;=0),"",TODAY()-$A70)</f>
      </c>
      <c r="J70" s="19">
        <f>IF($B70="","",IF($G70&lt;=0,"✅ Pagado",IF($I70&gt;30,"🔴 Cóbrale ya ("&amp;$I70&amp;" días)",IF($I70&gt;15,"🟠 Lleva "&amp;$I70&amp;" días","🟢 Reciente ("&amp;$I70&amp;" días)"))))</f>
      </c>
      <c r="K70" s="20"/>
    </row>
    <row r="71">
      <c r="A71" s="23"/>
      <c r="B71" s="20"/>
      <c r="C71" s="20"/>
      <c r="D71" s="20"/>
      <c r="E71" s="22"/>
      <c r="F71" s="16">
        <f>IF($B71="","",SUMIF('Abonos Préstamos'!$B:$B,$B71,'Abonos Préstamos'!$C:$C))</f>
      </c>
      <c r="G71" s="16">
        <f>IF($B71="","",MAX($E71-$F71,0))</f>
      </c>
      <c r="H71" s="19">
        <f>IF($B71="","",IF($G71&lt;=0,"Pagado",IF($F71&gt;0,"Abono parcial","Pendiente")))</f>
      </c>
      <c r="I71" s="17">
        <f>IF(OR($B71="",$G71&lt;=0),"",TODAY()-$A71)</f>
      </c>
      <c r="J71" s="19">
        <f>IF($B71="","",IF($G71&lt;=0,"✅ Pagado",IF($I71&gt;30,"🔴 Cóbrale ya ("&amp;$I71&amp;" días)",IF($I71&gt;15,"🟠 Lleva "&amp;$I71&amp;" días","🟢 Reciente ("&amp;$I71&amp;" días)"))))</f>
      </c>
      <c r="K71" s="20"/>
    </row>
    <row r="72">
      <c r="A72" s="23"/>
      <c r="B72" s="20"/>
      <c r="C72" s="20"/>
      <c r="D72" s="20"/>
      <c r="E72" s="22"/>
      <c r="F72" s="16">
        <f>IF($B72="","",SUMIF('Abonos Préstamos'!$B:$B,$B72,'Abonos Préstamos'!$C:$C))</f>
      </c>
      <c r="G72" s="16">
        <f>IF($B72="","",MAX($E72-$F72,0))</f>
      </c>
      <c r="H72" s="19">
        <f>IF($B72="","",IF($G72&lt;=0,"Pagado",IF($F72&gt;0,"Abono parcial","Pendiente")))</f>
      </c>
      <c r="I72" s="17">
        <f>IF(OR($B72="",$G72&lt;=0),"",TODAY()-$A72)</f>
      </c>
      <c r="J72" s="19">
        <f>IF($B72="","",IF($G72&lt;=0,"✅ Pagado",IF($I72&gt;30,"🔴 Cóbrale ya ("&amp;$I72&amp;" días)",IF($I72&gt;15,"🟠 Lleva "&amp;$I72&amp;" días","🟢 Reciente ("&amp;$I72&amp;" días)"))))</f>
      </c>
      <c r="K72" s="20"/>
    </row>
    <row r="73">
      <c r="A73" s="23"/>
      <c r="B73" s="20"/>
      <c r="C73" s="20"/>
      <c r="D73" s="20"/>
      <c r="E73" s="22"/>
      <c r="F73" s="16">
        <f>IF($B73="","",SUMIF('Abonos Préstamos'!$B:$B,$B73,'Abonos Préstamos'!$C:$C))</f>
      </c>
      <c r="G73" s="16">
        <f>IF($B73="","",MAX($E73-$F73,0))</f>
      </c>
      <c r="H73" s="19">
        <f>IF($B73="","",IF($G73&lt;=0,"Pagado",IF($F73&gt;0,"Abono parcial","Pendiente")))</f>
      </c>
      <c r="I73" s="17">
        <f>IF(OR($B73="",$G73&lt;=0),"",TODAY()-$A73)</f>
      </c>
      <c r="J73" s="19">
        <f>IF($B73="","",IF($G73&lt;=0,"✅ Pagado",IF($I73&gt;30,"🔴 Cóbrale ya ("&amp;$I73&amp;" días)",IF($I73&gt;15,"🟠 Lleva "&amp;$I73&amp;" días","🟢 Reciente ("&amp;$I73&amp;" días)"))))</f>
      </c>
      <c r="K73" s="20"/>
    </row>
    <row r="74">
      <c r="A74" s="23"/>
      <c r="B74" s="20"/>
      <c r="C74" s="20"/>
      <c r="D74" s="20"/>
      <c r="E74" s="22"/>
      <c r="F74" s="16">
        <f>IF($B74="","",SUMIF('Abonos Préstamos'!$B:$B,$B74,'Abonos Préstamos'!$C:$C))</f>
      </c>
      <c r="G74" s="16">
        <f>IF($B74="","",MAX($E74-$F74,0))</f>
      </c>
      <c r="H74" s="19">
        <f>IF($B74="","",IF($G74&lt;=0,"Pagado",IF($F74&gt;0,"Abono parcial","Pendiente")))</f>
      </c>
      <c r="I74" s="17">
        <f>IF(OR($B74="",$G74&lt;=0),"",TODAY()-$A74)</f>
      </c>
      <c r="J74" s="19">
        <f>IF($B74="","",IF($G74&lt;=0,"✅ Pagado",IF($I74&gt;30,"🔴 Cóbrale ya ("&amp;$I74&amp;" días)",IF($I74&gt;15,"🟠 Lleva "&amp;$I74&amp;" días","🟢 Reciente ("&amp;$I74&amp;" días)"))))</f>
      </c>
      <c r="K74" s="20"/>
    </row>
    <row r="75">
      <c r="A75" s="23"/>
      <c r="B75" s="20"/>
      <c r="C75" s="20"/>
      <c r="D75" s="20"/>
      <c r="E75" s="22"/>
      <c r="F75" s="16">
        <f>IF($B75="","",SUMIF('Abonos Préstamos'!$B:$B,$B75,'Abonos Préstamos'!$C:$C))</f>
      </c>
      <c r="G75" s="16">
        <f>IF($B75="","",MAX($E75-$F75,0))</f>
      </c>
      <c r="H75" s="19">
        <f>IF($B75="","",IF($G75&lt;=0,"Pagado",IF($F75&gt;0,"Abono parcial","Pendiente")))</f>
      </c>
      <c r="I75" s="17">
        <f>IF(OR($B75="",$G75&lt;=0),"",TODAY()-$A75)</f>
      </c>
      <c r="J75" s="19">
        <f>IF($B75="","",IF($G75&lt;=0,"✅ Pagado",IF($I75&gt;30,"🔴 Cóbrale ya ("&amp;$I75&amp;" días)",IF($I75&gt;15,"🟠 Lleva "&amp;$I75&amp;" días","🟢 Reciente ("&amp;$I75&amp;" días)"))))</f>
      </c>
      <c r="K75" s="20"/>
    </row>
    <row r="76">
      <c r="A76" s="23"/>
      <c r="B76" s="20"/>
      <c r="C76" s="20"/>
      <c r="D76" s="20"/>
      <c r="E76" s="22"/>
      <c r="F76" s="16">
        <f>IF($B76="","",SUMIF('Abonos Préstamos'!$B:$B,$B76,'Abonos Préstamos'!$C:$C))</f>
      </c>
      <c r="G76" s="16">
        <f>IF($B76="","",MAX($E76-$F76,0))</f>
      </c>
      <c r="H76" s="19">
        <f>IF($B76="","",IF($G76&lt;=0,"Pagado",IF($F76&gt;0,"Abono parcial","Pendiente")))</f>
      </c>
      <c r="I76" s="17">
        <f>IF(OR($B76="",$G76&lt;=0),"",TODAY()-$A76)</f>
      </c>
      <c r="J76" s="19">
        <f>IF($B76="","",IF($G76&lt;=0,"✅ Pagado",IF($I76&gt;30,"🔴 Cóbrale ya ("&amp;$I76&amp;" días)",IF($I76&gt;15,"🟠 Lleva "&amp;$I76&amp;" días","🟢 Reciente ("&amp;$I76&amp;" días)"))))</f>
      </c>
      <c r="K76" s="20"/>
    </row>
    <row r="77">
      <c r="A77" s="23"/>
      <c r="B77" s="20"/>
      <c r="C77" s="20"/>
      <c r="D77" s="20"/>
      <c r="E77" s="22"/>
      <c r="F77" s="16">
        <f>IF($B77="","",SUMIF('Abonos Préstamos'!$B:$B,$B77,'Abonos Préstamos'!$C:$C))</f>
      </c>
      <c r="G77" s="16">
        <f>IF($B77="","",MAX($E77-$F77,0))</f>
      </c>
      <c r="H77" s="19">
        <f>IF($B77="","",IF($G77&lt;=0,"Pagado",IF($F77&gt;0,"Abono parcial","Pendiente")))</f>
      </c>
      <c r="I77" s="17">
        <f>IF(OR($B77="",$G77&lt;=0),"",TODAY()-$A77)</f>
      </c>
      <c r="J77" s="19">
        <f>IF($B77="","",IF($G77&lt;=0,"✅ Pagado",IF($I77&gt;30,"🔴 Cóbrale ya ("&amp;$I77&amp;" días)",IF($I77&gt;15,"🟠 Lleva "&amp;$I77&amp;" días","🟢 Reciente ("&amp;$I77&amp;" días)"))))</f>
      </c>
      <c r="K77" s="20"/>
    </row>
    <row r="78">
      <c r="A78" s="23"/>
      <c r="B78" s="20"/>
      <c r="C78" s="20"/>
      <c r="D78" s="20"/>
      <c r="E78" s="22"/>
      <c r="F78" s="16">
        <f>IF($B78="","",SUMIF('Abonos Préstamos'!$B:$B,$B78,'Abonos Préstamos'!$C:$C))</f>
      </c>
      <c r="G78" s="16">
        <f>IF($B78="","",MAX($E78-$F78,0))</f>
      </c>
      <c r="H78" s="19">
        <f>IF($B78="","",IF($G78&lt;=0,"Pagado",IF($F78&gt;0,"Abono parcial","Pendiente")))</f>
      </c>
      <c r="I78" s="17">
        <f>IF(OR($B78="",$G78&lt;=0),"",TODAY()-$A78)</f>
      </c>
      <c r="J78" s="19">
        <f>IF($B78="","",IF($G78&lt;=0,"✅ Pagado",IF($I78&gt;30,"🔴 Cóbrale ya ("&amp;$I78&amp;" días)",IF($I78&gt;15,"🟠 Lleva "&amp;$I78&amp;" días","🟢 Reciente ("&amp;$I78&amp;" días)"))))</f>
      </c>
      <c r="K78" s="20"/>
    </row>
    <row r="79">
      <c r="A79" s="23"/>
      <c r="B79" s="20"/>
      <c r="C79" s="20"/>
      <c r="D79" s="20"/>
      <c r="E79" s="22"/>
      <c r="F79" s="16">
        <f>IF($B79="","",SUMIF('Abonos Préstamos'!$B:$B,$B79,'Abonos Préstamos'!$C:$C))</f>
      </c>
      <c r="G79" s="16">
        <f>IF($B79="","",MAX($E79-$F79,0))</f>
      </c>
      <c r="H79" s="19">
        <f>IF($B79="","",IF($G79&lt;=0,"Pagado",IF($F79&gt;0,"Abono parcial","Pendiente")))</f>
      </c>
      <c r="I79" s="17">
        <f>IF(OR($B79="",$G79&lt;=0),"",TODAY()-$A79)</f>
      </c>
      <c r="J79" s="19">
        <f>IF($B79="","",IF($G79&lt;=0,"✅ Pagado",IF($I79&gt;30,"🔴 Cóbrale ya ("&amp;$I79&amp;" días)",IF($I79&gt;15,"🟠 Lleva "&amp;$I79&amp;" días","🟢 Reciente ("&amp;$I79&amp;" días)"))))</f>
      </c>
      <c r="K79" s="20"/>
    </row>
    <row r="80">
      <c r="A80" s="23"/>
      <c r="B80" s="20"/>
      <c r="C80" s="20"/>
      <c r="D80" s="20"/>
      <c r="E80" s="22"/>
      <c r="F80" s="16">
        <f>IF($B80="","",SUMIF('Abonos Préstamos'!$B:$B,$B80,'Abonos Préstamos'!$C:$C))</f>
      </c>
      <c r="G80" s="16">
        <f>IF($B80="","",MAX($E80-$F80,0))</f>
      </c>
      <c r="H80" s="19">
        <f>IF($B80="","",IF($G80&lt;=0,"Pagado",IF($F80&gt;0,"Abono parcial","Pendiente")))</f>
      </c>
      <c r="I80" s="17">
        <f>IF(OR($B80="",$G80&lt;=0),"",TODAY()-$A80)</f>
      </c>
      <c r="J80" s="19">
        <f>IF($B80="","",IF($G80&lt;=0,"✅ Pagado",IF($I80&gt;30,"🔴 Cóbrale ya ("&amp;$I80&amp;" días)",IF($I80&gt;15,"🟠 Lleva "&amp;$I80&amp;" días","🟢 Reciente ("&amp;$I80&amp;" días)"))))</f>
      </c>
      <c r="K80" s="20"/>
    </row>
    <row r="81">
      <c r="A81" s="23"/>
      <c r="B81" s="20"/>
      <c r="C81" s="20"/>
      <c r="D81" s="20"/>
      <c r="E81" s="22"/>
      <c r="F81" s="16">
        <f>IF($B81="","",SUMIF('Abonos Préstamos'!$B:$B,$B81,'Abonos Préstamos'!$C:$C))</f>
      </c>
      <c r="G81" s="16">
        <f>IF($B81="","",MAX($E81-$F81,0))</f>
      </c>
      <c r="H81" s="19">
        <f>IF($B81="","",IF($G81&lt;=0,"Pagado",IF($F81&gt;0,"Abono parcial","Pendiente")))</f>
      </c>
      <c r="I81" s="17">
        <f>IF(OR($B81="",$G81&lt;=0),"",TODAY()-$A81)</f>
      </c>
      <c r="J81" s="19">
        <f>IF($B81="","",IF($G81&lt;=0,"✅ Pagado",IF($I81&gt;30,"🔴 Cóbrale ya ("&amp;$I81&amp;" días)",IF($I81&gt;15,"🟠 Lleva "&amp;$I81&amp;" días","🟢 Reciente ("&amp;$I81&amp;" días)"))))</f>
      </c>
      <c r="K81" s="20"/>
    </row>
    <row r="82">
      <c r="A82" s="23"/>
      <c r="B82" s="20"/>
      <c r="C82" s="20"/>
      <c r="D82" s="20"/>
      <c r="E82" s="22"/>
      <c r="F82" s="16">
        <f>IF($B82="","",SUMIF('Abonos Préstamos'!$B:$B,$B82,'Abonos Préstamos'!$C:$C))</f>
      </c>
      <c r="G82" s="16">
        <f>IF($B82="","",MAX($E82-$F82,0))</f>
      </c>
      <c r="H82" s="19">
        <f>IF($B82="","",IF($G82&lt;=0,"Pagado",IF($F82&gt;0,"Abono parcial","Pendiente")))</f>
      </c>
      <c r="I82" s="17">
        <f>IF(OR($B82="",$G82&lt;=0),"",TODAY()-$A82)</f>
      </c>
      <c r="J82" s="19">
        <f>IF($B82="","",IF($G82&lt;=0,"✅ Pagado",IF($I82&gt;30,"🔴 Cóbrale ya ("&amp;$I82&amp;" días)",IF($I82&gt;15,"🟠 Lleva "&amp;$I82&amp;" días","🟢 Reciente ("&amp;$I82&amp;" días)"))))</f>
      </c>
      <c r="K82" s="20"/>
    </row>
    <row r="83">
      <c r="A83" s="23"/>
      <c r="B83" s="20"/>
      <c r="C83" s="20"/>
      <c r="D83" s="20"/>
      <c r="E83" s="22"/>
      <c r="F83" s="16">
        <f>IF($B83="","",SUMIF('Abonos Préstamos'!$B:$B,$B83,'Abonos Préstamos'!$C:$C))</f>
      </c>
      <c r="G83" s="16">
        <f>IF($B83="","",MAX($E83-$F83,0))</f>
      </c>
      <c r="H83" s="19">
        <f>IF($B83="","",IF($G83&lt;=0,"Pagado",IF($F83&gt;0,"Abono parcial","Pendiente")))</f>
      </c>
      <c r="I83" s="17">
        <f>IF(OR($B83="",$G83&lt;=0),"",TODAY()-$A83)</f>
      </c>
      <c r="J83" s="19">
        <f>IF($B83="","",IF($G83&lt;=0,"✅ Pagado",IF($I83&gt;30,"🔴 Cóbrale ya ("&amp;$I83&amp;" días)",IF($I83&gt;15,"🟠 Lleva "&amp;$I83&amp;" días","🟢 Reciente ("&amp;$I83&amp;" días)"))))</f>
      </c>
      <c r="K83" s="20"/>
    </row>
    <row r="84">
      <c r="A84" s="23"/>
      <c r="B84" s="20"/>
      <c r="C84" s="20"/>
      <c r="D84" s="20"/>
      <c r="E84" s="22"/>
      <c r="F84" s="16">
        <f>IF($B84="","",SUMIF('Abonos Préstamos'!$B:$B,$B84,'Abonos Préstamos'!$C:$C))</f>
      </c>
      <c r="G84" s="16">
        <f>IF($B84="","",MAX($E84-$F84,0))</f>
      </c>
      <c r="H84" s="19">
        <f>IF($B84="","",IF($G84&lt;=0,"Pagado",IF($F84&gt;0,"Abono parcial","Pendiente")))</f>
      </c>
      <c r="I84" s="17">
        <f>IF(OR($B84="",$G84&lt;=0),"",TODAY()-$A84)</f>
      </c>
      <c r="J84" s="19">
        <f>IF($B84="","",IF($G84&lt;=0,"✅ Pagado",IF($I84&gt;30,"🔴 Cóbrale ya ("&amp;$I84&amp;" días)",IF($I84&gt;15,"🟠 Lleva "&amp;$I84&amp;" días","🟢 Reciente ("&amp;$I84&amp;" días)"))))</f>
      </c>
      <c r="K84" s="20"/>
    </row>
    <row r="85">
      <c r="A85" s="23"/>
      <c r="B85" s="20"/>
      <c r="C85" s="20"/>
      <c r="D85" s="20"/>
      <c r="E85" s="22"/>
      <c r="F85" s="16">
        <f>IF($B85="","",SUMIF('Abonos Préstamos'!$B:$B,$B85,'Abonos Préstamos'!$C:$C))</f>
      </c>
      <c r="G85" s="16">
        <f>IF($B85="","",MAX($E85-$F85,0))</f>
      </c>
      <c r="H85" s="19">
        <f>IF($B85="","",IF($G85&lt;=0,"Pagado",IF($F85&gt;0,"Abono parcial","Pendiente")))</f>
      </c>
      <c r="I85" s="17">
        <f>IF(OR($B85="",$G85&lt;=0),"",TODAY()-$A85)</f>
      </c>
      <c r="J85" s="19">
        <f>IF($B85="","",IF($G85&lt;=0,"✅ Pagado",IF($I85&gt;30,"🔴 Cóbrale ya ("&amp;$I85&amp;" días)",IF($I85&gt;15,"🟠 Lleva "&amp;$I85&amp;" días","🟢 Reciente ("&amp;$I85&amp;" días)"))))</f>
      </c>
      <c r="K85" s="20"/>
    </row>
    <row r="86">
      <c r="A86" s="23"/>
      <c r="B86" s="20"/>
      <c r="C86" s="20"/>
      <c r="D86" s="20"/>
      <c r="E86" s="22"/>
      <c r="F86" s="16">
        <f>IF($B86="","",SUMIF('Abonos Préstamos'!$B:$B,$B86,'Abonos Préstamos'!$C:$C))</f>
      </c>
      <c r="G86" s="16">
        <f>IF($B86="","",MAX($E86-$F86,0))</f>
      </c>
      <c r="H86" s="19">
        <f>IF($B86="","",IF($G86&lt;=0,"Pagado",IF($F86&gt;0,"Abono parcial","Pendiente")))</f>
      </c>
      <c r="I86" s="17">
        <f>IF(OR($B86="",$G86&lt;=0),"",TODAY()-$A86)</f>
      </c>
      <c r="J86" s="19">
        <f>IF($B86="","",IF($G86&lt;=0,"✅ Pagado",IF($I86&gt;30,"🔴 Cóbrale ya ("&amp;$I86&amp;" días)",IF($I86&gt;15,"🟠 Lleva "&amp;$I86&amp;" días","🟢 Reciente ("&amp;$I86&amp;" días)"))))</f>
      </c>
      <c r="K86" s="20"/>
    </row>
    <row r="87">
      <c r="A87" s="23"/>
      <c r="B87" s="20"/>
      <c r="C87" s="20"/>
      <c r="D87" s="20"/>
      <c r="E87" s="22"/>
      <c r="F87" s="16">
        <f>IF($B87="","",SUMIF('Abonos Préstamos'!$B:$B,$B87,'Abonos Préstamos'!$C:$C))</f>
      </c>
      <c r="G87" s="16">
        <f>IF($B87="","",MAX($E87-$F87,0))</f>
      </c>
      <c r="H87" s="19">
        <f>IF($B87="","",IF($G87&lt;=0,"Pagado",IF($F87&gt;0,"Abono parcial","Pendiente")))</f>
      </c>
      <c r="I87" s="17">
        <f>IF(OR($B87="",$G87&lt;=0),"",TODAY()-$A87)</f>
      </c>
      <c r="J87" s="19">
        <f>IF($B87="","",IF($G87&lt;=0,"✅ Pagado",IF($I87&gt;30,"🔴 Cóbrale ya ("&amp;$I87&amp;" días)",IF($I87&gt;15,"🟠 Lleva "&amp;$I87&amp;" días","🟢 Reciente ("&amp;$I87&amp;" días)"))))</f>
      </c>
      <c r="K87" s="20"/>
    </row>
    <row r="88">
      <c r="A88" s="23"/>
      <c r="B88" s="20"/>
      <c r="C88" s="20"/>
      <c r="D88" s="20"/>
      <c r="E88" s="22"/>
      <c r="F88" s="16">
        <f>IF($B88="","",SUMIF('Abonos Préstamos'!$B:$B,$B88,'Abonos Préstamos'!$C:$C))</f>
      </c>
      <c r="G88" s="16">
        <f>IF($B88="","",MAX($E88-$F88,0))</f>
      </c>
      <c r="H88" s="19">
        <f>IF($B88="","",IF($G88&lt;=0,"Pagado",IF($F88&gt;0,"Abono parcial","Pendiente")))</f>
      </c>
      <c r="I88" s="17">
        <f>IF(OR($B88="",$G88&lt;=0),"",TODAY()-$A88)</f>
      </c>
      <c r="J88" s="19">
        <f>IF($B88="","",IF($G88&lt;=0,"✅ Pagado",IF($I88&gt;30,"🔴 Cóbrale ya ("&amp;$I88&amp;" días)",IF($I88&gt;15,"🟠 Lleva "&amp;$I88&amp;" días","🟢 Reciente ("&amp;$I88&amp;" días)"))))</f>
      </c>
      <c r="K88" s="20"/>
    </row>
    <row r="89">
      <c r="A89" s="23"/>
      <c r="B89" s="20"/>
      <c r="C89" s="20"/>
      <c r="D89" s="20"/>
      <c r="E89" s="22"/>
      <c r="F89" s="16">
        <f>IF($B89="","",SUMIF('Abonos Préstamos'!$B:$B,$B89,'Abonos Préstamos'!$C:$C))</f>
      </c>
      <c r="G89" s="16">
        <f>IF($B89="","",MAX($E89-$F89,0))</f>
      </c>
      <c r="H89" s="19">
        <f>IF($B89="","",IF($G89&lt;=0,"Pagado",IF($F89&gt;0,"Abono parcial","Pendiente")))</f>
      </c>
      <c r="I89" s="17">
        <f>IF(OR($B89="",$G89&lt;=0),"",TODAY()-$A89)</f>
      </c>
      <c r="J89" s="19">
        <f>IF($B89="","",IF($G89&lt;=0,"✅ Pagado",IF($I89&gt;30,"🔴 Cóbrale ya ("&amp;$I89&amp;" días)",IF($I89&gt;15,"🟠 Lleva "&amp;$I89&amp;" días","🟢 Reciente ("&amp;$I89&amp;" días)"))))</f>
      </c>
      <c r="K89" s="20"/>
    </row>
    <row r="90">
      <c r="A90" s="23"/>
      <c r="B90" s="20"/>
      <c r="C90" s="20"/>
      <c r="D90" s="20"/>
      <c r="E90" s="22"/>
      <c r="F90" s="16">
        <f>IF($B90="","",SUMIF('Abonos Préstamos'!$B:$B,$B90,'Abonos Préstamos'!$C:$C))</f>
      </c>
      <c r="G90" s="16">
        <f>IF($B90="","",MAX($E90-$F90,0))</f>
      </c>
      <c r="H90" s="19">
        <f>IF($B90="","",IF($G90&lt;=0,"Pagado",IF($F90&gt;0,"Abono parcial","Pendiente")))</f>
      </c>
      <c r="I90" s="17">
        <f>IF(OR($B90="",$G90&lt;=0),"",TODAY()-$A90)</f>
      </c>
      <c r="J90" s="19">
        <f>IF($B90="","",IF($G90&lt;=0,"✅ Pagado",IF($I90&gt;30,"🔴 Cóbrale ya ("&amp;$I90&amp;" días)",IF($I90&gt;15,"🟠 Lleva "&amp;$I90&amp;" días","🟢 Reciente ("&amp;$I90&amp;" días)"))))</f>
      </c>
      <c r="K90" s="20"/>
    </row>
    <row r="91">
      <c r="A91" s="23"/>
      <c r="B91" s="20"/>
      <c r="C91" s="20"/>
      <c r="D91" s="20"/>
      <c r="E91" s="22"/>
      <c r="F91" s="16">
        <f>IF($B91="","",SUMIF('Abonos Préstamos'!$B:$B,$B91,'Abonos Préstamos'!$C:$C))</f>
      </c>
      <c r="G91" s="16">
        <f>IF($B91="","",MAX($E91-$F91,0))</f>
      </c>
      <c r="H91" s="19">
        <f>IF($B91="","",IF($G91&lt;=0,"Pagado",IF($F91&gt;0,"Abono parcial","Pendiente")))</f>
      </c>
      <c r="I91" s="17">
        <f>IF(OR($B91="",$G91&lt;=0),"",TODAY()-$A91)</f>
      </c>
      <c r="J91" s="19">
        <f>IF($B91="","",IF($G91&lt;=0,"✅ Pagado",IF($I91&gt;30,"🔴 Cóbrale ya ("&amp;$I91&amp;" días)",IF($I91&gt;15,"🟠 Lleva "&amp;$I91&amp;" días","🟢 Reciente ("&amp;$I91&amp;" días)"))))</f>
      </c>
      <c r="K91" s="20"/>
    </row>
    <row r="92">
      <c r="A92" s="23"/>
      <c r="B92" s="20"/>
      <c r="C92" s="20"/>
      <c r="D92" s="20"/>
      <c r="E92" s="22"/>
      <c r="F92" s="16">
        <f>IF($B92="","",SUMIF('Abonos Préstamos'!$B:$B,$B92,'Abonos Préstamos'!$C:$C))</f>
      </c>
      <c r="G92" s="16">
        <f>IF($B92="","",MAX($E92-$F92,0))</f>
      </c>
      <c r="H92" s="19">
        <f>IF($B92="","",IF($G92&lt;=0,"Pagado",IF($F92&gt;0,"Abono parcial","Pendiente")))</f>
      </c>
      <c r="I92" s="17">
        <f>IF(OR($B92="",$G92&lt;=0),"",TODAY()-$A92)</f>
      </c>
      <c r="J92" s="19">
        <f>IF($B92="","",IF($G92&lt;=0,"✅ Pagado",IF($I92&gt;30,"🔴 Cóbrale ya ("&amp;$I92&amp;" días)",IF($I92&gt;15,"🟠 Lleva "&amp;$I92&amp;" días","🟢 Reciente ("&amp;$I92&amp;" días)"))))</f>
      </c>
      <c r="K92" s="20"/>
    </row>
    <row r="93">
      <c r="A93" s="23"/>
      <c r="B93" s="20"/>
      <c r="C93" s="20"/>
      <c r="D93" s="20"/>
      <c r="E93" s="22"/>
      <c r="F93" s="16">
        <f>IF($B93="","",SUMIF('Abonos Préstamos'!$B:$B,$B93,'Abonos Préstamos'!$C:$C))</f>
      </c>
      <c r="G93" s="16">
        <f>IF($B93="","",MAX($E93-$F93,0))</f>
      </c>
      <c r="H93" s="19">
        <f>IF($B93="","",IF($G93&lt;=0,"Pagado",IF($F93&gt;0,"Abono parcial","Pendiente")))</f>
      </c>
      <c r="I93" s="17">
        <f>IF(OR($B93="",$G93&lt;=0),"",TODAY()-$A93)</f>
      </c>
      <c r="J93" s="19">
        <f>IF($B93="","",IF($G93&lt;=0,"✅ Pagado",IF($I93&gt;30,"🔴 Cóbrale ya ("&amp;$I93&amp;" días)",IF($I93&gt;15,"🟠 Lleva "&amp;$I93&amp;" días","🟢 Reciente ("&amp;$I93&amp;" días)"))))</f>
      </c>
      <c r="K93" s="20"/>
    </row>
    <row r="94">
      <c r="A94" s="23"/>
      <c r="B94" s="20"/>
      <c r="C94" s="20"/>
      <c r="D94" s="20"/>
      <c r="E94" s="22"/>
      <c r="F94" s="16">
        <f>IF($B94="","",SUMIF('Abonos Préstamos'!$B:$B,$B94,'Abonos Préstamos'!$C:$C))</f>
      </c>
      <c r="G94" s="16">
        <f>IF($B94="","",MAX($E94-$F94,0))</f>
      </c>
      <c r="H94" s="19">
        <f>IF($B94="","",IF($G94&lt;=0,"Pagado",IF($F94&gt;0,"Abono parcial","Pendiente")))</f>
      </c>
      <c r="I94" s="17">
        <f>IF(OR($B94="",$G94&lt;=0),"",TODAY()-$A94)</f>
      </c>
      <c r="J94" s="19">
        <f>IF($B94="","",IF($G94&lt;=0,"✅ Pagado",IF($I94&gt;30,"🔴 Cóbrale ya ("&amp;$I94&amp;" días)",IF($I94&gt;15,"🟠 Lleva "&amp;$I94&amp;" días","🟢 Reciente ("&amp;$I94&amp;" días)"))))</f>
      </c>
      <c r="K94" s="20"/>
    </row>
    <row r="95">
      <c r="A95" s="23"/>
      <c r="B95" s="20"/>
      <c r="C95" s="20"/>
      <c r="D95" s="20"/>
      <c r="E95" s="22"/>
      <c r="F95" s="16">
        <f>IF($B95="","",SUMIF('Abonos Préstamos'!$B:$B,$B95,'Abonos Préstamos'!$C:$C))</f>
      </c>
      <c r="G95" s="16">
        <f>IF($B95="","",MAX($E95-$F95,0))</f>
      </c>
      <c r="H95" s="19">
        <f>IF($B95="","",IF($G95&lt;=0,"Pagado",IF($F95&gt;0,"Abono parcial","Pendiente")))</f>
      </c>
      <c r="I95" s="17">
        <f>IF(OR($B95="",$G95&lt;=0),"",TODAY()-$A95)</f>
      </c>
      <c r="J95" s="19">
        <f>IF($B95="","",IF($G95&lt;=0,"✅ Pagado",IF($I95&gt;30,"🔴 Cóbrale ya ("&amp;$I95&amp;" días)",IF($I95&gt;15,"🟠 Lleva "&amp;$I95&amp;" días","🟢 Reciente ("&amp;$I95&amp;" días)"))))</f>
      </c>
      <c r="K95" s="20"/>
    </row>
    <row r="96">
      <c r="A96" s="23"/>
      <c r="B96" s="20"/>
      <c r="C96" s="20"/>
      <c r="D96" s="20"/>
      <c r="E96" s="22"/>
      <c r="F96" s="16">
        <f>IF($B96="","",SUMIF('Abonos Préstamos'!$B:$B,$B96,'Abonos Préstamos'!$C:$C))</f>
      </c>
      <c r="G96" s="16">
        <f>IF($B96="","",MAX($E96-$F96,0))</f>
      </c>
      <c r="H96" s="19">
        <f>IF($B96="","",IF($G96&lt;=0,"Pagado",IF($F96&gt;0,"Abono parcial","Pendiente")))</f>
      </c>
      <c r="I96" s="17">
        <f>IF(OR($B96="",$G96&lt;=0),"",TODAY()-$A96)</f>
      </c>
      <c r="J96" s="19">
        <f>IF($B96="","",IF($G96&lt;=0,"✅ Pagado",IF($I96&gt;30,"🔴 Cóbrale ya ("&amp;$I96&amp;" días)",IF($I96&gt;15,"🟠 Lleva "&amp;$I96&amp;" días","🟢 Reciente ("&amp;$I96&amp;" días)"))))</f>
      </c>
      <c r="K96" s="20"/>
    </row>
    <row r="97">
      <c r="A97" s="23"/>
      <c r="B97" s="20"/>
      <c r="C97" s="20"/>
      <c r="D97" s="20"/>
      <c r="E97" s="22"/>
      <c r="F97" s="16">
        <f>IF($B97="","",SUMIF('Abonos Préstamos'!$B:$B,$B97,'Abonos Préstamos'!$C:$C))</f>
      </c>
      <c r="G97" s="16">
        <f>IF($B97="","",MAX($E97-$F97,0))</f>
      </c>
      <c r="H97" s="19">
        <f>IF($B97="","",IF($G97&lt;=0,"Pagado",IF($F97&gt;0,"Abono parcial","Pendiente")))</f>
      </c>
      <c r="I97" s="17">
        <f>IF(OR($B97="",$G97&lt;=0),"",TODAY()-$A97)</f>
      </c>
      <c r="J97" s="19">
        <f>IF($B97="","",IF($G97&lt;=0,"✅ Pagado",IF($I97&gt;30,"🔴 Cóbrale ya ("&amp;$I97&amp;" días)",IF($I97&gt;15,"🟠 Lleva "&amp;$I97&amp;" días","🟢 Reciente ("&amp;$I97&amp;" días)"))))</f>
      </c>
      <c r="K97" s="20"/>
    </row>
    <row r="98">
      <c r="A98" s="23"/>
      <c r="B98" s="20"/>
      <c r="C98" s="20"/>
      <c r="D98" s="20"/>
      <c r="E98" s="22"/>
      <c r="F98" s="16">
        <f>IF($B98="","",SUMIF('Abonos Préstamos'!$B:$B,$B98,'Abonos Préstamos'!$C:$C))</f>
      </c>
      <c r="G98" s="16">
        <f>IF($B98="","",MAX($E98-$F98,0))</f>
      </c>
      <c r="H98" s="19">
        <f>IF($B98="","",IF($G98&lt;=0,"Pagado",IF($F98&gt;0,"Abono parcial","Pendiente")))</f>
      </c>
      <c r="I98" s="17">
        <f>IF(OR($B98="",$G98&lt;=0),"",TODAY()-$A98)</f>
      </c>
      <c r="J98" s="19">
        <f>IF($B98="","",IF($G98&lt;=0,"✅ Pagado",IF($I98&gt;30,"🔴 Cóbrale ya ("&amp;$I98&amp;" días)",IF($I98&gt;15,"🟠 Lleva "&amp;$I98&amp;" días","🟢 Reciente ("&amp;$I98&amp;" días)"))))</f>
      </c>
      <c r="K98" s="20"/>
    </row>
    <row r="99">
      <c r="A99" s="23"/>
      <c r="B99" s="20"/>
      <c r="C99" s="20"/>
      <c r="D99" s="20"/>
      <c r="E99" s="22"/>
      <c r="F99" s="16">
        <f>IF($B99="","",SUMIF('Abonos Préstamos'!$B:$B,$B99,'Abonos Préstamos'!$C:$C))</f>
      </c>
      <c r="G99" s="16">
        <f>IF($B99="","",MAX($E99-$F99,0))</f>
      </c>
      <c r="H99" s="19">
        <f>IF($B99="","",IF($G99&lt;=0,"Pagado",IF($F99&gt;0,"Abono parcial","Pendiente")))</f>
      </c>
      <c r="I99" s="17">
        <f>IF(OR($B99="",$G99&lt;=0),"",TODAY()-$A99)</f>
      </c>
      <c r="J99" s="19">
        <f>IF($B99="","",IF($G99&lt;=0,"✅ Pagado",IF($I99&gt;30,"🔴 Cóbrale ya ("&amp;$I99&amp;" días)",IF($I99&gt;15,"🟠 Lleva "&amp;$I99&amp;" días","🟢 Reciente ("&amp;$I99&amp;" días)"))))</f>
      </c>
      <c r="K99" s="20"/>
    </row>
    <row r="100">
      <c r="A100" s="23"/>
      <c r="B100" s="20"/>
      <c r="C100" s="20"/>
      <c r="D100" s="20"/>
      <c r="E100" s="22"/>
      <c r="F100" s="16">
        <f>IF($B100="","",SUMIF('Abonos Préstamos'!$B:$B,$B100,'Abonos Préstamos'!$C:$C))</f>
      </c>
      <c r="G100" s="16">
        <f>IF($B100="","",MAX($E100-$F100,0))</f>
      </c>
      <c r="H100" s="19">
        <f>IF($B100="","",IF($G100&lt;=0,"Pagado",IF($F100&gt;0,"Abono parcial","Pendiente")))</f>
      </c>
      <c r="I100" s="17">
        <f>IF(OR($B100="",$G100&lt;=0),"",TODAY()-$A100)</f>
      </c>
      <c r="J100" s="19">
        <f>IF($B100="","",IF($G100&lt;=0,"✅ Pagado",IF($I100&gt;30,"🔴 Cóbrale ya ("&amp;$I100&amp;" días)",IF($I100&gt;15,"🟠 Lleva "&amp;$I100&amp;" días","🟢 Reciente ("&amp;$I100&amp;" días)"))))</f>
      </c>
      <c r="K100" s="20"/>
    </row>
    <row r="101">
      <c r="A101" s="23"/>
      <c r="B101" s="20"/>
      <c r="C101" s="20"/>
      <c r="D101" s="20"/>
      <c r="E101" s="22"/>
      <c r="F101" s="16">
        <f>IF($B101="","",SUMIF('Abonos Préstamos'!$B:$B,$B101,'Abonos Préstamos'!$C:$C))</f>
      </c>
      <c r="G101" s="16">
        <f>IF($B101="","",MAX($E101-$F101,0))</f>
      </c>
      <c r="H101" s="19">
        <f>IF($B101="","",IF($G101&lt;=0,"Pagado",IF($F101&gt;0,"Abono parcial","Pendiente")))</f>
      </c>
      <c r="I101" s="17">
        <f>IF(OR($B101="",$G101&lt;=0),"",TODAY()-$A101)</f>
      </c>
      <c r="J101" s="19">
        <f>IF($B101="","",IF($G101&lt;=0,"✅ Pagado",IF($I101&gt;30,"🔴 Cóbrale ya ("&amp;$I101&amp;" días)",IF($I101&gt;15,"🟠 Lleva "&amp;$I101&amp;" días","🟢 Reciente ("&amp;$I101&amp;" días)"))))</f>
      </c>
      <c r="K101" s="20"/>
    </row>
    <row r="102">
      <c r="A102" s="23"/>
      <c r="B102" s="20"/>
      <c r="C102" s="20"/>
      <c r="D102" s="20"/>
      <c r="E102" s="22"/>
      <c r="F102" s="16">
        <f>IF($B102="","",SUMIF('Abonos Préstamos'!$B:$B,$B102,'Abonos Préstamos'!$C:$C))</f>
      </c>
      <c r="G102" s="16">
        <f>IF($B102="","",MAX($E102-$F102,0))</f>
      </c>
      <c r="H102" s="19">
        <f>IF($B102="","",IF($G102&lt;=0,"Pagado",IF($F102&gt;0,"Abono parcial","Pendiente")))</f>
      </c>
      <c r="I102" s="17">
        <f>IF(OR($B102="",$G102&lt;=0),"",TODAY()-$A102)</f>
      </c>
      <c r="J102" s="19">
        <f>IF($B102="","",IF($G102&lt;=0,"✅ Pagado",IF($I102&gt;30,"🔴 Cóbrale ya ("&amp;$I102&amp;" días)",IF($I102&gt;15,"🟠 Lleva "&amp;$I102&amp;" días","🟢 Reciente ("&amp;$I102&amp;" días)"))))</f>
      </c>
      <c r="K102" s="20"/>
    </row>
    <row r="103">
      <c r="A103" s="23"/>
      <c r="B103" s="20"/>
      <c r="C103" s="20"/>
      <c r="D103" s="20"/>
      <c r="E103" s="22"/>
      <c r="F103" s="16">
        <f>IF($B103="","",SUMIF('Abonos Préstamos'!$B:$B,$B103,'Abonos Préstamos'!$C:$C))</f>
      </c>
      <c r="G103" s="16">
        <f>IF($B103="","",MAX($E103-$F103,0))</f>
      </c>
      <c r="H103" s="19">
        <f>IF($B103="","",IF($G103&lt;=0,"Pagado",IF($F103&gt;0,"Abono parcial","Pendiente")))</f>
      </c>
      <c r="I103" s="17">
        <f>IF(OR($B103="",$G103&lt;=0),"",TODAY()-$A103)</f>
      </c>
      <c r="J103" s="19">
        <f>IF($B103="","",IF($G103&lt;=0,"✅ Pagado",IF($I103&gt;30,"🔴 Cóbrale ya ("&amp;$I103&amp;" días)",IF($I103&gt;15,"🟠 Lleva "&amp;$I103&amp;" días","🟢 Reciente ("&amp;$I103&amp;" días)"))))</f>
      </c>
      <c r="K103" s="20"/>
    </row>
    <row r="104">
      <c r="A104" s="23"/>
      <c r="B104" s="20"/>
      <c r="C104" s="20"/>
      <c r="D104" s="20"/>
      <c r="E104" s="22"/>
      <c r="F104" s="16">
        <f>IF($B104="","",SUMIF('Abonos Préstamos'!$B:$B,$B104,'Abonos Préstamos'!$C:$C))</f>
      </c>
      <c r="G104" s="16">
        <f>IF($B104="","",MAX($E104-$F104,0))</f>
      </c>
      <c r="H104" s="19">
        <f>IF($B104="","",IF($G104&lt;=0,"Pagado",IF($F104&gt;0,"Abono parcial","Pendiente")))</f>
      </c>
      <c r="I104" s="17">
        <f>IF(OR($B104="",$G104&lt;=0),"",TODAY()-$A104)</f>
      </c>
      <c r="J104" s="19">
        <f>IF($B104="","",IF($G104&lt;=0,"✅ Pagado",IF($I104&gt;30,"🔴 Cóbrale ya ("&amp;$I104&amp;" días)",IF($I104&gt;15,"🟠 Lleva "&amp;$I104&amp;" días","🟢 Reciente ("&amp;$I104&amp;" días)"))))</f>
      </c>
      <c r="K104" s="20"/>
    </row>
    <row r="105">
      <c r="A105" s="23"/>
      <c r="B105" s="20"/>
      <c r="C105" s="20"/>
      <c r="D105" s="20"/>
      <c r="E105" s="22"/>
      <c r="F105" s="16">
        <f>IF($B105="","",SUMIF('Abonos Préstamos'!$B:$B,$B105,'Abonos Préstamos'!$C:$C))</f>
      </c>
      <c r="G105" s="16">
        <f>IF($B105="","",MAX($E105-$F105,0))</f>
      </c>
      <c r="H105" s="19">
        <f>IF($B105="","",IF($G105&lt;=0,"Pagado",IF($F105&gt;0,"Abono parcial","Pendiente")))</f>
      </c>
      <c r="I105" s="17">
        <f>IF(OR($B105="",$G105&lt;=0),"",TODAY()-$A105)</f>
      </c>
      <c r="J105" s="19">
        <f>IF($B105="","",IF($G105&lt;=0,"✅ Pagado",IF($I105&gt;30,"🔴 Cóbrale ya ("&amp;$I105&amp;" días)",IF($I105&gt;15,"🟠 Lleva "&amp;$I105&amp;" días","🟢 Reciente ("&amp;$I105&amp;" días)"))))</f>
      </c>
      <c r="K105" s="20"/>
    </row>
    <row r="106">
      <c r="A106" s="23"/>
      <c r="B106" s="20"/>
      <c r="C106" s="20"/>
      <c r="D106" s="20"/>
      <c r="E106" s="22"/>
      <c r="F106" s="16">
        <f>IF($B106="","",SUMIF('Abonos Préstamos'!$B:$B,$B106,'Abonos Préstamos'!$C:$C))</f>
      </c>
      <c r="G106" s="16">
        <f>IF($B106="","",MAX($E106-$F106,0))</f>
      </c>
      <c r="H106" s="19">
        <f>IF($B106="","",IF($G106&lt;=0,"Pagado",IF($F106&gt;0,"Abono parcial","Pendiente")))</f>
      </c>
      <c r="I106" s="17">
        <f>IF(OR($B106="",$G106&lt;=0),"",TODAY()-$A106)</f>
      </c>
      <c r="J106" s="19">
        <f>IF($B106="","",IF($G106&lt;=0,"✅ Pagado",IF($I106&gt;30,"🔴 Cóbrale ya ("&amp;$I106&amp;" días)",IF($I106&gt;15,"🟠 Lleva "&amp;$I106&amp;" días","🟢 Reciente ("&amp;$I106&amp;" días)"))))</f>
      </c>
      <c r="K106" s="20"/>
    </row>
    <row r="107">
      <c r="A107" s="23"/>
      <c r="B107" s="20"/>
      <c r="C107" s="20"/>
      <c r="D107" s="20"/>
      <c r="E107" s="22"/>
      <c r="F107" s="16">
        <f>IF($B107="","",SUMIF('Abonos Préstamos'!$B:$B,$B107,'Abonos Préstamos'!$C:$C))</f>
      </c>
      <c r="G107" s="16">
        <f>IF($B107="","",MAX($E107-$F107,0))</f>
      </c>
      <c r="H107" s="19">
        <f>IF($B107="","",IF($G107&lt;=0,"Pagado",IF($F107&gt;0,"Abono parcial","Pendiente")))</f>
      </c>
      <c r="I107" s="17">
        <f>IF(OR($B107="",$G107&lt;=0),"",TODAY()-$A107)</f>
      </c>
      <c r="J107" s="19">
        <f>IF($B107="","",IF($G107&lt;=0,"✅ Pagado",IF($I107&gt;30,"🔴 Cóbrale ya ("&amp;$I107&amp;" días)",IF($I107&gt;15,"🟠 Lleva "&amp;$I107&amp;" días","🟢 Reciente ("&amp;$I107&amp;" días)"))))</f>
      </c>
      <c r="K107" s="20"/>
    </row>
    <row r="108">
      <c r="A108" s="23"/>
      <c r="B108" s="20"/>
      <c r="C108" s="20"/>
      <c r="D108" s="20"/>
      <c r="E108" s="22"/>
      <c r="F108" s="16">
        <f>IF($B108="","",SUMIF('Abonos Préstamos'!$B:$B,$B108,'Abonos Préstamos'!$C:$C))</f>
      </c>
      <c r="G108" s="16">
        <f>IF($B108="","",MAX($E108-$F108,0))</f>
      </c>
      <c r="H108" s="19">
        <f>IF($B108="","",IF($G108&lt;=0,"Pagado",IF($F108&gt;0,"Abono parcial","Pendiente")))</f>
      </c>
      <c r="I108" s="17">
        <f>IF(OR($B108="",$G108&lt;=0),"",TODAY()-$A108)</f>
      </c>
      <c r="J108" s="19">
        <f>IF($B108="","",IF($G108&lt;=0,"✅ Pagado",IF($I108&gt;30,"🔴 Cóbrale ya ("&amp;$I108&amp;" días)",IF($I108&gt;15,"🟠 Lleva "&amp;$I108&amp;" días","🟢 Reciente ("&amp;$I108&amp;" días)"))))</f>
      </c>
      <c r="K108" s="20"/>
    </row>
    <row r="109">
      <c r="A109" s="23"/>
      <c r="B109" s="20"/>
      <c r="C109" s="20"/>
      <c r="D109" s="20"/>
      <c r="E109" s="22"/>
      <c r="F109" s="16">
        <f>IF($B109="","",SUMIF('Abonos Préstamos'!$B:$B,$B109,'Abonos Préstamos'!$C:$C))</f>
      </c>
      <c r="G109" s="16">
        <f>IF($B109="","",MAX($E109-$F109,0))</f>
      </c>
      <c r="H109" s="19">
        <f>IF($B109="","",IF($G109&lt;=0,"Pagado",IF($F109&gt;0,"Abono parcial","Pendiente")))</f>
      </c>
      <c r="I109" s="17">
        <f>IF(OR($B109="",$G109&lt;=0),"",TODAY()-$A109)</f>
      </c>
      <c r="J109" s="19">
        <f>IF($B109="","",IF($G109&lt;=0,"✅ Pagado",IF($I109&gt;30,"🔴 Cóbrale ya ("&amp;$I109&amp;" días)",IF($I109&gt;15,"🟠 Lleva "&amp;$I109&amp;" días","🟢 Reciente ("&amp;$I109&amp;" días)"))))</f>
      </c>
      <c r="K109" s="20"/>
    </row>
    <row r="110">
      <c r="A110" s="23"/>
      <c r="B110" s="20"/>
      <c r="C110" s="20"/>
      <c r="D110" s="20"/>
      <c r="E110" s="22"/>
      <c r="F110" s="16">
        <f>IF($B110="","",SUMIF('Abonos Préstamos'!$B:$B,$B110,'Abonos Préstamos'!$C:$C))</f>
      </c>
      <c r="G110" s="16">
        <f>IF($B110="","",MAX($E110-$F110,0))</f>
      </c>
      <c r="H110" s="19">
        <f>IF($B110="","",IF($G110&lt;=0,"Pagado",IF($F110&gt;0,"Abono parcial","Pendiente")))</f>
      </c>
      <c r="I110" s="17">
        <f>IF(OR($B110="",$G110&lt;=0),"",TODAY()-$A110)</f>
      </c>
      <c r="J110" s="19">
        <f>IF($B110="","",IF($G110&lt;=0,"✅ Pagado",IF($I110&gt;30,"🔴 Cóbrale ya ("&amp;$I110&amp;" días)",IF($I110&gt;15,"🟠 Lleva "&amp;$I110&amp;" días","🟢 Reciente ("&amp;$I110&amp;" días)"))))</f>
      </c>
      <c r="K110" s="20"/>
    </row>
    <row r="111">
      <c r="A111" s="23"/>
      <c r="B111" s="20"/>
      <c r="C111" s="20"/>
      <c r="D111" s="20"/>
      <c r="E111" s="22"/>
      <c r="F111" s="16">
        <f>IF($B111="","",SUMIF('Abonos Préstamos'!$B:$B,$B111,'Abonos Préstamos'!$C:$C))</f>
      </c>
      <c r="G111" s="16">
        <f>IF($B111="","",MAX($E111-$F111,0))</f>
      </c>
      <c r="H111" s="19">
        <f>IF($B111="","",IF($G111&lt;=0,"Pagado",IF($F111&gt;0,"Abono parcial","Pendiente")))</f>
      </c>
      <c r="I111" s="17">
        <f>IF(OR($B111="",$G111&lt;=0),"",TODAY()-$A111)</f>
      </c>
      <c r="J111" s="19">
        <f>IF($B111="","",IF($G111&lt;=0,"✅ Pagado",IF($I111&gt;30,"🔴 Cóbrale ya ("&amp;$I111&amp;" días)",IF($I111&gt;15,"🟠 Lleva "&amp;$I111&amp;" días","🟢 Reciente ("&amp;$I111&amp;" días)"))))</f>
      </c>
      <c r="K111" s="20"/>
    </row>
    <row r="112">
      <c r="A112" s="23"/>
      <c r="B112" s="20"/>
      <c r="C112" s="20"/>
      <c r="D112" s="20"/>
      <c r="E112" s="22"/>
      <c r="F112" s="16">
        <f>IF($B112="","",SUMIF('Abonos Préstamos'!$B:$B,$B112,'Abonos Préstamos'!$C:$C))</f>
      </c>
      <c r="G112" s="16">
        <f>IF($B112="","",MAX($E112-$F112,0))</f>
      </c>
      <c r="H112" s="19">
        <f>IF($B112="","",IF($G112&lt;=0,"Pagado",IF($F112&gt;0,"Abono parcial","Pendiente")))</f>
      </c>
      <c r="I112" s="17">
        <f>IF(OR($B112="",$G112&lt;=0),"",TODAY()-$A112)</f>
      </c>
      <c r="J112" s="19">
        <f>IF($B112="","",IF($G112&lt;=0,"✅ Pagado",IF($I112&gt;30,"🔴 Cóbrale ya ("&amp;$I112&amp;" días)",IF($I112&gt;15,"🟠 Lleva "&amp;$I112&amp;" días","🟢 Reciente ("&amp;$I112&amp;" días)"))))</f>
      </c>
      <c r="K112" s="20"/>
    </row>
    <row r="113">
      <c r="A113" s="23"/>
      <c r="B113" s="20"/>
      <c r="C113" s="20"/>
      <c r="D113" s="20"/>
      <c r="E113" s="22"/>
      <c r="F113" s="16">
        <f>IF($B113="","",SUMIF('Abonos Préstamos'!$B:$B,$B113,'Abonos Préstamos'!$C:$C))</f>
      </c>
      <c r="G113" s="16">
        <f>IF($B113="","",MAX($E113-$F113,0))</f>
      </c>
      <c r="H113" s="19">
        <f>IF($B113="","",IF($G113&lt;=0,"Pagado",IF($F113&gt;0,"Abono parcial","Pendiente")))</f>
      </c>
      <c r="I113" s="17">
        <f>IF(OR($B113="",$G113&lt;=0),"",TODAY()-$A113)</f>
      </c>
      <c r="J113" s="19">
        <f>IF($B113="","",IF($G113&lt;=0,"✅ Pagado",IF($I113&gt;30,"🔴 Cóbrale ya ("&amp;$I113&amp;" días)",IF($I113&gt;15,"🟠 Lleva "&amp;$I113&amp;" días","🟢 Reciente ("&amp;$I113&amp;" días)"))))</f>
      </c>
      <c r="K113" s="20"/>
    </row>
    <row r="114">
      <c r="A114" s="23"/>
      <c r="B114" s="20"/>
      <c r="C114" s="20"/>
      <c r="D114" s="20"/>
      <c r="E114" s="22"/>
      <c r="F114" s="16">
        <f>IF($B114="","",SUMIF('Abonos Préstamos'!$B:$B,$B114,'Abonos Préstamos'!$C:$C))</f>
      </c>
      <c r="G114" s="16">
        <f>IF($B114="","",MAX($E114-$F114,0))</f>
      </c>
      <c r="H114" s="19">
        <f>IF($B114="","",IF($G114&lt;=0,"Pagado",IF($F114&gt;0,"Abono parcial","Pendiente")))</f>
      </c>
      <c r="I114" s="17">
        <f>IF(OR($B114="",$G114&lt;=0),"",TODAY()-$A114)</f>
      </c>
      <c r="J114" s="19">
        <f>IF($B114="","",IF($G114&lt;=0,"✅ Pagado",IF($I114&gt;30,"🔴 Cóbrale ya ("&amp;$I114&amp;" días)",IF($I114&gt;15,"🟠 Lleva "&amp;$I114&amp;" días","🟢 Reciente ("&amp;$I114&amp;" días)"))))</f>
      </c>
      <c r="K114" s="20"/>
    </row>
    <row r="115">
      <c r="A115" s="23"/>
      <c r="B115" s="20"/>
      <c r="C115" s="20"/>
      <c r="D115" s="20"/>
      <c r="E115" s="22"/>
      <c r="F115" s="16">
        <f>IF($B115="","",SUMIF('Abonos Préstamos'!$B:$B,$B115,'Abonos Préstamos'!$C:$C))</f>
      </c>
      <c r="G115" s="16">
        <f>IF($B115="","",MAX($E115-$F115,0))</f>
      </c>
      <c r="H115" s="19">
        <f>IF($B115="","",IF($G115&lt;=0,"Pagado",IF($F115&gt;0,"Abono parcial","Pendiente")))</f>
      </c>
      <c r="I115" s="17">
        <f>IF(OR($B115="",$G115&lt;=0),"",TODAY()-$A115)</f>
      </c>
      <c r="J115" s="19">
        <f>IF($B115="","",IF($G115&lt;=0,"✅ Pagado",IF($I115&gt;30,"🔴 Cóbrale ya ("&amp;$I115&amp;" días)",IF($I115&gt;15,"🟠 Lleva "&amp;$I115&amp;" días","🟢 Reciente ("&amp;$I115&amp;" días)"))))</f>
      </c>
      <c r="K115" s="20"/>
    </row>
    <row r="116">
      <c r="A116" s="23"/>
      <c r="B116" s="20"/>
      <c r="C116" s="20"/>
      <c r="D116" s="20"/>
      <c r="E116" s="22"/>
      <c r="F116" s="16">
        <f>IF($B116="","",SUMIF('Abonos Préstamos'!$B:$B,$B116,'Abonos Préstamos'!$C:$C))</f>
      </c>
      <c r="G116" s="16">
        <f>IF($B116="","",MAX($E116-$F116,0))</f>
      </c>
      <c r="H116" s="19">
        <f>IF($B116="","",IF($G116&lt;=0,"Pagado",IF($F116&gt;0,"Abono parcial","Pendiente")))</f>
      </c>
      <c r="I116" s="17">
        <f>IF(OR($B116="",$G116&lt;=0),"",TODAY()-$A116)</f>
      </c>
      <c r="J116" s="19">
        <f>IF($B116="","",IF($G116&lt;=0,"✅ Pagado",IF($I116&gt;30,"🔴 Cóbrale ya ("&amp;$I116&amp;" días)",IF($I116&gt;15,"🟠 Lleva "&amp;$I116&amp;" días","🟢 Reciente ("&amp;$I116&amp;" días)"))))</f>
      </c>
      <c r="K116" s="20"/>
    </row>
    <row r="117">
      <c r="A117" s="23"/>
      <c r="B117" s="20"/>
      <c r="C117" s="20"/>
      <c r="D117" s="20"/>
      <c r="E117" s="22"/>
      <c r="F117" s="16">
        <f>IF($B117="","",SUMIF('Abonos Préstamos'!$B:$B,$B117,'Abonos Préstamos'!$C:$C))</f>
      </c>
      <c r="G117" s="16">
        <f>IF($B117="","",MAX($E117-$F117,0))</f>
      </c>
      <c r="H117" s="19">
        <f>IF($B117="","",IF($G117&lt;=0,"Pagado",IF($F117&gt;0,"Abono parcial","Pendiente")))</f>
      </c>
      <c r="I117" s="17">
        <f>IF(OR($B117="",$G117&lt;=0),"",TODAY()-$A117)</f>
      </c>
      <c r="J117" s="19">
        <f>IF($B117="","",IF($G117&lt;=0,"✅ Pagado",IF($I117&gt;30,"🔴 Cóbrale ya ("&amp;$I117&amp;" días)",IF($I117&gt;15,"🟠 Lleva "&amp;$I117&amp;" días","🟢 Reciente ("&amp;$I117&amp;" días)"))))</f>
      </c>
      <c r="K117" s="20"/>
    </row>
    <row r="118">
      <c r="A118" s="23"/>
      <c r="B118" s="20"/>
      <c r="C118" s="20"/>
      <c r="D118" s="20"/>
      <c r="E118" s="22"/>
      <c r="F118" s="16">
        <f>IF($B118="","",SUMIF('Abonos Préstamos'!$B:$B,$B118,'Abonos Préstamos'!$C:$C))</f>
      </c>
      <c r="G118" s="16">
        <f>IF($B118="","",MAX($E118-$F118,0))</f>
      </c>
      <c r="H118" s="19">
        <f>IF($B118="","",IF($G118&lt;=0,"Pagado",IF($F118&gt;0,"Abono parcial","Pendiente")))</f>
      </c>
      <c r="I118" s="17">
        <f>IF(OR($B118="",$G118&lt;=0),"",TODAY()-$A118)</f>
      </c>
      <c r="J118" s="19">
        <f>IF($B118="","",IF($G118&lt;=0,"✅ Pagado",IF($I118&gt;30,"🔴 Cóbrale ya ("&amp;$I118&amp;" días)",IF($I118&gt;15,"🟠 Lleva "&amp;$I118&amp;" días","🟢 Reciente ("&amp;$I118&amp;" días)"))))</f>
      </c>
      <c r="K118" s="20"/>
    </row>
    <row r="119">
      <c r="A119" s="23"/>
      <c r="B119" s="20"/>
      <c r="C119" s="20"/>
      <c r="D119" s="20"/>
      <c r="E119" s="22"/>
      <c r="F119" s="16">
        <f>IF($B119="","",SUMIF('Abonos Préstamos'!$B:$B,$B119,'Abonos Préstamos'!$C:$C))</f>
      </c>
      <c r="G119" s="16">
        <f>IF($B119="","",MAX($E119-$F119,0))</f>
      </c>
      <c r="H119" s="19">
        <f>IF($B119="","",IF($G119&lt;=0,"Pagado",IF($F119&gt;0,"Abono parcial","Pendiente")))</f>
      </c>
      <c r="I119" s="17">
        <f>IF(OR($B119="",$G119&lt;=0),"",TODAY()-$A119)</f>
      </c>
      <c r="J119" s="19">
        <f>IF($B119="","",IF($G119&lt;=0,"✅ Pagado",IF($I119&gt;30,"🔴 Cóbrale ya ("&amp;$I119&amp;" días)",IF($I119&gt;15,"🟠 Lleva "&amp;$I119&amp;" días","🟢 Reciente ("&amp;$I119&amp;" días)"))))</f>
      </c>
      <c r="K119" s="20"/>
    </row>
    <row r="120">
      <c r="A120" s="23"/>
      <c r="B120" s="20"/>
      <c r="C120" s="20"/>
      <c r="D120" s="20"/>
      <c r="E120" s="22"/>
      <c r="F120" s="16">
        <f>IF($B120="","",SUMIF('Abonos Préstamos'!$B:$B,$B120,'Abonos Préstamos'!$C:$C))</f>
      </c>
      <c r="G120" s="16">
        <f>IF($B120="","",MAX($E120-$F120,0))</f>
      </c>
      <c r="H120" s="19">
        <f>IF($B120="","",IF($G120&lt;=0,"Pagado",IF($F120&gt;0,"Abono parcial","Pendiente")))</f>
      </c>
      <c r="I120" s="17">
        <f>IF(OR($B120="",$G120&lt;=0),"",TODAY()-$A120)</f>
      </c>
      <c r="J120" s="19">
        <f>IF($B120="","",IF($G120&lt;=0,"✅ Pagado",IF($I120&gt;30,"🔴 Cóbrale ya ("&amp;$I120&amp;" días)",IF($I120&gt;15,"🟠 Lleva "&amp;$I120&amp;" días","🟢 Reciente ("&amp;$I120&amp;" días)"))))</f>
      </c>
      <c r="K120" s="20"/>
    </row>
    <row r="121">
      <c r="A121" s="23"/>
      <c r="B121" s="20"/>
      <c r="C121" s="20"/>
      <c r="D121" s="20"/>
      <c r="E121" s="22"/>
      <c r="F121" s="16">
        <f>IF($B121="","",SUMIF('Abonos Préstamos'!$B:$B,$B121,'Abonos Préstamos'!$C:$C))</f>
      </c>
      <c r="G121" s="16">
        <f>IF($B121="","",MAX($E121-$F121,0))</f>
      </c>
      <c r="H121" s="19">
        <f>IF($B121="","",IF($G121&lt;=0,"Pagado",IF($F121&gt;0,"Abono parcial","Pendiente")))</f>
      </c>
      <c r="I121" s="17">
        <f>IF(OR($B121="",$G121&lt;=0),"",TODAY()-$A121)</f>
      </c>
      <c r="J121" s="19">
        <f>IF($B121="","",IF($G121&lt;=0,"✅ Pagado",IF($I121&gt;30,"🔴 Cóbrale ya ("&amp;$I121&amp;" días)",IF($I121&gt;15,"🟠 Lleva "&amp;$I121&amp;" días","🟢 Reciente ("&amp;$I121&amp;" días)"))))</f>
      </c>
      <c r="K121" s="20"/>
    </row>
    <row r="122">
      <c r="A122" s="23"/>
      <c r="B122" s="20"/>
      <c r="C122" s="20"/>
      <c r="D122" s="20"/>
      <c r="E122" s="22"/>
      <c r="F122" s="16">
        <f>IF($B122="","",SUMIF('Abonos Préstamos'!$B:$B,$B122,'Abonos Préstamos'!$C:$C))</f>
      </c>
      <c r="G122" s="16">
        <f>IF($B122="","",MAX($E122-$F122,0))</f>
      </c>
      <c r="H122" s="19">
        <f>IF($B122="","",IF($G122&lt;=0,"Pagado",IF($F122&gt;0,"Abono parcial","Pendiente")))</f>
      </c>
      <c r="I122" s="17">
        <f>IF(OR($B122="",$G122&lt;=0),"",TODAY()-$A122)</f>
      </c>
      <c r="J122" s="19">
        <f>IF($B122="","",IF($G122&lt;=0,"✅ Pagado",IF($I122&gt;30,"🔴 Cóbrale ya ("&amp;$I122&amp;" días)",IF($I122&gt;15,"🟠 Lleva "&amp;$I122&amp;" días","🟢 Reciente ("&amp;$I122&amp;" días)"))))</f>
      </c>
      <c r="K122" s="20"/>
    </row>
    <row r="123">
      <c r="A123" s="23"/>
      <c r="B123" s="20"/>
      <c r="C123" s="20"/>
      <c r="D123" s="20"/>
      <c r="E123" s="22"/>
      <c r="F123" s="16">
        <f>IF($B123="","",SUMIF('Abonos Préstamos'!$B:$B,$B123,'Abonos Préstamos'!$C:$C))</f>
      </c>
      <c r="G123" s="16">
        <f>IF($B123="","",MAX($E123-$F123,0))</f>
      </c>
      <c r="H123" s="19">
        <f>IF($B123="","",IF($G123&lt;=0,"Pagado",IF($F123&gt;0,"Abono parcial","Pendiente")))</f>
      </c>
      <c r="I123" s="17">
        <f>IF(OR($B123="",$G123&lt;=0),"",TODAY()-$A123)</f>
      </c>
      <c r="J123" s="19">
        <f>IF($B123="","",IF($G123&lt;=0,"✅ Pagado",IF($I123&gt;30,"🔴 Cóbrale ya ("&amp;$I123&amp;" días)",IF($I123&gt;15,"🟠 Lleva "&amp;$I123&amp;" días","🟢 Reciente ("&amp;$I123&amp;" días)"))))</f>
      </c>
      <c r="K123" s="20"/>
    </row>
    <row r="124">
      <c r="A124" s="23"/>
      <c r="B124" s="20"/>
      <c r="C124" s="20"/>
      <c r="D124" s="20"/>
      <c r="E124" s="22"/>
      <c r="F124" s="16">
        <f>IF($B124="","",SUMIF('Abonos Préstamos'!$B:$B,$B124,'Abonos Préstamos'!$C:$C))</f>
      </c>
      <c r="G124" s="16">
        <f>IF($B124="","",MAX($E124-$F124,0))</f>
      </c>
      <c r="H124" s="19">
        <f>IF($B124="","",IF($G124&lt;=0,"Pagado",IF($F124&gt;0,"Abono parcial","Pendiente")))</f>
      </c>
      <c r="I124" s="17">
        <f>IF(OR($B124="",$G124&lt;=0),"",TODAY()-$A124)</f>
      </c>
      <c r="J124" s="19">
        <f>IF($B124="","",IF($G124&lt;=0,"✅ Pagado",IF($I124&gt;30,"🔴 Cóbrale ya ("&amp;$I124&amp;" días)",IF($I124&gt;15,"🟠 Lleva "&amp;$I124&amp;" días","🟢 Reciente ("&amp;$I124&amp;" días)"))))</f>
      </c>
      <c r="K124" s="20"/>
    </row>
    <row r="125">
      <c r="A125" s="23"/>
      <c r="B125" s="20"/>
      <c r="C125" s="20"/>
      <c r="D125" s="20"/>
      <c r="E125" s="22"/>
      <c r="F125" s="16">
        <f>IF($B125="","",SUMIF('Abonos Préstamos'!$B:$B,$B125,'Abonos Préstamos'!$C:$C))</f>
      </c>
      <c r="G125" s="16">
        <f>IF($B125="","",MAX($E125-$F125,0))</f>
      </c>
      <c r="H125" s="19">
        <f>IF($B125="","",IF($G125&lt;=0,"Pagado",IF($F125&gt;0,"Abono parcial","Pendiente")))</f>
      </c>
      <c r="I125" s="17">
        <f>IF(OR($B125="",$G125&lt;=0),"",TODAY()-$A125)</f>
      </c>
      <c r="J125" s="19">
        <f>IF($B125="","",IF($G125&lt;=0,"✅ Pagado",IF($I125&gt;30,"🔴 Cóbrale ya ("&amp;$I125&amp;" días)",IF($I125&gt;15,"🟠 Lleva "&amp;$I125&amp;" días","🟢 Reciente ("&amp;$I125&amp;" días)"))))</f>
      </c>
      <c r="K125" s="20"/>
    </row>
    <row r="126">
      <c r="A126" s="23"/>
      <c r="B126" s="20"/>
      <c r="C126" s="20"/>
      <c r="D126" s="20"/>
      <c r="E126" s="22"/>
      <c r="F126" s="16">
        <f>IF($B126="","",SUMIF('Abonos Préstamos'!$B:$B,$B126,'Abonos Préstamos'!$C:$C))</f>
      </c>
      <c r="G126" s="16">
        <f>IF($B126="","",MAX($E126-$F126,0))</f>
      </c>
      <c r="H126" s="19">
        <f>IF($B126="","",IF($G126&lt;=0,"Pagado",IF($F126&gt;0,"Abono parcial","Pendiente")))</f>
      </c>
      <c r="I126" s="17">
        <f>IF(OR($B126="",$G126&lt;=0),"",TODAY()-$A126)</f>
      </c>
      <c r="J126" s="19">
        <f>IF($B126="","",IF($G126&lt;=0,"✅ Pagado",IF($I126&gt;30,"🔴 Cóbrale ya ("&amp;$I126&amp;" días)",IF($I126&gt;15,"🟠 Lleva "&amp;$I126&amp;" días","🟢 Reciente ("&amp;$I126&amp;" días)"))))</f>
      </c>
      <c r="K126" s="20"/>
    </row>
    <row r="127">
      <c r="A127" s="23"/>
      <c r="B127" s="20"/>
      <c r="C127" s="20"/>
      <c r="D127" s="20"/>
      <c r="E127" s="22"/>
      <c r="F127" s="16">
        <f>IF($B127="","",SUMIF('Abonos Préstamos'!$B:$B,$B127,'Abonos Préstamos'!$C:$C))</f>
      </c>
      <c r="G127" s="16">
        <f>IF($B127="","",MAX($E127-$F127,0))</f>
      </c>
      <c r="H127" s="19">
        <f>IF($B127="","",IF($G127&lt;=0,"Pagado",IF($F127&gt;0,"Abono parcial","Pendiente")))</f>
      </c>
      <c r="I127" s="17">
        <f>IF(OR($B127="",$G127&lt;=0),"",TODAY()-$A127)</f>
      </c>
      <c r="J127" s="19">
        <f>IF($B127="","",IF($G127&lt;=0,"✅ Pagado",IF($I127&gt;30,"🔴 Cóbrale ya ("&amp;$I127&amp;" días)",IF($I127&gt;15,"🟠 Lleva "&amp;$I127&amp;" días","🟢 Reciente ("&amp;$I127&amp;" días)"))))</f>
      </c>
      <c r="K127" s="20"/>
    </row>
    <row r="128">
      <c r="A128" s="23"/>
      <c r="B128" s="20"/>
      <c r="C128" s="20"/>
      <c r="D128" s="20"/>
      <c r="E128" s="22"/>
      <c r="F128" s="16">
        <f>IF($B128="","",SUMIF('Abonos Préstamos'!$B:$B,$B128,'Abonos Préstamos'!$C:$C))</f>
      </c>
      <c r="G128" s="16">
        <f>IF($B128="","",MAX($E128-$F128,0))</f>
      </c>
      <c r="H128" s="19">
        <f>IF($B128="","",IF($G128&lt;=0,"Pagado",IF($F128&gt;0,"Abono parcial","Pendiente")))</f>
      </c>
      <c r="I128" s="17">
        <f>IF(OR($B128="",$G128&lt;=0),"",TODAY()-$A128)</f>
      </c>
      <c r="J128" s="19">
        <f>IF($B128="","",IF($G128&lt;=0,"✅ Pagado",IF($I128&gt;30,"🔴 Cóbrale ya ("&amp;$I128&amp;" días)",IF($I128&gt;15,"🟠 Lleva "&amp;$I128&amp;" días","🟢 Reciente ("&amp;$I128&amp;" días)"))))</f>
      </c>
      <c r="K128" s="20"/>
    </row>
    <row r="129">
      <c r="A129" s="23"/>
      <c r="B129" s="20"/>
      <c r="C129" s="20"/>
      <c r="D129" s="20"/>
      <c r="E129" s="22"/>
      <c r="F129" s="16">
        <f>IF($B129="","",SUMIF('Abonos Préstamos'!$B:$B,$B129,'Abonos Préstamos'!$C:$C))</f>
      </c>
      <c r="G129" s="16">
        <f>IF($B129="","",MAX($E129-$F129,0))</f>
      </c>
      <c r="H129" s="19">
        <f>IF($B129="","",IF($G129&lt;=0,"Pagado",IF($F129&gt;0,"Abono parcial","Pendiente")))</f>
      </c>
      <c r="I129" s="17">
        <f>IF(OR($B129="",$G129&lt;=0),"",TODAY()-$A129)</f>
      </c>
      <c r="J129" s="19">
        <f>IF($B129="","",IF($G129&lt;=0,"✅ Pagado",IF($I129&gt;30,"🔴 Cóbrale ya ("&amp;$I129&amp;" días)",IF($I129&gt;15,"🟠 Lleva "&amp;$I129&amp;" días","🟢 Reciente ("&amp;$I129&amp;" días)"))))</f>
      </c>
      <c r="K129" s="20"/>
    </row>
    <row r="130">
      <c r="A130" s="23"/>
      <c r="B130" s="20"/>
      <c r="C130" s="20"/>
      <c r="D130" s="20"/>
      <c r="E130" s="22"/>
      <c r="F130" s="16">
        <f>IF($B130="","",SUMIF('Abonos Préstamos'!$B:$B,$B130,'Abonos Préstamos'!$C:$C))</f>
      </c>
      <c r="G130" s="16">
        <f>IF($B130="","",MAX($E130-$F130,0))</f>
      </c>
      <c r="H130" s="19">
        <f>IF($B130="","",IF($G130&lt;=0,"Pagado",IF($F130&gt;0,"Abono parcial","Pendiente")))</f>
      </c>
      <c r="I130" s="17">
        <f>IF(OR($B130="",$G130&lt;=0),"",TODAY()-$A130)</f>
      </c>
      <c r="J130" s="19">
        <f>IF($B130="","",IF($G130&lt;=0,"✅ Pagado",IF($I130&gt;30,"🔴 Cóbrale ya ("&amp;$I130&amp;" días)",IF($I130&gt;15,"🟠 Lleva "&amp;$I130&amp;" días","🟢 Reciente ("&amp;$I130&amp;" días)"))))</f>
      </c>
      <c r="K130" s="20"/>
    </row>
    <row r="131">
      <c r="A131" s="23"/>
      <c r="B131" s="20"/>
      <c r="C131" s="20"/>
      <c r="D131" s="20"/>
      <c r="E131" s="22"/>
      <c r="F131" s="16">
        <f>IF($B131="","",SUMIF('Abonos Préstamos'!$B:$B,$B131,'Abonos Préstamos'!$C:$C))</f>
      </c>
      <c r="G131" s="16">
        <f>IF($B131="","",MAX($E131-$F131,0))</f>
      </c>
      <c r="H131" s="19">
        <f>IF($B131="","",IF($G131&lt;=0,"Pagado",IF($F131&gt;0,"Abono parcial","Pendiente")))</f>
      </c>
      <c r="I131" s="17">
        <f>IF(OR($B131="",$G131&lt;=0),"",TODAY()-$A131)</f>
      </c>
      <c r="J131" s="19">
        <f>IF($B131="","",IF($G131&lt;=0,"✅ Pagado",IF($I131&gt;30,"🔴 Cóbrale ya ("&amp;$I131&amp;" días)",IF($I131&gt;15,"🟠 Lleva "&amp;$I131&amp;" días","🟢 Reciente ("&amp;$I131&amp;" días)"))))</f>
      </c>
      <c r="K131" s="20"/>
    </row>
    <row r="132">
      <c r="A132" s="23"/>
      <c r="B132" s="20"/>
      <c r="C132" s="20"/>
      <c r="D132" s="20"/>
      <c r="E132" s="22"/>
      <c r="F132" s="16">
        <f>IF($B132="","",SUMIF('Abonos Préstamos'!$B:$B,$B132,'Abonos Préstamos'!$C:$C))</f>
      </c>
      <c r="G132" s="16">
        <f>IF($B132="","",MAX($E132-$F132,0))</f>
      </c>
      <c r="H132" s="19">
        <f>IF($B132="","",IF($G132&lt;=0,"Pagado",IF($F132&gt;0,"Abono parcial","Pendiente")))</f>
      </c>
      <c r="I132" s="17">
        <f>IF(OR($B132="",$G132&lt;=0),"",TODAY()-$A132)</f>
      </c>
      <c r="J132" s="19">
        <f>IF($B132="","",IF($G132&lt;=0,"✅ Pagado",IF($I132&gt;30,"🔴 Cóbrale ya ("&amp;$I132&amp;" días)",IF($I132&gt;15,"🟠 Lleva "&amp;$I132&amp;" días","🟢 Reciente ("&amp;$I132&amp;" días)"))))</f>
      </c>
      <c r="K132" s="20"/>
    </row>
    <row r="133">
      <c r="A133" s="23"/>
      <c r="B133" s="20"/>
      <c r="C133" s="20"/>
      <c r="D133" s="20"/>
      <c r="E133" s="22"/>
      <c r="F133" s="16">
        <f>IF($B133="","",SUMIF('Abonos Préstamos'!$B:$B,$B133,'Abonos Préstamos'!$C:$C))</f>
      </c>
      <c r="G133" s="16">
        <f>IF($B133="","",MAX($E133-$F133,0))</f>
      </c>
      <c r="H133" s="19">
        <f>IF($B133="","",IF($G133&lt;=0,"Pagado",IF($F133&gt;0,"Abono parcial","Pendiente")))</f>
      </c>
      <c r="I133" s="17">
        <f>IF(OR($B133="",$G133&lt;=0),"",TODAY()-$A133)</f>
      </c>
      <c r="J133" s="19">
        <f>IF($B133="","",IF($G133&lt;=0,"✅ Pagado",IF($I133&gt;30,"🔴 Cóbrale ya ("&amp;$I133&amp;" días)",IF($I133&gt;15,"🟠 Lleva "&amp;$I133&amp;" días","🟢 Reciente ("&amp;$I133&amp;" días)"))))</f>
      </c>
      <c r="K133" s="20"/>
    </row>
    <row r="134">
      <c r="A134" s="23"/>
      <c r="B134" s="20"/>
      <c r="C134" s="20"/>
      <c r="D134" s="20"/>
      <c r="E134" s="22"/>
      <c r="F134" s="16">
        <f>IF($B134="","",SUMIF('Abonos Préstamos'!$B:$B,$B134,'Abonos Préstamos'!$C:$C))</f>
      </c>
      <c r="G134" s="16">
        <f>IF($B134="","",MAX($E134-$F134,0))</f>
      </c>
      <c r="H134" s="19">
        <f>IF($B134="","",IF($G134&lt;=0,"Pagado",IF($F134&gt;0,"Abono parcial","Pendiente")))</f>
      </c>
      <c r="I134" s="17">
        <f>IF(OR($B134="",$G134&lt;=0),"",TODAY()-$A134)</f>
      </c>
      <c r="J134" s="19">
        <f>IF($B134="","",IF($G134&lt;=0,"✅ Pagado",IF($I134&gt;30,"🔴 Cóbrale ya ("&amp;$I134&amp;" días)",IF($I134&gt;15,"🟠 Lleva "&amp;$I134&amp;" días","🟢 Reciente ("&amp;$I134&amp;" días)"))))</f>
      </c>
      <c r="K134" s="20"/>
    </row>
    <row r="135">
      <c r="A135" s="23"/>
      <c r="B135" s="20"/>
      <c r="C135" s="20"/>
      <c r="D135" s="20"/>
      <c r="E135" s="22"/>
      <c r="F135" s="16">
        <f>IF($B135="","",SUMIF('Abonos Préstamos'!$B:$B,$B135,'Abonos Préstamos'!$C:$C))</f>
      </c>
      <c r="G135" s="16">
        <f>IF($B135="","",MAX($E135-$F135,0))</f>
      </c>
      <c r="H135" s="19">
        <f>IF($B135="","",IF($G135&lt;=0,"Pagado",IF($F135&gt;0,"Abono parcial","Pendiente")))</f>
      </c>
      <c r="I135" s="17">
        <f>IF(OR($B135="",$G135&lt;=0),"",TODAY()-$A135)</f>
      </c>
      <c r="J135" s="19">
        <f>IF($B135="","",IF($G135&lt;=0,"✅ Pagado",IF($I135&gt;30,"🔴 Cóbrale ya ("&amp;$I135&amp;" días)",IF($I135&gt;15,"🟠 Lleva "&amp;$I135&amp;" días","🟢 Reciente ("&amp;$I135&amp;" días)"))))</f>
      </c>
      <c r="K135" s="20"/>
    </row>
    <row r="136">
      <c r="A136" s="23"/>
      <c r="B136" s="20"/>
      <c r="C136" s="20"/>
      <c r="D136" s="20"/>
      <c r="E136" s="22"/>
      <c r="F136" s="16">
        <f>IF($B136="","",SUMIF('Abonos Préstamos'!$B:$B,$B136,'Abonos Préstamos'!$C:$C))</f>
      </c>
      <c r="G136" s="16">
        <f>IF($B136="","",MAX($E136-$F136,0))</f>
      </c>
      <c r="H136" s="19">
        <f>IF($B136="","",IF($G136&lt;=0,"Pagado",IF($F136&gt;0,"Abono parcial","Pendiente")))</f>
      </c>
      <c r="I136" s="17">
        <f>IF(OR($B136="",$G136&lt;=0),"",TODAY()-$A136)</f>
      </c>
      <c r="J136" s="19">
        <f>IF($B136="","",IF($G136&lt;=0,"✅ Pagado",IF($I136&gt;30,"🔴 Cóbrale ya ("&amp;$I136&amp;" días)",IF($I136&gt;15,"🟠 Lleva "&amp;$I136&amp;" días","🟢 Reciente ("&amp;$I136&amp;" días)"))))</f>
      </c>
      <c r="K136" s="20"/>
    </row>
    <row r="137">
      <c r="A137" s="23"/>
      <c r="B137" s="20"/>
      <c r="C137" s="20"/>
      <c r="D137" s="20"/>
      <c r="E137" s="22"/>
      <c r="F137" s="16">
        <f>IF($B137="","",SUMIF('Abonos Préstamos'!$B:$B,$B137,'Abonos Préstamos'!$C:$C))</f>
      </c>
      <c r="G137" s="16">
        <f>IF($B137="","",MAX($E137-$F137,0))</f>
      </c>
      <c r="H137" s="19">
        <f>IF($B137="","",IF($G137&lt;=0,"Pagado",IF($F137&gt;0,"Abono parcial","Pendiente")))</f>
      </c>
      <c r="I137" s="17">
        <f>IF(OR($B137="",$G137&lt;=0),"",TODAY()-$A137)</f>
      </c>
      <c r="J137" s="19">
        <f>IF($B137="","",IF($G137&lt;=0,"✅ Pagado",IF($I137&gt;30,"🔴 Cóbrale ya ("&amp;$I137&amp;" días)",IF($I137&gt;15,"🟠 Lleva "&amp;$I137&amp;" días","🟢 Reciente ("&amp;$I137&amp;" días)"))))</f>
      </c>
      <c r="K137" s="20"/>
    </row>
    <row r="138">
      <c r="A138" s="23"/>
      <c r="B138" s="20"/>
      <c r="C138" s="20"/>
      <c r="D138" s="20"/>
      <c r="E138" s="22"/>
      <c r="F138" s="16">
        <f>IF($B138="","",SUMIF('Abonos Préstamos'!$B:$B,$B138,'Abonos Préstamos'!$C:$C))</f>
      </c>
      <c r="G138" s="16">
        <f>IF($B138="","",MAX($E138-$F138,0))</f>
      </c>
      <c r="H138" s="19">
        <f>IF($B138="","",IF($G138&lt;=0,"Pagado",IF($F138&gt;0,"Abono parcial","Pendiente")))</f>
      </c>
      <c r="I138" s="17">
        <f>IF(OR($B138="",$G138&lt;=0),"",TODAY()-$A138)</f>
      </c>
      <c r="J138" s="19">
        <f>IF($B138="","",IF($G138&lt;=0,"✅ Pagado",IF($I138&gt;30,"🔴 Cóbrale ya ("&amp;$I138&amp;" días)",IF($I138&gt;15,"🟠 Lleva "&amp;$I138&amp;" días","🟢 Reciente ("&amp;$I138&amp;" días)"))))</f>
      </c>
      <c r="K138" s="20"/>
    </row>
    <row r="139">
      <c r="A139" s="23"/>
      <c r="B139" s="20"/>
      <c r="C139" s="20"/>
      <c r="D139" s="20"/>
      <c r="E139" s="22"/>
      <c r="F139" s="16">
        <f>IF($B139="","",SUMIF('Abonos Préstamos'!$B:$B,$B139,'Abonos Préstamos'!$C:$C))</f>
      </c>
      <c r="G139" s="16">
        <f>IF($B139="","",MAX($E139-$F139,0))</f>
      </c>
      <c r="H139" s="19">
        <f>IF($B139="","",IF($G139&lt;=0,"Pagado",IF($F139&gt;0,"Abono parcial","Pendiente")))</f>
      </c>
      <c r="I139" s="17">
        <f>IF(OR($B139="",$G139&lt;=0),"",TODAY()-$A139)</f>
      </c>
      <c r="J139" s="19">
        <f>IF($B139="","",IF($G139&lt;=0,"✅ Pagado",IF($I139&gt;30,"🔴 Cóbrale ya ("&amp;$I139&amp;" días)",IF($I139&gt;15,"🟠 Lleva "&amp;$I139&amp;" días","🟢 Reciente ("&amp;$I139&amp;" días)"))))</f>
      </c>
      <c r="K139" s="20"/>
    </row>
    <row r="140">
      <c r="A140" s="23"/>
      <c r="B140" s="20"/>
      <c r="C140" s="20"/>
      <c r="D140" s="20"/>
      <c r="E140" s="22"/>
      <c r="F140" s="16">
        <f>IF($B140="","",SUMIF('Abonos Préstamos'!$B:$B,$B140,'Abonos Préstamos'!$C:$C))</f>
      </c>
      <c r="G140" s="16">
        <f>IF($B140="","",MAX($E140-$F140,0))</f>
      </c>
      <c r="H140" s="19">
        <f>IF($B140="","",IF($G140&lt;=0,"Pagado",IF($F140&gt;0,"Abono parcial","Pendiente")))</f>
      </c>
      <c r="I140" s="17">
        <f>IF(OR($B140="",$G140&lt;=0),"",TODAY()-$A140)</f>
      </c>
      <c r="J140" s="19">
        <f>IF($B140="","",IF($G140&lt;=0,"✅ Pagado",IF($I140&gt;30,"🔴 Cóbrale ya ("&amp;$I140&amp;" días)",IF($I140&gt;15,"🟠 Lleva "&amp;$I140&amp;" días","🟢 Reciente ("&amp;$I140&amp;" días)"))))</f>
      </c>
      <c r="K140" s="20"/>
    </row>
    <row r="141">
      <c r="A141" s="23"/>
      <c r="B141" s="20"/>
      <c r="C141" s="20"/>
      <c r="D141" s="20"/>
      <c r="E141" s="22"/>
      <c r="F141" s="16">
        <f>IF($B141="","",SUMIF('Abonos Préstamos'!$B:$B,$B141,'Abonos Préstamos'!$C:$C))</f>
      </c>
      <c r="G141" s="16">
        <f>IF($B141="","",MAX($E141-$F141,0))</f>
      </c>
      <c r="H141" s="19">
        <f>IF($B141="","",IF($G141&lt;=0,"Pagado",IF($F141&gt;0,"Abono parcial","Pendiente")))</f>
      </c>
      <c r="I141" s="17">
        <f>IF(OR($B141="",$G141&lt;=0),"",TODAY()-$A141)</f>
      </c>
      <c r="J141" s="19">
        <f>IF($B141="","",IF($G141&lt;=0,"✅ Pagado",IF($I141&gt;30,"🔴 Cóbrale ya ("&amp;$I141&amp;" días)",IF($I141&gt;15,"🟠 Lleva "&amp;$I141&amp;" días","🟢 Reciente ("&amp;$I141&amp;" días)"))))</f>
      </c>
      <c r="K141" s="20"/>
    </row>
    <row r="142">
      <c r="A142" s="23"/>
      <c r="B142" s="20"/>
      <c r="C142" s="20"/>
      <c r="D142" s="20"/>
      <c r="E142" s="22"/>
      <c r="F142" s="16">
        <f>IF($B142="","",SUMIF('Abonos Préstamos'!$B:$B,$B142,'Abonos Préstamos'!$C:$C))</f>
      </c>
      <c r="G142" s="16">
        <f>IF($B142="","",MAX($E142-$F142,0))</f>
      </c>
      <c r="H142" s="19">
        <f>IF($B142="","",IF($G142&lt;=0,"Pagado",IF($F142&gt;0,"Abono parcial","Pendiente")))</f>
      </c>
      <c r="I142" s="17">
        <f>IF(OR($B142="",$G142&lt;=0),"",TODAY()-$A142)</f>
      </c>
      <c r="J142" s="19">
        <f>IF($B142="","",IF($G142&lt;=0,"✅ Pagado",IF($I142&gt;30,"🔴 Cóbrale ya ("&amp;$I142&amp;" días)",IF($I142&gt;15,"🟠 Lleva "&amp;$I142&amp;" días","🟢 Reciente ("&amp;$I142&amp;" días)"))))</f>
      </c>
      <c r="K142" s="20"/>
    </row>
    <row r="143">
      <c r="A143" s="23"/>
      <c r="B143" s="20"/>
      <c r="C143" s="20"/>
      <c r="D143" s="20"/>
      <c r="E143" s="22"/>
      <c r="F143" s="16">
        <f>IF($B143="","",SUMIF('Abonos Préstamos'!$B:$B,$B143,'Abonos Préstamos'!$C:$C))</f>
      </c>
      <c r="G143" s="16">
        <f>IF($B143="","",MAX($E143-$F143,0))</f>
      </c>
      <c r="H143" s="19">
        <f>IF($B143="","",IF($G143&lt;=0,"Pagado",IF($F143&gt;0,"Abono parcial","Pendiente")))</f>
      </c>
      <c r="I143" s="17">
        <f>IF(OR($B143="",$G143&lt;=0),"",TODAY()-$A143)</f>
      </c>
      <c r="J143" s="19">
        <f>IF($B143="","",IF($G143&lt;=0,"✅ Pagado",IF($I143&gt;30,"🔴 Cóbrale ya ("&amp;$I143&amp;" días)",IF($I143&gt;15,"🟠 Lleva "&amp;$I143&amp;" días","🟢 Reciente ("&amp;$I143&amp;" días)"))))</f>
      </c>
      <c r="K143" s="20"/>
    </row>
    <row r="144">
      <c r="A144" s="23"/>
      <c r="B144" s="20"/>
      <c r="C144" s="20"/>
      <c r="D144" s="20"/>
      <c r="E144" s="22"/>
      <c r="F144" s="16">
        <f>IF($B144="","",SUMIF('Abonos Préstamos'!$B:$B,$B144,'Abonos Préstamos'!$C:$C))</f>
      </c>
      <c r="G144" s="16">
        <f>IF($B144="","",MAX($E144-$F144,0))</f>
      </c>
      <c r="H144" s="19">
        <f>IF($B144="","",IF($G144&lt;=0,"Pagado",IF($F144&gt;0,"Abono parcial","Pendiente")))</f>
      </c>
      <c r="I144" s="17">
        <f>IF(OR($B144="",$G144&lt;=0),"",TODAY()-$A144)</f>
      </c>
      <c r="J144" s="19">
        <f>IF($B144="","",IF($G144&lt;=0,"✅ Pagado",IF($I144&gt;30,"🔴 Cóbrale ya ("&amp;$I144&amp;" días)",IF($I144&gt;15,"🟠 Lleva "&amp;$I144&amp;" días","🟢 Reciente ("&amp;$I144&amp;" días)"))))</f>
      </c>
      <c r="K144" s="20"/>
    </row>
    <row r="145">
      <c r="A145" s="23"/>
      <c r="B145" s="20"/>
      <c r="C145" s="20"/>
      <c r="D145" s="20"/>
      <c r="E145" s="22"/>
      <c r="F145" s="16">
        <f>IF($B145="","",SUMIF('Abonos Préstamos'!$B:$B,$B145,'Abonos Préstamos'!$C:$C))</f>
      </c>
      <c r="G145" s="16">
        <f>IF($B145="","",MAX($E145-$F145,0))</f>
      </c>
      <c r="H145" s="19">
        <f>IF($B145="","",IF($G145&lt;=0,"Pagado",IF($F145&gt;0,"Abono parcial","Pendiente")))</f>
      </c>
      <c r="I145" s="17">
        <f>IF(OR($B145="",$G145&lt;=0),"",TODAY()-$A145)</f>
      </c>
      <c r="J145" s="19">
        <f>IF($B145="","",IF($G145&lt;=0,"✅ Pagado",IF($I145&gt;30,"🔴 Cóbrale ya ("&amp;$I145&amp;" días)",IF($I145&gt;15,"🟠 Lleva "&amp;$I145&amp;" días","🟢 Reciente ("&amp;$I145&amp;" días)"))))</f>
      </c>
      <c r="K145" s="20"/>
    </row>
    <row r="146">
      <c r="A146" s="23"/>
      <c r="B146" s="20"/>
      <c r="C146" s="20"/>
      <c r="D146" s="20"/>
      <c r="E146" s="22"/>
      <c r="F146" s="16">
        <f>IF($B146="","",SUMIF('Abonos Préstamos'!$B:$B,$B146,'Abonos Préstamos'!$C:$C))</f>
      </c>
      <c r="G146" s="16">
        <f>IF($B146="","",MAX($E146-$F146,0))</f>
      </c>
      <c r="H146" s="19">
        <f>IF($B146="","",IF($G146&lt;=0,"Pagado",IF($F146&gt;0,"Abono parcial","Pendiente")))</f>
      </c>
      <c r="I146" s="17">
        <f>IF(OR($B146="",$G146&lt;=0),"",TODAY()-$A146)</f>
      </c>
      <c r="J146" s="19">
        <f>IF($B146="","",IF($G146&lt;=0,"✅ Pagado",IF($I146&gt;30,"🔴 Cóbrale ya ("&amp;$I146&amp;" días)",IF($I146&gt;15,"🟠 Lleva "&amp;$I146&amp;" días","🟢 Reciente ("&amp;$I146&amp;" días)"))))</f>
      </c>
      <c r="K146" s="20"/>
    </row>
    <row r="147">
      <c r="A147" s="23"/>
      <c r="B147" s="20"/>
      <c r="C147" s="20"/>
      <c r="D147" s="20"/>
      <c r="E147" s="22"/>
      <c r="F147" s="16">
        <f>IF($B147="","",SUMIF('Abonos Préstamos'!$B:$B,$B147,'Abonos Préstamos'!$C:$C))</f>
      </c>
      <c r="G147" s="16">
        <f>IF($B147="","",MAX($E147-$F147,0))</f>
      </c>
      <c r="H147" s="19">
        <f>IF($B147="","",IF($G147&lt;=0,"Pagado",IF($F147&gt;0,"Abono parcial","Pendiente")))</f>
      </c>
      <c r="I147" s="17">
        <f>IF(OR($B147="",$G147&lt;=0),"",TODAY()-$A147)</f>
      </c>
      <c r="J147" s="19">
        <f>IF($B147="","",IF($G147&lt;=0,"✅ Pagado",IF($I147&gt;30,"🔴 Cóbrale ya ("&amp;$I147&amp;" días)",IF($I147&gt;15,"🟠 Lleva "&amp;$I147&amp;" días","🟢 Reciente ("&amp;$I147&amp;" días)"))))</f>
      </c>
      <c r="K147" s="20"/>
    </row>
    <row r="148">
      <c r="A148" s="23"/>
      <c r="B148" s="20"/>
      <c r="C148" s="20"/>
      <c r="D148" s="20"/>
      <c r="E148" s="22"/>
      <c r="F148" s="16">
        <f>IF($B148="","",SUMIF('Abonos Préstamos'!$B:$B,$B148,'Abonos Préstamos'!$C:$C))</f>
      </c>
      <c r="G148" s="16">
        <f>IF($B148="","",MAX($E148-$F148,0))</f>
      </c>
      <c r="H148" s="19">
        <f>IF($B148="","",IF($G148&lt;=0,"Pagado",IF($F148&gt;0,"Abono parcial","Pendiente")))</f>
      </c>
      <c r="I148" s="17">
        <f>IF(OR($B148="",$G148&lt;=0),"",TODAY()-$A148)</f>
      </c>
      <c r="J148" s="19">
        <f>IF($B148="","",IF($G148&lt;=0,"✅ Pagado",IF($I148&gt;30,"🔴 Cóbrale ya ("&amp;$I148&amp;" días)",IF($I148&gt;15,"🟠 Lleva "&amp;$I148&amp;" días","🟢 Reciente ("&amp;$I148&amp;" días)"))))</f>
      </c>
      <c r="K148" s="20"/>
    </row>
    <row r="149">
      <c r="A149" s="23"/>
      <c r="B149" s="20"/>
      <c r="C149" s="20"/>
      <c r="D149" s="20"/>
      <c r="E149" s="22"/>
      <c r="F149" s="16">
        <f>IF($B149="","",SUMIF('Abonos Préstamos'!$B:$B,$B149,'Abonos Préstamos'!$C:$C))</f>
      </c>
      <c r="G149" s="16">
        <f>IF($B149="","",MAX($E149-$F149,0))</f>
      </c>
      <c r="H149" s="19">
        <f>IF($B149="","",IF($G149&lt;=0,"Pagado",IF($F149&gt;0,"Abono parcial","Pendiente")))</f>
      </c>
      <c r="I149" s="17">
        <f>IF(OR($B149="",$G149&lt;=0),"",TODAY()-$A149)</f>
      </c>
      <c r="J149" s="19">
        <f>IF($B149="","",IF($G149&lt;=0,"✅ Pagado",IF($I149&gt;30,"🔴 Cóbrale ya ("&amp;$I149&amp;" días)",IF($I149&gt;15,"🟠 Lleva "&amp;$I149&amp;" días","🟢 Reciente ("&amp;$I149&amp;" días)"))))</f>
      </c>
      <c r="K149" s="20"/>
    </row>
    <row r="150">
      <c r="A150" s="23"/>
      <c r="B150" s="20"/>
      <c r="C150" s="20"/>
      <c r="D150" s="20"/>
      <c r="E150" s="22"/>
      <c r="F150" s="16">
        <f>IF($B150="","",SUMIF('Abonos Préstamos'!$B:$B,$B150,'Abonos Préstamos'!$C:$C))</f>
      </c>
      <c r="G150" s="16">
        <f>IF($B150="","",MAX($E150-$F150,0))</f>
      </c>
      <c r="H150" s="19">
        <f>IF($B150="","",IF($G150&lt;=0,"Pagado",IF($F150&gt;0,"Abono parcial","Pendiente")))</f>
      </c>
      <c r="I150" s="17">
        <f>IF(OR($B150="",$G150&lt;=0),"",TODAY()-$A150)</f>
      </c>
      <c r="J150" s="19">
        <f>IF($B150="","",IF($G150&lt;=0,"✅ Pagado",IF($I150&gt;30,"🔴 Cóbrale ya ("&amp;$I150&amp;" días)",IF($I150&gt;15,"🟠 Lleva "&amp;$I150&amp;" días","🟢 Reciente ("&amp;$I150&amp;" días)"))))</f>
      </c>
      <c r="K150" s="20"/>
    </row>
    <row r="151">
      <c r="A151" s="23"/>
      <c r="B151" s="20"/>
      <c r="C151" s="20"/>
      <c r="D151" s="20"/>
      <c r="E151" s="22"/>
      <c r="F151" s="16">
        <f>IF($B151="","",SUMIF('Abonos Préstamos'!$B:$B,$B151,'Abonos Préstamos'!$C:$C))</f>
      </c>
      <c r="G151" s="16">
        <f>IF($B151="","",MAX($E151-$F151,0))</f>
      </c>
      <c r="H151" s="19">
        <f>IF($B151="","",IF($G151&lt;=0,"Pagado",IF($F151&gt;0,"Abono parcial","Pendiente")))</f>
      </c>
      <c r="I151" s="17">
        <f>IF(OR($B151="",$G151&lt;=0),"",TODAY()-$A151)</f>
      </c>
      <c r="J151" s="19">
        <f>IF($B151="","",IF($G151&lt;=0,"✅ Pagado",IF($I151&gt;30,"🔴 Cóbrale ya ("&amp;$I151&amp;" días)",IF($I151&gt;15,"🟠 Lleva "&amp;$I151&amp;" días","🟢 Reciente ("&amp;$I151&amp;" días)"))))</f>
      </c>
      <c r="K151" s="20"/>
    </row>
    <row r="152">
      <c r="A152" s="23"/>
      <c r="B152" s="20"/>
      <c r="C152" s="20"/>
      <c r="D152" s="20"/>
      <c r="E152" s="22"/>
      <c r="F152" s="16">
        <f>IF($B152="","",SUMIF('Abonos Préstamos'!$B:$B,$B152,'Abonos Préstamos'!$C:$C))</f>
      </c>
      <c r="G152" s="16">
        <f>IF($B152="","",MAX($E152-$F152,0))</f>
      </c>
      <c r="H152" s="19">
        <f>IF($B152="","",IF($G152&lt;=0,"Pagado",IF($F152&gt;0,"Abono parcial","Pendiente")))</f>
      </c>
      <c r="I152" s="17">
        <f>IF(OR($B152="",$G152&lt;=0),"",TODAY()-$A152)</f>
      </c>
      <c r="J152" s="19">
        <f>IF($B152="","",IF($G152&lt;=0,"✅ Pagado",IF($I152&gt;30,"🔴 Cóbrale ya ("&amp;$I152&amp;" días)",IF($I152&gt;15,"🟠 Lleva "&amp;$I152&amp;" días","🟢 Reciente ("&amp;$I152&amp;" días)"))))</f>
      </c>
      <c r="K152" s="20"/>
    </row>
    <row r="153">
      <c r="A153" s="23"/>
      <c r="B153" s="20"/>
      <c r="C153" s="20"/>
      <c r="D153" s="20"/>
      <c r="E153" s="22"/>
      <c r="F153" s="16">
        <f>IF($B153="","",SUMIF('Abonos Préstamos'!$B:$B,$B153,'Abonos Préstamos'!$C:$C))</f>
      </c>
      <c r="G153" s="16">
        <f>IF($B153="","",MAX($E153-$F153,0))</f>
      </c>
      <c r="H153" s="19">
        <f>IF($B153="","",IF($G153&lt;=0,"Pagado",IF($F153&gt;0,"Abono parcial","Pendiente")))</f>
      </c>
      <c r="I153" s="17">
        <f>IF(OR($B153="",$G153&lt;=0),"",TODAY()-$A153)</f>
      </c>
      <c r="J153" s="19">
        <f>IF($B153="","",IF($G153&lt;=0,"✅ Pagado",IF($I153&gt;30,"🔴 Cóbrale ya ("&amp;$I153&amp;" días)",IF($I153&gt;15,"🟠 Lleva "&amp;$I153&amp;" días","🟢 Reciente ("&amp;$I153&amp;" días)"))))</f>
      </c>
      <c r="K153" s="20"/>
    </row>
    <row r="154">
      <c r="A154" s="23"/>
      <c r="B154" s="20"/>
      <c r="C154" s="20"/>
      <c r="D154" s="20"/>
      <c r="E154" s="22"/>
      <c r="F154" s="16">
        <f>IF($B154="","",SUMIF('Abonos Préstamos'!$B:$B,$B154,'Abonos Préstamos'!$C:$C))</f>
      </c>
      <c r="G154" s="16">
        <f>IF($B154="","",MAX($E154-$F154,0))</f>
      </c>
      <c r="H154" s="19">
        <f>IF($B154="","",IF($G154&lt;=0,"Pagado",IF($F154&gt;0,"Abono parcial","Pendiente")))</f>
      </c>
      <c r="I154" s="17">
        <f>IF(OR($B154="",$G154&lt;=0),"",TODAY()-$A154)</f>
      </c>
      <c r="J154" s="19">
        <f>IF($B154="","",IF($G154&lt;=0,"✅ Pagado",IF($I154&gt;30,"🔴 Cóbrale ya ("&amp;$I154&amp;" días)",IF($I154&gt;15,"🟠 Lleva "&amp;$I154&amp;" días","🟢 Reciente ("&amp;$I154&amp;" días)"))))</f>
      </c>
      <c r="K154" s="20"/>
    </row>
    <row r="155">
      <c r="A155" s="23"/>
      <c r="B155" s="20"/>
      <c r="C155" s="20"/>
      <c r="D155" s="20"/>
      <c r="E155" s="22"/>
      <c r="F155" s="16">
        <f>IF($B155="","",SUMIF('Abonos Préstamos'!$B:$B,$B155,'Abonos Préstamos'!$C:$C))</f>
      </c>
      <c r="G155" s="16">
        <f>IF($B155="","",MAX($E155-$F155,0))</f>
      </c>
      <c r="H155" s="19">
        <f>IF($B155="","",IF($G155&lt;=0,"Pagado",IF($F155&gt;0,"Abono parcial","Pendiente")))</f>
      </c>
      <c r="I155" s="17">
        <f>IF(OR($B155="",$G155&lt;=0),"",TODAY()-$A155)</f>
      </c>
      <c r="J155" s="19">
        <f>IF($B155="","",IF($G155&lt;=0,"✅ Pagado",IF($I155&gt;30,"🔴 Cóbrale ya ("&amp;$I155&amp;" días)",IF($I155&gt;15,"🟠 Lleva "&amp;$I155&amp;" días","🟢 Reciente ("&amp;$I155&amp;" días)"))))</f>
      </c>
      <c r="K155" s="20"/>
    </row>
    <row r="156">
      <c r="A156" s="23"/>
      <c r="B156" s="20"/>
      <c r="C156" s="20"/>
      <c r="D156" s="20"/>
      <c r="E156" s="22"/>
      <c r="F156" s="16">
        <f>IF($B156="","",SUMIF('Abonos Préstamos'!$B:$B,$B156,'Abonos Préstamos'!$C:$C))</f>
      </c>
      <c r="G156" s="16">
        <f>IF($B156="","",MAX($E156-$F156,0))</f>
      </c>
      <c r="H156" s="19">
        <f>IF($B156="","",IF($G156&lt;=0,"Pagado",IF($F156&gt;0,"Abono parcial","Pendiente")))</f>
      </c>
      <c r="I156" s="17">
        <f>IF(OR($B156="",$G156&lt;=0),"",TODAY()-$A156)</f>
      </c>
      <c r="J156" s="19">
        <f>IF($B156="","",IF($G156&lt;=0,"✅ Pagado",IF($I156&gt;30,"🔴 Cóbrale ya ("&amp;$I156&amp;" días)",IF($I156&gt;15,"🟠 Lleva "&amp;$I156&amp;" días","🟢 Reciente ("&amp;$I156&amp;" días)"))))</f>
      </c>
      <c r="K156" s="20"/>
    </row>
    <row r="157">
      <c r="A157" s="23"/>
      <c r="B157" s="20"/>
      <c r="C157" s="20"/>
      <c r="D157" s="20"/>
      <c r="E157" s="22"/>
      <c r="F157" s="16">
        <f>IF($B157="","",SUMIF('Abonos Préstamos'!$B:$B,$B157,'Abonos Préstamos'!$C:$C))</f>
      </c>
      <c r="G157" s="16">
        <f>IF($B157="","",MAX($E157-$F157,0))</f>
      </c>
      <c r="H157" s="19">
        <f>IF($B157="","",IF($G157&lt;=0,"Pagado",IF($F157&gt;0,"Abono parcial","Pendiente")))</f>
      </c>
      <c r="I157" s="17">
        <f>IF(OR($B157="",$G157&lt;=0),"",TODAY()-$A157)</f>
      </c>
      <c r="J157" s="19">
        <f>IF($B157="","",IF($G157&lt;=0,"✅ Pagado",IF($I157&gt;30,"🔴 Cóbrale ya ("&amp;$I157&amp;" días)",IF($I157&gt;15,"🟠 Lleva "&amp;$I157&amp;" días","🟢 Reciente ("&amp;$I157&amp;" días)"))))</f>
      </c>
      <c r="K157" s="20"/>
    </row>
    <row r="158">
      <c r="A158" s="23"/>
      <c r="B158" s="20"/>
      <c r="C158" s="20"/>
      <c r="D158" s="20"/>
      <c r="E158" s="22"/>
      <c r="F158" s="16">
        <f>IF($B158="","",SUMIF('Abonos Préstamos'!$B:$B,$B158,'Abonos Préstamos'!$C:$C))</f>
      </c>
      <c r="G158" s="16">
        <f>IF($B158="","",MAX($E158-$F158,0))</f>
      </c>
      <c r="H158" s="19">
        <f>IF($B158="","",IF($G158&lt;=0,"Pagado",IF($F158&gt;0,"Abono parcial","Pendiente")))</f>
      </c>
      <c r="I158" s="17">
        <f>IF(OR($B158="",$G158&lt;=0),"",TODAY()-$A158)</f>
      </c>
      <c r="J158" s="19">
        <f>IF($B158="","",IF($G158&lt;=0,"✅ Pagado",IF($I158&gt;30,"🔴 Cóbrale ya ("&amp;$I158&amp;" días)",IF($I158&gt;15,"🟠 Lleva "&amp;$I158&amp;" días","🟢 Reciente ("&amp;$I158&amp;" días)"))))</f>
      </c>
      <c r="K158" s="20"/>
    </row>
    <row r="159">
      <c r="A159" s="23"/>
      <c r="B159" s="20"/>
      <c r="C159" s="20"/>
      <c r="D159" s="20"/>
      <c r="E159" s="22"/>
      <c r="F159" s="16">
        <f>IF($B159="","",SUMIF('Abonos Préstamos'!$B:$B,$B159,'Abonos Préstamos'!$C:$C))</f>
      </c>
      <c r="G159" s="16">
        <f>IF($B159="","",MAX($E159-$F159,0))</f>
      </c>
      <c r="H159" s="19">
        <f>IF($B159="","",IF($G159&lt;=0,"Pagado",IF($F159&gt;0,"Abono parcial","Pendiente")))</f>
      </c>
      <c r="I159" s="17">
        <f>IF(OR($B159="",$G159&lt;=0),"",TODAY()-$A159)</f>
      </c>
      <c r="J159" s="19">
        <f>IF($B159="","",IF($G159&lt;=0,"✅ Pagado",IF($I159&gt;30,"🔴 Cóbrale ya ("&amp;$I159&amp;" días)",IF($I159&gt;15,"🟠 Lleva "&amp;$I159&amp;" días","🟢 Reciente ("&amp;$I159&amp;" días)"))))</f>
      </c>
      <c r="K159" s="20"/>
    </row>
    <row r="160">
      <c r="A160" s="23"/>
      <c r="B160" s="20"/>
      <c r="C160" s="20"/>
      <c r="D160" s="20"/>
      <c r="E160" s="22"/>
      <c r="F160" s="16">
        <f>IF($B160="","",SUMIF('Abonos Préstamos'!$B:$B,$B160,'Abonos Préstamos'!$C:$C))</f>
      </c>
      <c r="G160" s="16">
        <f>IF($B160="","",MAX($E160-$F160,0))</f>
      </c>
      <c r="H160" s="19">
        <f>IF($B160="","",IF($G160&lt;=0,"Pagado",IF($F160&gt;0,"Abono parcial","Pendiente")))</f>
      </c>
      <c r="I160" s="17">
        <f>IF(OR($B160="",$G160&lt;=0),"",TODAY()-$A160)</f>
      </c>
      <c r="J160" s="19">
        <f>IF($B160="","",IF($G160&lt;=0,"✅ Pagado",IF($I160&gt;30,"🔴 Cóbrale ya ("&amp;$I160&amp;" días)",IF($I160&gt;15,"🟠 Lleva "&amp;$I160&amp;" días","🟢 Reciente ("&amp;$I160&amp;" días)"))))</f>
      </c>
      <c r="K160" s="20"/>
    </row>
    <row r="161">
      <c r="A161" s="23"/>
      <c r="B161" s="20"/>
      <c r="C161" s="20"/>
      <c r="D161" s="20"/>
      <c r="E161" s="22"/>
      <c r="F161" s="16">
        <f>IF($B161="","",SUMIF('Abonos Préstamos'!$B:$B,$B161,'Abonos Préstamos'!$C:$C))</f>
      </c>
      <c r="G161" s="16">
        <f>IF($B161="","",MAX($E161-$F161,0))</f>
      </c>
      <c r="H161" s="19">
        <f>IF($B161="","",IF($G161&lt;=0,"Pagado",IF($F161&gt;0,"Abono parcial","Pendiente")))</f>
      </c>
      <c r="I161" s="17">
        <f>IF(OR($B161="",$G161&lt;=0),"",TODAY()-$A161)</f>
      </c>
      <c r="J161" s="19">
        <f>IF($B161="","",IF($G161&lt;=0,"✅ Pagado",IF($I161&gt;30,"🔴 Cóbrale ya ("&amp;$I161&amp;" días)",IF($I161&gt;15,"🟠 Lleva "&amp;$I161&amp;" días","🟢 Reciente ("&amp;$I161&amp;" días)"))))</f>
      </c>
      <c r="K161" s="20"/>
    </row>
    <row r="162">
      <c r="A162" s="23"/>
      <c r="B162" s="20"/>
      <c r="C162" s="20"/>
      <c r="D162" s="20"/>
      <c r="E162" s="22"/>
      <c r="F162" s="16">
        <f>IF($B162="","",SUMIF('Abonos Préstamos'!$B:$B,$B162,'Abonos Préstamos'!$C:$C))</f>
      </c>
      <c r="G162" s="16">
        <f>IF($B162="","",MAX($E162-$F162,0))</f>
      </c>
      <c r="H162" s="19">
        <f>IF($B162="","",IF($G162&lt;=0,"Pagado",IF($F162&gt;0,"Abono parcial","Pendiente")))</f>
      </c>
      <c r="I162" s="17">
        <f>IF(OR($B162="",$G162&lt;=0),"",TODAY()-$A162)</f>
      </c>
      <c r="J162" s="19">
        <f>IF($B162="","",IF($G162&lt;=0,"✅ Pagado",IF($I162&gt;30,"🔴 Cóbrale ya ("&amp;$I162&amp;" días)",IF($I162&gt;15,"🟠 Lleva "&amp;$I162&amp;" días","🟢 Reciente ("&amp;$I162&amp;" días)"))))</f>
      </c>
      <c r="K162" s="20"/>
    </row>
    <row r="163">
      <c r="A163" s="23"/>
      <c r="B163" s="20"/>
      <c r="C163" s="20"/>
      <c r="D163" s="20"/>
      <c r="E163" s="22"/>
      <c r="F163" s="16">
        <f>IF($B163="","",SUMIF('Abonos Préstamos'!$B:$B,$B163,'Abonos Préstamos'!$C:$C))</f>
      </c>
      <c r="G163" s="16">
        <f>IF($B163="","",MAX($E163-$F163,0))</f>
      </c>
      <c r="H163" s="19">
        <f>IF($B163="","",IF($G163&lt;=0,"Pagado",IF($F163&gt;0,"Abono parcial","Pendiente")))</f>
      </c>
      <c r="I163" s="17">
        <f>IF(OR($B163="",$G163&lt;=0),"",TODAY()-$A163)</f>
      </c>
      <c r="J163" s="19">
        <f>IF($B163="","",IF($G163&lt;=0,"✅ Pagado",IF($I163&gt;30,"🔴 Cóbrale ya ("&amp;$I163&amp;" días)",IF($I163&gt;15,"🟠 Lleva "&amp;$I163&amp;" días","🟢 Reciente ("&amp;$I163&amp;" días)"))))</f>
      </c>
      <c r="K163" s="20"/>
    </row>
    <row r="164">
      <c r="A164" s="23"/>
      <c r="B164" s="20"/>
      <c r="C164" s="20"/>
      <c r="D164" s="20"/>
      <c r="E164" s="22"/>
      <c r="F164" s="16">
        <f>IF($B164="","",SUMIF('Abonos Préstamos'!$B:$B,$B164,'Abonos Préstamos'!$C:$C))</f>
      </c>
      <c r="G164" s="16">
        <f>IF($B164="","",MAX($E164-$F164,0))</f>
      </c>
      <c r="H164" s="19">
        <f>IF($B164="","",IF($G164&lt;=0,"Pagado",IF($F164&gt;0,"Abono parcial","Pendiente")))</f>
      </c>
      <c r="I164" s="17">
        <f>IF(OR($B164="",$G164&lt;=0),"",TODAY()-$A164)</f>
      </c>
      <c r="J164" s="19">
        <f>IF($B164="","",IF($G164&lt;=0,"✅ Pagado",IF($I164&gt;30,"🔴 Cóbrale ya ("&amp;$I164&amp;" días)",IF($I164&gt;15,"🟠 Lleva "&amp;$I164&amp;" días","🟢 Reciente ("&amp;$I164&amp;" días)"))))</f>
      </c>
      <c r="K164" s="20"/>
    </row>
    <row r="165">
      <c r="A165" s="23"/>
      <c r="B165" s="20"/>
      <c r="C165" s="20"/>
      <c r="D165" s="20"/>
      <c r="E165" s="22"/>
      <c r="F165" s="16">
        <f>IF($B165="","",SUMIF('Abonos Préstamos'!$B:$B,$B165,'Abonos Préstamos'!$C:$C))</f>
      </c>
      <c r="G165" s="16">
        <f>IF($B165="","",MAX($E165-$F165,0))</f>
      </c>
      <c r="H165" s="19">
        <f>IF($B165="","",IF($G165&lt;=0,"Pagado",IF($F165&gt;0,"Abono parcial","Pendiente")))</f>
      </c>
      <c r="I165" s="17">
        <f>IF(OR($B165="",$G165&lt;=0),"",TODAY()-$A165)</f>
      </c>
      <c r="J165" s="19">
        <f>IF($B165="","",IF($G165&lt;=0,"✅ Pagado",IF($I165&gt;30,"🔴 Cóbrale ya ("&amp;$I165&amp;" días)",IF($I165&gt;15,"🟠 Lleva "&amp;$I165&amp;" días","🟢 Reciente ("&amp;$I165&amp;" días)"))))</f>
      </c>
      <c r="K165" s="20"/>
    </row>
    <row r="166">
      <c r="A166" s="23"/>
      <c r="B166" s="20"/>
      <c r="C166" s="20"/>
      <c r="D166" s="20"/>
      <c r="E166" s="22"/>
      <c r="F166" s="16">
        <f>IF($B166="","",SUMIF('Abonos Préstamos'!$B:$B,$B166,'Abonos Préstamos'!$C:$C))</f>
      </c>
      <c r="G166" s="16">
        <f>IF($B166="","",MAX($E166-$F166,0))</f>
      </c>
      <c r="H166" s="19">
        <f>IF($B166="","",IF($G166&lt;=0,"Pagado",IF($F166&gt;0,"Abono parcial","Pendiente")))</f>
      </c>
      <c r="I166" s="17">
        <f>IF(OR($B166="",$G166&lt;=0),"",TODAY()-$A166)</f>
      </c>
      <c r="J166" s="19">
        <f>IF($B166="","",IF($G166&lt;=0,"✅ Pagado",IF($I166&gt;30,"🔴 Cóbrale ya ("&amp;$I166&amp;" días)",IF($I166&gt;15,"🟠 Lleva "&amp;$I166&amp;" días","🟢 Reciente ("&amp;$I166&amp;" días)"))))</f>
      </c>
      <c r="K166" s="20"/>
    </row>
    <row r="167">
      <c r="A167" s="23"/>
      <c r="B167" s="20"/>
      <c r="C167" s="20"/>
      <c r="D167" s="20"/>
      <c r="E167" s="22"/>
      <c r="F167" s="16">
        <f>IF($B167="","",SUMIF('Abonos Préstamos'!$B:$B,$B167,'Abonos Préstamos'!$C:$C))</f>
      </c>
      <c r="G167" s="16">
        <f>IF($B167="","",MAX($E167-$F167,0))</f>
      </c>
      <c r="H167" s="19">
        <f>IF($B167="","",IF($G167&lt;=0,"Pagado",IF($F167&gt;0,"Abono parcial","Pendiente")))</f>
      </c>
      <c r="I167" s="17">
        <f>IF(OR($B167="",$G167&lt;=0),"",TODAY()-$A167)</f>
      </c>
      <c r="J167" s="19">
        <f>IF($B167="","",IF($G167&lt;=0,"✅ Pagado",IF($I167&gt;30,"🔴 Cóbrale ya ("&amp;$I167&amp;" días)",IF($I167&gt;15,"🟠 Lleva "&amp;$I167&amp;" días","🟢 Reciente ("&amp;$I167&amp;" días)"))))</f>
      </c>
      <c r="K167" s="20"/>
    </row>
    <row r="168">
      <c r="A168" s="23"/>
      <c r="B168" s="20"/>
      <c r="C168" s="20"/>
      <c r="D168" s="20"/>
      <c r="E168" s="22"/>
      <c r="F168" s="16">
        <f>IF($B168="","",SUMIF('Abonos Préstamos'!$B:$B,$B168,'Abonos Préstamos'!$C:$C))</f>
      </c>
      <c r="G168" s="16">
        <f>IF($B168="","",MAX($E168-$F168,0))</f>
      </c>
      <c r="H168" s="19">
        <f>IF($B168="","",IF($G168&lt;=0,"Pagado",IF($F168&gt;0,"Abono parcial","Pendiente")))</f>
      </c>
      <c r="I168" s="17">
        <f>IF(OR($B168="",$G168&lt;=0),"",TODAY()-$A168)</f>
      </c>
      <c r="J168" s="19">
        <f>IF($B168="","",IF($G168&lt;=0,"✅ Pagado",IF($I168&gt;30,"🔴 Cóbrale ya ("&amp;$I168&amp;" días)",IF($I168&gt;15,"🟠 Lleva "&amp;$I168&amp;" días","🟢 Reciente ("&amp;$I168&amp;" días)"))))</f>
      </c>
      <c r="K168" s="20"/>
    </row>
    <row r="169">
      <c r="A169" s="23"/>
      <c r="B169" s="20"/>
      <c r="C169" s="20"/>
      <c r="D169" s="20"/>
      <c r="E169" s="22"/>
      <c r="F169" s="16">
        <f>IF($B169="","",SUMIF('Abonos Préstamos'!$B:$B,$B169,'Abonos Préstamos'!$C:$C))</f>
      </c>
      <c r="G169" s="16">
        <f>IF($B169="","",MAX($E169-$F169,0))</f>
      </c>
      <c r="H169" s="19">
        <f>IF($B169="","",IF($G169&lt;=0,"Pagado",IF($F169&gt;0,"Abono parcial","Pendiente")))</f>
      </c>
      <c r="I169" s="17">
        <f>IF(OR($B169="",$G169&lt;=0),"",TODAY()-$A169)</f>
      </c>
      <c r="J169" s="19">
        <f>IF($B169="","",IF($G169&lt;=0,"✅ Pagado",IF($I169&gt;30,"🔴 Cóbrale ya ("&amp;$I169&amp;" días)",IF($I169&gt;15,"🟠 Lleva "&amp;$I169&amp;" días","🟢 Reciente ("&amp;$I169&amp;" días)"))))</f>
      </c>
      <c r="K169" s="20"/>
    </row>
    <row r="170">
      <c r="A170" s="23"/>
      <c r="B170" s="20"/>
      <c r="C170" s="20"/>
      <c r="D170" s="20"/>
      <c r="E170" s="22"/>
      <c r="F170" s="16">
        <f>IF($B170="","",SUMIF('Abonos Préstamos'!$B:$B,$B170,'Abonos Préstamos'!$C:$C))</f>
      </c>
      <c r="G170" s="16">
        <f>IF($B170="","",MAX($E170-$F170,0))</f>
      </c>
      <c r="H170" s="19">
        <f>IF($B170="","",IF($G170&lt;=0,"Pagado",IF($F170&gt;0,"Abono parcial","Pendiente")))</f>
      </c>
      <c r="I170" s="17">
        <f>IF(OR($B170="",$G170&lt;=0),"",TODAY()-$A170)</f>
      </c>
      <c r="J170" s="19">
        <f>IF($B170="","",IF($G170&lt;=0,"✅ Pagado",IF($I170&gt;30,"🔴 Cóbrale ya ("&amp;$I170&amp;" días)",IF($I170&gt;15,"🟠 Lleva "&amp;$I170&amp;" días","🟢 Reciente ("&amp;$I170&amp;" días)"))))</f>
      </c>
      <c r="K170" s="20"/>
    </row>
    <row r="171">
      <c r="A171" s="23"/>
      <c r="B171" s="20"/>
      <c r="C171" s="20"/>
      <c r="D171" s="20"/>
      <c r="E171" s="22"/>
      <c r="F171" s="16">
        <f>IF($B171="","",SUMIF('Abonos Préstamos'!$B:$B,$B171,'Abonos Préstamos'!$C:$C))</f>
      </c>
      <c r="G171" s="16">
        <f>IF($B171="","",MAX($E171-$F171,0))</f>
      </c>
      <c r="H171" s="19">
        <f>IF($B171="","",IF($G171&lt;=0,"Pagado",IF($F171&gt;0,"Abono parcial","Pendiente")))</f>
      </c>
      <c r="I171" s="17">
        <f>IF(OR($B171="",$G171&lt;=0),"",TODAY()-$A171)</f>
      </c>
      <c r="J171" s="19">
        <f>IF($B171="","",IF($G171&lt;=0,"✅ Pagado",IF($I171&gt;30,"🔴 Cóbrale ya ("&amp;$I171&amp;" días)",IF($I171&gt;15,"🟠 Lleva "&amp;$I171&amp;" días","🟢 Reciente ("&amp;$I171&amp;" días)"))))</f>
      </c>
      <c r="K171" s="20"/>
    </row>
    <row r="172">
      <c r="A172" s="23"/>
      <c r="B172" s="20"/>
      <c r="C172" s="20"/>
      <c r="D172" s="20"/>
      <c r="E172" s="22"/>
      <c r="F172" s="16">
        <f>IF($B172="","",SUMIF('Abonos Préstamos'!$B:$B,$B172,'Abonos Préstamos'!$C:$C))</f>
      </c>
      <c r="G172" s="16">
        <f>IF($B172="","",MAX($E172-$F172,0))</f>
      </c>
      <c r="H172" s="19">
        <f>IF($B172="","",IF($G172&lt;=0,"Pagado",IF($F172&gt;0,"Abono parcial","Pendiente")))</f>
      </c>
      <c r="I172" s="17">
        <f>IF(OR($B172="",$G172&lt;=0),"",TODAY()-$A172)</f>
      </c>
      <c r="J172" s="19">
        <f>IF($B172="","",IF($G172&lt;=0,"✅ Pagado",IF($I172&gt;30,"🔴 Cóbrale ya ("&amp;$I172&amp;" días)",IF($I172&gt;15,"🟠 Lleva "&amp;$I172&amp;" días","🟢 Reciente ("&amp;$I172&amp;" días)"))))</f>
      </c>
      <c r="K172" s="20"/>
    </row>
    <row r="173">
      <c r="A173" s="23"/>
      <c r="B173" s="20"/>
      <c r="C173" s="20"/>
      <c r="D173" s="20"/>
      <c r="E173" s="22"/>
      <c r="F173" s="16">
        <f>IF($B173="","",SUMIF('Abonos Préstamos'!$B:$B,$B173,'Abonos Préstamos'!$C:$C))</f>
      </c>
      <c r="G173" s="16">
        <f>IF($B173="","",MAX($E173-$F173,0))</f>
      </c>
      <c r="H173" s="19">
        <f>IF($B173="","",IF($G173&lt;=0,"Pagado",IF($F173&gt;0,"Abono parcial","Pendiente")))</f>
      </c>
      <c r="I173" s="17">
        <f>IF(OR($B173="",$G173&lt;=0),"",TODAY()-$A173)</f>
      </c>
      <c r="J173" s="19">
        <f>IF($B173="","",IF($G173&lt;=0,"✅ Pagado",IF($I173&gt;30,"🔴 Cóbrale ya ("&amp;$I173&amp;" días)",IF($I173&gt;15,"🟠 Lleva "&amp;$I173&amp;" días","🟢 Reciente ("&amp;$I173&amp;" días)"))))</f>
      </c>
      <c r="K173" s="20"/>
    </row>
    <row r="174">
      <c r="A174" s="23"/>
      <c r="B174" s="20"/>
      <c r="C174" s="20"/>
      <c r="D174" s="20"/>
      <c r="E174" s="22"/>
      <c r="F174" s="16">
        <f>IF($B174="","",SUMIF('Abonos Préstamos'!$B:$B,$B174,'Abonos Préstamos'!$C:$C))</f>
      </c>
      <c r="G174" s="16">
        <f>IF($B174="","",MAX($E174-$F174,0))</f>
      </c>
      <c r="H174" s="19">
        <f>IF($B174="","",IF($G174&lt;=0,"Pagado",IF($F174&gt;0,"Abono parcial","Pendiente")))</f>
      </c>
      <c r="I174" s="17">
        <f>IF(OR($B174="",$G174&lt;=0),"",TODAY()-$A174)</f>
      </c>
      <c r="J174" s="19">
        <f>IF($B174="","",IF($G174&lt;=0,"✅ Pagado",IF($I174&gt;30,"🔴 Cóbrale ya ("&amp;$I174&amp;" días)",IF($I174&gt;15,"🟠 Lleva "&amp;$I174&amp;" días","🟢 Reciente ("&amp;$I174&amp;" días)"))))</f>
      </c>
      <c r="K174" s="20"/>
    </row>
    <row r="175">
      <c r="A175" s="23"/>
      <c r="B175" s="20"/>
      <c r="C175" s="20"/>
      <c r="D175" s="20"/>
      <c r="E175" s="22"/>
      <c r="F175" s="16">
        <f>IF($B175="","",SUMIF('Abonos Préstamos'!$B:$B,$B175,'Abonos Préstamos'!$C:$C))</f>
      </c>
      <c r="G175" s="16">
        <f>IF($B175="","",MAX($E175-$F175,0))</f>
      </c>
      <c r="H175" s="19">
        <f>IF($B175="","",IF($G175&lt;=0,"Pagado",IF($F175&gt;0,"Abono parcial","Pendiente")))</f>
      </c>
      <c r="I175" s="17">
        <f>IF(OR($B175="",$G175&lt;=0),"",TODAY()-$A175)</f>
      </c>
      <c r="J175" s="19">
        <f>IF($B175="","",IF($G175&lt;=0,"✅ Pagado",IF($I175&gt;30,"🔴 Cóbrale ya ("&amp;$I175&amp;" días)",IF($I175&gt;15,"🟠 Lleva "&amp;$I175&amp;" días","🟢 Reciente ("&amp;$I175&amp;" días)"))))</f>
      </c>
      <c r="K175" s="20"/>
    </row>
    <row r="176">
      <c r="A176" s="23"/>
      <c r="B176" s="20"/>
      <c r="C176" s="20"/>
      <c r="D176" s="20"/>
      <c r="E176" s="22"/>
      <c r="F176" s="16">
        <f>IF($B176="","",SUMIF('Abonos Préstamos'!$B:$B,$B176,'Abonos Préstamos'!$C:$C))</f>
      </c>
      <c r="G176" s="16">
        <f>IF($B176="","",MAX($E176-$F176,0))</f>
      </c>
      <c r="H176" s="19">
        <f>IF($B176="","",IF($G176&lt;=0,"Pagado",IF($F176&gt;0,"Abono parcial","Pendiente")))</f>
      </c>
      <c r="I176" s="17">
        <f>IF(OR($B176="",$G176&lt;=0),"",TODAY()-$A176)</f>
      </c>
      <c r="J176" s="19">
        <f>IF($B176="","",IF($G176&lt;=0,"✅ Pagado",IF($I176&gt;30,"🔴 Cóbrale ya ("&amp;$I176&amp;" días)",IF($I176&gt;15,"🟠 Lleva "&amp;$I176&amp;" días","🟢 Reciente ("&amp;$I176&amp;" días)"))))</f>
      </c>
      <c r="K176" s="20"/>
    </row>
    <row r="177">
      <c r="A177" s="23"/>
      <c r="B177" s="20"/>
      <c r="C177" s="20"/>
      <c r="D177" s="20"/>
      <c r="E177" s="22"/>
      <c r="F177" s="16">
        <f>IF($B177="","",SUMIF('Abonos Préstamos'!$B:$B,$B177,'Abonos Préstamos'!$C:$C))</f>
      </c>
      <c r="G177" s="16">
        <f>IF($B177="","",MAX($E177-$F177,0))</f>
      </c>
      <c r="H177" s="19">
        <f>IF($B177="","",IF($G177&lt;=0,"Pagado",IF($F177&gt;0,"Abono parcial","Pendiente")))</f>
      </c>
      <c r="I177" s="17">
        <f>IF(OR($B177="",$G177&lt;=0),"",TODAY()-$A177)</f>
      </c>
      <c r="J177" s="19">
        <f>IF($B177="","",IF($G177&lt;=0,"✅ Pagado",IF($I177&gt;30,"🔴 Cóbrale ya ("&amp;$I177&amp;" días)",IF($I177&gt;15,"🟠 Lleva "&amp;$I177&amp;" días","🟢 Reciente ("&amp;$I177&amp;" días)"))))</f>
      </c>
      <c r="K177" s="20"/>
    </row>
    <row r="178">
      <c r="A178" s="23"/>
      <c r="B178" s="20"/>
      <c r="C178" s="20"/>
      <c r="D178" s="20"/>
      <c r="E178" s="22"/>
      <c r="F178" s="16">
        <f>IF($B178="","",SUMIF('Abonos Préstamos'!$B:$B,$B178,'Abonos Préstamos'!$C:$C))</f>
      </c>
      <c r="G178" s="16">
        <f>IF($B178="","",MAX($E178-$F178,0))</f>
      </c>
      <c r="H178" s="19">
        <f>IF($B178="","",IF($G178&lt;=0,"Pagado",IF($F178&gt;0,"Abono parcial","Pendiente")))</f>
      </c>
      <c r="I178" s="17">
        <f>IF(OR($B178="",$G178&lt;=0),"",TODAY()-$A178)</f>
      </c>
      <c r="J178" s="19">
        <f>IF($B178="","",IF($G178&lt;=0,"✅ Pagado",IF($I178&gt;30,"🔴 Cóbrale ya ("&amp;$I178&amp;" días)",IF($I178&gt;15,"🟠 Lleva "&amp;$I178&amp;" días","🟢 Reciente ("&amp;$I178&amp;" días)"))))</f>
      </c>
      <c r="K178" s="20"/>
    </row>
    <row r="179">
      <c r="A179" s="23"/>
      <c r="B179" s="20"/>
      <c r="C179" s="20"/>
      <c r="D179" s="20"/>
      <c r="E179" s="22"/>
      <c r="F179" s="16">
        <f>IF($B179="","",SUMIF('Abonos Préstamos'!$B:$B,$B179,'Abonos Préstamos'!$C:$C))</f>
      </c>
      <c r="G179" s="16">
        <f>IF($B179="","",MAX($E179-$F179,0))</f>
      </c>
      <c r="H179" s="19">
        <f>IF($B179="","",IF($G179&lt;=0,"Pagado",IF($F179&gt;0,"Abono parcial","Pendiente")))</f>
      </c>
      <c r="I179" s="17">
        <f>IF(OR($B179="",$G179&lt;=0),"",TODAY()-$A179)</f>
      </c>
      <c r="J179" s="19">
        <f>IF($B179="","",IF($G179&lt;=0,"✅ Pagado",IF($I179&gt;30,"🔴 Cóbrale ya ("&amp;$I179&amp;" días)",IF($I179&gt;15,"🟠 Lleva "&amp;$I179&amp;" días","🟢 Reciente ("&amp;$I179&amp;" días)"))))</f>
      </c>
      <c r="K179" s="20"/>
    </row>
    <row r="180">
      <c r="A180" s="23"/>
      <c r="B180" s="20"/>
      <c r="C180" s="20"/>
      <c r="D180" s="20"/>
      <c r="E180" s="22"/>
      <c r="F180" s="16">
        <f>IF($B180="","",SUMIF('Abonos Préstamos'!$B:$B,$B180,'Abonos Préstamos'!$C:$C))</f>
      </c>
      <c r="G180" s="16">
        <f>IF($B180="","",MAX($E180-$F180,0))</f>
      </c>
      <c r="H180" s="19">
        <f>IF($B180="","",IF($G180&lt;=0,"Pagado",IF($F180&gt;0,"Abono parcial","Pendiente")))</f>
      </c>
      <c r="I180" s="17">
        <f>IF(OR($B180="",$G180&lt;=0),"",TODAY()-$A180)</f>
      </c>
      <c r="J180" s="19">
        <f>IF($B180="","",IF($G180&lt;=0,"✅ Pagado",IF($I180&gt;30,"🔴 Cóbrale ya ("&amp;$I180&amp;" días)",IF($I180&gt;15,"🟠 Lleva "&amp;$I180&amp;" días","🟢 Reciente ("&amp;$I180&amp;" días)"))))</f>
      </c>
      <c r="K180" s="20"/>
    </row>
    <row r="181">
      <c r="A181" s="23"/>
      <c r="B181" s="20"/>
      <c r="C181" s="20"/>
      <c r="D181" s="20"/>
      <c r="E181" s="22"/>
      <c r="F181" s="16">
        <f>IF($B181="","",SUMIF('Abonos Préstamos'!$B:$B,$B181,'Abonos Préstamos'!$C:$C))</f>
      </c>
      <c r="G181" s="16">
        <f>IF($B181="","",MAX($E181-$F181,0))</f>
      </c>
      <c r="H181" s="19">
        <f>IF($B181="","",IF($G181&lt;=0,"Pagado",IF($F181&gt;0,"Abono parcial","Pendiente")))</f>
      </c>
      <c r="I181" s="17">
        <f>IF(OR($B181="",$G181&lt;=0),"",TODAY()-$A181)</f>
      </c>
      <c r="J181" s="19">
        <f>IF($B181="","",IF($G181&lt;=0,"✅ Pagado",IF($I181&gt;30,"🔴 Cóbrale ya ("&amp;$I181&amp;" días)",IF($I181&gt;15,"🟠 Lleva "&amp;$I181&amp;" días","🟢 Reciente ("&amp;$I181&amp;" días)"))))</f>
      </c>
      <c r="K181" s="20"/>
    </row>
    <row r="182">
      <c r="A182" s="23"/>
      <c r="B182" s="20"/>
      <c r="C182" s="20"/>
      <c r="D182" s="20"/>
      <c r="E182" s="22"/>
      <c r="F182" s="16">
        <f>IF($B182="","",SUMIF('Abonos Préstamos'!$B:$B,$B182,'Abonos Préstamos'!$C:$C))</f>
      </c>
      <c r="G182" s="16">
        <f>IF($B182="","",MAX($E182-$F182,0))</f>
      </c>
      <c r="H182" s="19">
        <f>IF($B182="","",IF($G182&lt;=0,"Pagado",IF($F182&gt;0,"Abono parcial","Pendiente")))</f>
      </c>
      <c r="I182" s="17">
        <f>IF(OR($B182="",$G182&lt;=0),"",TODAY()-$A182)</f>
      </c>
      <c r="J182" s="19">
        <f>IF($B182="","",IF($G182&lt;=0,"✅ Pagado",IF($I182&gt;30,"🔴 Cóbrale ya ("&amp;$I182&amp;" días)",IF($I182&gt;15,"🟠 Lleva "&amp;$I182&amp;" días","🟢 Reciente ("&amp;$I182&amp;" días)"))))</f>
      </c>
      <c r="K182" s="20"/>
    </row>
    <row r="183">
      <c r="A183" s="23"/>
      <c r="B183" s="20"/>
      <c r="C183" s="20"/>
      <c r="D183" s="20"/>
      <c r="E183" s="22"/>
      <c r="F183" s="16">
        <f>IF($B183="","",SUMIF('Abonos Préstamos'!$B:$B,$B183,'Abonos Préstamos'!$C:$C))</f>
      </c>
      <c r="G183" s="16">
        <f>IF($B183="","",MAX($E183-$F183,0))</f>
      </c>
      <c r="H183" s="19">
        <f>IF($B183="","",IF($G183&lt;=0,"Pagado",IF($F183&gt;0,"Abono parcial","Pendiente")))</f>
      </c>
      <c r="I183" s="17">
        <f>IF(OR($B183="",$G183&lt;=0),"",TODAY()-$A183)</f>
      </c>
      <c r="J183" s="19">
        <f>IF($B183="","",IF($G183&lt;=0,"✅ Pagado",IF($I183&gt;30,"🔴 Cóbrale ya ("&amp;$I183&amp;" días)",IF($I183&gt;15,"🟠 Lleva "&amp;$I183&amp;" días","🟢 Reciente ("&amp;$I183&amp;" días)"))))</f>
      </c>
      <c r="K183" s="20"/>
    </row>
    <row r="184">
      <c r="A184" s="23"/>
      <c r="B184" s="20"/>
      <c r="C184" s="20"/>
      <c r="D184" s="20"/>
      <c r="E184" s="22"/>
      <c r="F184" s="16">
        <f>IF($B184="","",SUMIF('Abonos Préstamos'!$B:$B,$B184,'Abonos Préstamos'!$C:$C))</f>
      </c>
      <c r="G184" s="16">
        <f>IF($B184="","",MAX($E184-$F184,0))</f>
      </c>
      <c r="H184" s="19">
        <f>IF($B184="","",IF($G184&lt;=0,"Pagado",IF($F184&gt;0,"Abono parcial","Pendiente")))</f>
      </c>
      <c r="I184" s="17">
        <f>IF(OR($B184="",$G184&lt;=0),"",TODAY()-$A184)</f>
      </c>
      <c r="J184" s="19">
        <f>IF($B184="","",IF($G184&lt;=0,"✅ Pagado",IF($I184&gt;30,"🔴 Cóbrale ya ("&amp;$I184&amp;" días)",IF($I184&gt;15,"🟠 Lleva "&amp;$I184&amp;" días","🟢 Reciente ("&amp;$I184&amp;" días)"))))</f>
      </c>
      <c r="K184" s="20"/>
    </row>
    <row r="185">
      <c r="A185" s="23"/>
      <c r="B185" s="20"/>
      <c r="C185" s="20"/>
      <c r="D185" s="20"/>
      <c r="E185" s="22"/>
      <c r="F185" s="16">
        <f>IF($B185="","",SUMIF('Abonos Préstamos'!$B:$B,$B185,'Abonos Préstamos'!$C:$C))</f>
      </c>
      <c r="G185" s="16">
        <f>IF($B185="","",MAX($E185-$F185,0))</f>
      </c>
      <c r="H185" s="19">
        <f>IF($B185="","",IF($G185&lt;=0,"Pagado",IF($F185&gt;0,"Abono parcial","Pendiente")))</f>
      </c>
      <c r="I185" s="17">
        <f>IF(OR($B185="",$G185&lt;=0),"",TODAY()-$A185)</f>
      </c>
      <c r="J185" s="19">
        <f>IF($B185="","",IF($G185&lt;=0,"✅ Pagado",IF($I185&gt;30,"🔴 Cóbrale ya ("&amp;$I185&amp;" días)",IF($I185&gt;15,"🟠 Lleva "&amp;$I185&amp;" días","🟢 Reciente ("&amp;$I185&amp;" días)"))))</f>
      </c>
      <c r="K185" s="20"/>
    </row>
    <row r="186">
      <c r="A186" s="23"/>
      <c r="B186" s="20"/>
      <c r="C186" s="20"/>
      <c r="D186" s="20"/>
      <c r="E186" s="22"/>
      <c r="F186" s="16">
        <f>IF($B186="","",SUMIF('Abonos Préstamos'!$B:$B,$B186,'Abonos Préstamos'!$C:$C))</f>
      </c>
      <c r="G186" s="16">
        <f>IF($B186="","",MAX($E186-$F186,0))</f>
      </c>
      <c r="H186" s="19">
        <f>IF($B186="","",IF($G186&lt;=0,"Pagado",IF($F186&gt;0,"Abono parcial","Pendiente")))</f>
      </c>
      <c r="I186" s="17">
        <f>IF(OR($B186="",$G186&lt;=0),"",TODAY()-$A186)</f>
      </c>
      <c r="J186" s="19">
        <f>IF($B186="","",IF($G186&lt;=0,"✅ Pagado",IF($I186&gt;30,"🔴 Cóbrale ya ("&amp;$I186&amp;" días)",IF($I186&gt;15,"🟠 Lleva "&amp;$I186&amp;" días","🟢 Reciente ("&amp;$I186&amp;" días)"))))</f>
      </c>
      <c r="K186" s="20"/>
    </row>
    <row r="187">
      <c r="A187" s="23"/>
      <c r="B187" s="20"/>
      <c r="C187" s="20"/>
      <c r="D187" s="20"/>
      <c r="E187" s="22"/>
      <c r="F187" s="16">
        <f>IF($B187="","",SUMIF('Abonos Préstamos'!$B:$B,$B187,'Abonos Préstamos'!$C:$C))</f>
      </c>
      <c r="G187" s="16">
        <f>IF($B187="","",MAX($E187-$F187,0))</f>
      </c>
      <c r="H187" s="19">
        <f>IF($B187="","",IF($G187&lt;=0,"Pagado",IF($F187&gt;0,"Abono parcial","Pendiente")))</f>
      </c>
      <c r="I187" s="17">
        <f>IF(OR($B187="",$G187&lt;=0),"",TODAY()-$A187)</f>
      </c>
      <c r="J187" s="19">
        <f>IF($B187="","",IF($G187&lt;=0,"✅ Pagado",IF($I187&gt;30,"🔴 Cóbrale ya ("&amp;$I187&amp;" días)",IF($I187&gt;15,"🟠 Lleva "&amp;$I187&amp;" días","🟢 Reciente ("&amp;$I187&amp;" días)"))))</f>
      </c>
      <c r="K187" s="20"/>
    </row>
    <row r="188">
      <c r="A188" s="23"/>
      <c r="B188" s="20"/>
      <c r="C188" s="20"/>
      <c r="D188" s="20"/>
      <c r="E188" s="22"/>
      <c r="F188" s="16">
        <f>IF($B188="","",SUMIF('Abonos Préstamos'!$B:$B,$B188,'Abonos Préstamos'!$C:$C))</f>
      </c>
      <c r="G188" s="16">
        <f>IF($B188="","",MAX($E188-$F188,0))</f>
      </c>
      <c r="H188" s="19">
        <f>IF($B188="","",IF($G188&lt;=0,"Pagado",IF($F188&gt;0,"Abono parcial","Pendiente")))</f>
      </c>
      <c r="I188" s="17">
        <f>IF(OR($B188="",$G188&lt;=0),"",TODAY()-$A188)</f>
      </c>
      <c r="J188" s="19">
        <f>IF($B188="","",IF($G188&lt;=0,"✅ Pagado",IF($I188&gt;30,"🔴 Cóbrale ya ("&amp;$I188&amp;" días)",IF($I188&gt;15,"🟠 Lleva "&amp;$I188&amp;" días","🟢 Reciente ("&amp;$I188&amp;" días)"))))</f>
      </c>
      <c r="K188" s="20"/>
    </row>
    <row r="189">
      <c r="A189" s="23"/>
      <c r="B189" s="20"/>
      <c r="C189" s="20"/>
      <c r="D189" s="20"/>
      <c r="E189" s="22"/>
      <c r="F189" s="16">
        <f>IF($B189="","",SUMIF('Abonos Préstamos'!$B:$B,$B189,'Abonos Préstamos'!$C:$C))</f>
      </c>
      <c r="G189" s="16">
        <f>IF($B189="","",MAX($E189-$F189,0))</f>
      </c>
      <c r="H189" s="19">
        <f>IF($B189="","",IF($G189&lt;=0,"Pagado",IF($F189&gt;0,"Abono parcial","Pendiente")))</f>
      </c>
      <c r="I189" s="17">
        <f>IF(OR($B189="",$G189&lt;=0),"",TODAY()-$A189)</f>
      </c>
      <c r="J189" s="19">
        <f>IF($B189="","",IF($G189&lt;=0,"✅ Pagado",IF($I189&gt;30,"🔴 Cóbrale ya ("&amp;$I189&amp;" días)",IF($I189&gt;15,"🟠 Lleva "&amp;$I189&amp;" días","🟢 Reciente ("&amp;$I189&amp;" días)"))))</f>
      </c>
      <c r="K189" s="20"/>
    </row>
    <row r="190">
      <c r="A190" s="23"/>
      <c r="B190" s="20"/>
      <c r="C190" s="20"/>
      <c r="D190" s="20"/>
      <c r="E190" s="22"/>
      <c r="F190" s="16">
        <f>IF($B190="","",SUMIF('Abonos Préstamos'!$B:$B,$B190,'Abonos Préstamos'!$C:$C))</f>
      </c>
      <c r="G190" s="16">
        <f>IF($B190="","",MAX($E190-$F190,0))</f>
      </c>
      <c r="H190" s="19">
        <f>IF($B190="","",IF($G190&lt;=0,"Pagado",IF($F190&gt;0,"Abono parcial","Pendiente")))</f>
      </c>
      <c r="I190" s="17">
        <f>IF(OR($B190="",$G190&lt;=0),"",TODAY()-$A190)</f>
      </c>
      <c r="J190" s="19">
        <f>IF($B190="","",IF($G190&lt;=0,"✅ Pagado",IF($I190&gt;30,"🔴 Cóbrale ya ("&amp;$I190&amp;" días)",IF($I190&gt;15,"🟠 Lleva "&amp;$I190&amp;" días","🟢 Reciente ("&amp;$I190&amp;" días)"))))</f>
      </c>
      <c r="K190" s="20"/>
    </row>
    <row r="191">
      <c r="A191" s="23"/>
      <c r="B191" s="20"/>
      <c r="C191" s="20"/>
      <c r="D191" s="20"/>
      <c r="E191" s="22"/>
      <c r="F191" s="16">
        <f>IF($B191="","",SUMIF('Abonos Préstamos'!$B:$B,$B191,'Abonos Préstamos'!$C:$C))</f>
      </c>
      <c r="G191" s="16">
        <f>IF($B191="","",MAX($E191-$F191,0))</f>
      </c>
      <c r="H191" s="19">
        <f>IF($B191="","",IF($G191&lt;=0,"Pagado",IF($F191&gt;0,"Abono parcial","Pendiente")))</f>
      </c>
      <c r="I191" s="17">
        <f>IF(OR($B191="",$G191&lt;=0),"",TODAY()-$A191)</f>
      </c>
      <c r="J191" s="19">
        <f>IF($B191="","",IF($G191&lt;=0,"✅ Pagado",IF($I191&gt;30,"🔴 Cóbrale ya ("&amp;$I191&amp;" días)",IF($I191&gt;15,"🟠 Lleva "&amp;$I191&amp;" días","🟢 Reciente ("&amp;$I191&amp;" días)"))))</f>
      </c>
      <c r="K191" s="20"/>
    </row>
    <row r="192">
      <c r="A192" s="23"/>
      <c r="B192" s="20"/>
      <c r="C192" s="20"/>
      <c r="D192" s="20"/>
      <c r="E192" s="22"/>
      <c r="F192" s="16">
        <f>IF($B192="","",SUMIF('Abonos Préstamos'!$B:$B,$B192,'Abonos Préstamos'!$C:$C))</f>
      </c>
      <c r="G192" s="16">
        <f>IF($B192="","",MAX($E192-$F192,0))</f>
      </c>
      <c r="H192" s="19">
        <f>IF($B192="","",IF($G192&lt;=0,"Pagado",IF($F192&gt;0,"Abono parcial","Pendiente")))</f>
      </c>
      <c r="I192" s="17">
        <f>IF(OR($B192="",$G192&lt;=0),"",TODAY()-$A192)</f>
      </c>
      <c r="J192" s="19">
        <f>IF($B192="","",IF($G192&lt;=0,"✅ Pagado",IF($I192&gt;30,"🔴 Cóbrale ya ("&amp;$I192&amp;" días)",IF($I192&gt;15,"🟠 Lleva "&amp;$I192&amp;" días","🟢 Reciente ("&amp;$I192&amp;" días)"))))</f>
      </c>
      <c r="K192" s="20"/>
    </row>
    <row r="193">
      <c r="A193" s="23"/>
      <c r="B193" s="20"/>
      <c r="C193" s="20"/>
      <c r="D193" s="20"/>
      <c r="E193" s="22"/>
      <c r="F193" s="16">
        <f>IF($B193="","",SUMIF('Abonos Préstamos'!$B:$B,$B193,'Abonos Préstamos'!$C:$C))</f>
      </c>
      <c r="G193" s="16">
        <f>IF($B193="","",MAX($E193-$F193,0))</f>
      </c>
      <c r="H193" s="19">
        <f>IF($B193="","",IF($G193&lt;=0,"Pagado",IF($F193&gt;0,"Abono parcial","Pendiente")))</f>
      </c>
      <c r="I193" s="17">
        <f>IF(OR($B193="",$G193&lt;=0),"",TODAY()-$A193)</f>
      </c>
      <c r="J193" s="19">
        <f>IF($B193="","",IF($G193&lt;=0,"✅ Pagado",IF($I193&gt;30,"🔴 Cóbrale ya ("&amp;$I193&amp;" días)",IF($I193&gt;15,"🟠 Lleva "&amp;$I193&amp;" días","🟢 Reciente ("&amp;$I193&amp;" días)"))))</f>
      </c>
      <c r="K193" s="20"/>
    </row>
    <row r="194">
      <c r="A194" s="23"/>
      <c r="B194" s="20"/>
      <c r="C194" s="20"/>
      <c r="D194" s="20"/>
      <c r="E194" s="22"/>
      <c r="F194" s="16">
        <f>IF($B194="","",SUMIF('Abonos Préstamos'!$B:$B,$B194,'Abonos Préstamos'!$C:$C))</f>
      </c>
      <c r="G194" s="16">
        <f>IF($B194="","",MAX($E194-$F194,0))</f>
      </c>
      <c r="H194" s="19">
        <f>IF($B194="","",IF($G194&lt;=0,"Pagado",IF($F194&gt;0,"Abono parcial","Pendiente")))</f>
      </c>
      <c r="I194" s="17">
        <f>IF(OR($B194="",$G194&lt;=0),"",TODAY()-$A194)</f>
      </c>
      <c r="J194" s="19">
        <f>IF($B194="","",IF($G194&lt;=0,"✅ Pagado",IF($I194&gt;30,"🔴 Cóbrale ya ("&amp;$I194&amp;" días)",IF($I194&gt;15,"🟠 Lleva "&amp;$I194&amp;" días","🟢 Reciente ("&amp;$I194&amp;" días)"))))</f>
      </c>
      <c r="K194" s="20"/>
    </row>
    <row r="195">
      <c r="A195" s="23"/>
      <c r="B195" s="20"/>
      <c r="C195" s="20"/>
      <c r="D195" s="20"/>
      <c r="E195" s="22"/>
      <c r="F195" s="16">
        <f>IF($B195="","",SUMIF('Abonos Préstamos'!$B:$B,$B195,'Abonos Préstamos'!$C:$C))</f>
      </c>
      <c r="G195" s="16">
        <f>IF($B195="","",MAX($E195-$F195,0))</f>
      </c>
      <c r="H195" s="19">
        <f>IF($B195="","",IF($G195&lt;=0,"Pagado",IF($F195&gt;0,"Abono parcial","Pendiente")))</f>
      </c>
      <c r="I195" s="17">
        <f>IF(OR($B195="",$G195&lt;=0),"",TODAY()-$A195)</f>
      </c>
      <c r="J195" s="19">
        <f>IF($B195="","",IF($G195&lt;=0,"✅ Pagado",IF($I195&gt;30,"🔴 Cóbrale ya ("&amp;$I195&amp;" días)",IF($I195&gt;15,"🟠 Lleva "&amp;$I195&amp;" días","🟢 Reciente ("&amp;$I195&amp;" días)"))))</f>
      </c>
      <c r="K195" s="20"/>
    </row>
    <row r="196">
      <c r="A196" s="23"/>
      <c r="B196" s="20"/>
      <c r="C196" s="20"/>
      <c r="D196" s="20"/>
      <c r="E196" s="22"/>
      <c r="F196" s="16">
        <f>IF($B196="","",SUMIF('Abonos Préstamos'!$B:$B,$B196,'Abonos Préstamos'!$C:$C))</f>
      </c>
      <c r="G196" s="16">
        <f>IF($B196="","",MAX($E196-$F196,0))</f>
      </c>
      <c r="H196" s="19">
        <f>IF($B196="","",IF($G196&lt;=0,"Pagado",IF($F196&gt;0,"Abono parcial","Pendiente")))</f>
      </c>
      <c r="I196" s="17">
        <f>IF(OR($B196="",$G196&lt;=0),"",TODAY()-$A196)</f>
      </c>
      <c r="J196" s="19">
        <f>IF($B196="","",IF($G196&lt;=0,"✅ Pagado",IF($I196&gt;30,"🔴 Cóbrale ya ("&amp;$I196&amp;" días)",IF($I196&gt;15,"🟠 Lleva "&amp;$I196&amp;" días","🟢 Reciente ("&amp;$I196&amp;" días)"))))</f>
      </c>
      <c r="K196" s="20"/>
    </row>
    <row r="197">
      <c r="A197" s="23"/>
      <c r="B197" s="20"/>
      <c r="C197" s="20"/>
      <c r="D197" s="20"/>
      <c r="E197" s="22"/>
      <c r="F197" s="16">
        <f>IF($B197="","",SUMIF('Abonos Préstamos'!$B:$B,$B197,'Abonos Préstamos'!$C:$C))</f>
      </c>
      <c r="G197" s="16">
        <f>IF($B197="","",MAX($E197-$F197,0))</f>
      </c>
      <c r="H197" s="19">
        <f>IF($B197="","",IF($G197&lt;=0,"Pagado",IF($F197&gt;0,"Abono parcial","Pendiente")))</f>
      </c>
      <c r="I197" s="17">
        <f>IF(OR($B197="",$G197&lt;=0),"",TODAY()-$A197)</f>
      </c>
      <c r="J197" s="19">
        <f>IF($B197="","",IF($G197&lt;=0,"✅ Pagado",IF($I197&gt;30,"🔴 Cóbrale ya ("&amp;$I197&amp;" días)",IF($I197&gt;15,"🟠 Lleva "&amp;$I197&amp;" días","🟢 Reciente ("&amp;$I197&amp;" días)"))))</f>
      </c>
      <c r="K197" s="20"/>
    </row>
    <row r="198">
      <c r="A198" s="23"/>
      <c r="B198" s="20"/>
      <c r="C198" s="20"/>
      <c r="D198" s="20"/>
      <c r="E198" s="22"/>
      <c r="F198" s="16">
        <f>IF($B198="","",SUMIF('Abonos Préstamos'!$B:$B,$B198,'Abonos Préstamos'!$C:$C))</f>
      </c>
      <c r="G198" s="16">
        <f>IF($B198="","",MAX($E198-$F198,0))</f>
      </c>
      <c r="H198" s="19">
        <f>IF($B198="","",IF($G198&lt;=0,"Pagado",IF($F198&gt;0,"Abono parcial","Pendiente")))</f>
      </c>
      <c r="I198" s="17">
        <f>IF(OR($B198="",$G198&lt;=0),"",TODAY()-$A198)</f>
      </c>
      <c r="J198" s="19">
        <f>IF($B198="","",IF($G198&lt;=0,"✅ Pagado",IF($I198&gt;30,"🔴 Cóbrale ya ("&amp;$I198&amp;" días)",IF($I198&gt;15,"🟠 Lleva "&amp;$I198&amp;" días","🟢 Reciente ("&amp;$I198&amp;" días)"))))</f>
      </c>
      <c r="K198" s="20"/>
    </row>
    <row r="199">
      <c r="A199" s="23"/>
      <c r="B199" s="20"/>
      <c r="C199" s="20"/>
      <c r="D199" s="20"/>
      <c r="E199" s="22"/>
      <c r="F199" s="16">
        <f>IF($B199="","",SUMIF('Abonos Préstamos'!$B:$B,$B199,'Abonos Préstamos'!$C:$C))</f>
      </c>
      <c r="G199" s="16">
        <f>IF($B199="","",MAX($E199-$F199,0))</f>
      </c>
      <c r="H199" s="19">
        <f>IF($B199="","",IF($G199&lt;=0,"Pagado",IF($F199&gt;0,"Abono parcial","Pendiente")))</f>
      </c>
      <c r="I199" s="17">
        <f>IF(OR($B199="",$G199&lt;=0),"",TODAY()-$A199)</f>
      </c>
      <c r="J199" s="19">
        <f>IF($B199="","",IF($G199&lt;=0,"✅ Pagado",IF($I199&gt;30,"🔴 Cóbrale ya ("&amp;$I199&amp;" días)",IF($I199&gt;15,"🟠 Lleva "&amp;$I199&amp;" días","🟢 Reciente ("&amp;$I199&amp;" días)"))))</f>
      </c>
      <c r="K199" s="20"/>
    </row>
    <row r="200">
      <c r="A200" s="23"/>
      <c r="B200" s="20"/>
      <c r="C200" s="20"/>
      <c r="D200" s="20"/>
      <c r="E200" s="22"/>
      <c r="F200" s="16">
        <f>IF($B200="","",SUMIF('Abonos Préstamos'!$B:$B,$B200,'Abonos Préstamos'!$C:$C))</f>
      </c>
      <c r="G200" s="16">
        <f>IF($B200="","",MAX($E200-$F200,0))</f>
      </c>
      <c r="H200" s="19">
        <f>IF($B200="","",IF($G200&lt;=0,"Pagado",IF($F200&gt;0,"Abono parcial","Pendiente")))</f>
      </c>
      <c r="I200" s="17">
        <f>IF(OR($B200="",$G200&lt;=0),"",TODAY()-$A200)</f>
      </c>
      <c r="J200" s="19">
        <f>IF($B200="","",IF($G200&lt;=0,"✅ Pagado",IF($I200&gt;30,"🔴 Cóbrale ya ("&amp;$I200&amp;" días)",IF($I200&gt;15,"🟠 Lleva "&amp;$I200&amp;" días","🟢 Reciente ("&amp;$I200&amp;" días)"))))</f>
      </c>
      <c r="K200" s="20"/>
    </row>
    <row r="201">
      <c r="A201" s="23"/>
      <c r="B201" s="20"/>
      <c r="C201" s="20"/>
      <c r="D201" s="20"/>
      <c r="E201" s="22"/>
      <c r="F201" s="16">
        <f>IF($B201="","",SUMIF('Abonos Préstamos'!$B:$B,$B201,'Abonos Préstamos'!$C:$C))</f>
      </c>
      <c r="G201" s="16">
        <f>IF($B201="","",MAX($E201-$F201,0))</f>
      </c>
      <c r="H201" s="19">
        <f>IF($B201="","",IF($G201&lt;=0,"Pagado",IF($F201&gt;0,"Abono parcial","Pendiente")))</f>
      </c>
      <c r="I201" s="17">
        <f>IF(OR($B201="",$G201&lt;=0),"",TODAY()-$A201)</f>
      </c>
      <c r="J201" s="19">
        <f>IF($B201="","",IF($G201&lt;=0,"✅ Pagado",IF($I201&gt;30,"🔴 Cóbrale ya ("&amp;$I201&amp;" días)",IF($I201&gt;15,"🟠 Lleva "&amp;$I201&amp;" días","🟢 Reciente ("&amp;$I201&amp;" días)"))))</f>
      </c>
      <c r="K201" s="20"/>
    </row>
    <row r="202">
      <c r="A202" s="23"/>
      <c r="B202" s="20"/>
      <c r="C202" s="20"/>
      <c r="D202" s="20"/>
      <c r="E202" s="22"/>
      <c r="F202" s="16">
        <f>IF($B202="","",SUMIF('Abonos Préstamos'!$B:$B,$B202,'Abonos Préstamos'!$C:$C))</f>
      </c>
      <c r="G202" s="16">
        <f>IF($B202="","",MAX($E202-$F202,0))</f>
      </c>
      <c r="H202" s="19">
        <f>IF($B202="","",IF($G202&lt;=0,"Pagado",IF($F202&gt;0,"Abono parcial","Pendiente")))</f>
      </c>
      <c r="I202" s="17">
        <f>IF(OR($B202="",$G202&lt;=0),"",TODAY()-$A202)</f>
      </c>
      <c r="J202" s="19">
        <f>IF($B202="","",IF($G202&lt;=0,"✅ Pagado",IF($I202&gt;30,"🔴 Cóbrale ya ("&amp;$I202&amp;" días)",IF($I202&gt;15,"🟠 Lleva "&amp;$I202&amp;" días","🟢 Reciente ("&amp;$I202&amp;" días)"))))</f>
      </c>
      <c r="K202" s="20"/>
    </row>
    <row r="203">
      <c r="A203" s="23"/>
      <c r="B203" s="20"/>
      <c r="C203" s="20"/>
      <c r="D203" s="20"/>
      <c r="E203" s="22"/>
      <c r="F203" s="16">
        <f>IF($B203="","",SUMIF('Abonos Préstamos'!$B:$B,$B203,'Abonos Préstamos'!$C:$C))</f>
      </c>
      <c r="G203" s="16">
        <f>IF($B203="","",MAX($E203-$F203,0))</f>
      </c>
      <c r="H203" s="19">
        <f>IF($B203="","",IF($G203&lt;=0,"Pagado",IF($F203&gt;0,"Abono parcial","Pendiente")))</f>
      </c>
      <c r="I203" s="17">
        <f>IF(OR($B203="",$G203&lt;=0),"",TODAY()-$A203)</f>
      </c>
      <c r="J203" s="19">
        <f>IF($B203="","",IF($G203&lt;=0,"✅ Pagado",IF($I203&gt;30,"🔴 Cóbrale ya ("&amp;$I203&amp;" días)",IF($I203&gt;15,"🟠 Lleva "&amp;$I203&amp;" días","🟢 Reciente ("&amp;$I203&amp;" días)"))))</f>
      </c>
      <c r="K203" s="20"/>
    </row>
    <row r="204">
      <c r="A204" s="23"/>
      <c r="B204" s="20"/>
      <c r="C204" s="20"/>
      <c r="D204" s="20"/>
      <c r="E204" s="22"/>
      <c r="F204" s="16">
        <f>IF($B204="","",SUMIF('Abonos Préstamos'!$B:$B,$B204,'Abonos Préstamos'!$C:$C))</f>
      </c>
      <c r="G204" s="16">
        <f>IF($B204="","",MAX($E204-$F204,0))</f>
      </c>
      <c r="H204" s="19">
        <f>IF($B204="","",IF($G204&lt;=0,"Pagado",IF($F204&gt;0,"Abono parcial","Pendiente")))</f>
      </c>
      <c r="I204" s="17">
        <f>IF(OR($B204="",$G204&lt;=0),"",TODAY()-$A204)</f>
      </c>
      <c r="J204" s="19">
        <f>IF($B204="","",IF($G204&lt;=0,"✅ Pagado",IF($I204&gt;30,"🔴 Cóbrale ya ("&amp;$I204&amp;" días)",IF($I204&gt;15,"🟠 Lleva "&amp;$I204&amp;" días","🟢 Reciente ("&amp;$I204&amp;" días)"))))</f>
      </c>
      <c r="K204" s="20"/>
    </row>
    <row r="205">
      <c r="A205" s="23"/>
      <c r="B205" s="20"/>
      <c r="C205" s="20"/>
      <c r="D205" s="20"/>
      <c r="E205" s="22"/>
      <c r="F205" s="16">
        <f>IF($B205="","",SUMIF('Abonos Préstamos'!$B:$B,$B205,'Abonos Préstamos'!$C:$C))</f>
      </c>
      <c r="G205" s="16">
        <f>IF($B205="","",MAX($E205-$F205,0))</f>
      </c>
      <c r="H205" s="19">
        <f>IF($B205="","",IF($G205&lt;=0,"Pagado",IF($F205&gt;0,"Abono parcial","Pendiente")))</f>
      </c>
      <c r="I205" s="17">
        <f>IF(OR($B205="",$G205&lt;=0),"",TODAY()-$A205)</f>
      </c>
      <c r="J205" s="19">
        <f>IF($B205="","",IF($G205&lt;=0,"✅ Pagado",IF($I205&gt;30,"🔴 Cóbrale ya ("&amp;$I205&amp;" días)",IF($I205&gt;15,"🟠 Lleva "&amp;$I205&amp;" días","🟢 Reciente ("&amp;$I205&amp;" días)"))))</f>
      </c>
      <c r="K205" s="20"/>
    </row>
    <row r="206">
      <c r="A206" s="23"/>
      <c r="B206" s="20"/>
      <c r="C206" s="20"/>
      <c r="D206" s="20"/>
      <c r="E206" s="22"/>
      <c r="F206" s="16">
        <f>IF($B206="","",SUMIF('Abonos Préstamos'!$B:$B,$B206,'Abonos Préstamos'!$C:$C))</f>
      </c>
      <c r="G206" s="16">
        <f>IF($B206="","",MAX($E206-$F206,0))</f>
      </c>
      <c r="H206" s="19">
        <f>IF($B206="","",IF($G206&lt;=0,"Pagado",IF($F206&gt;0,"Abono parcial","Pendiente")))</f>
      </c>
      <c r="I206" s="17">
        <f>IF(OR($B206="",$G206&lt;=0),"",TODAY()-$A206)</f>
      </c>
      <c r="J206" s="19">
        <f>IF($B206="","",IF($G206&lt;=0,"✅ Pagado",IF($I206&gt;30,"🔴 Cóbrale ya ("&amp;$I206&amp;" días)",IF($I206&gt;15,"🟠 Lleva "&amp;$I206&amp;" días","🟢 Reciente ("&amp;$I206&amp;" días)"))))</f>
      </c>
      <c r="K206" s="20"/>
    </row>
    <row r="207">
      <c r="A207" s="23"/>
      <c r="B207" s="20"/>
      <c r="C207" s="20"/>
      <c r="D207" s="20"/>
      <c r="E207" s="22"/>
      <c r="F207" s="16">
        <f>IF($B207="","",SUMIF('Abonos Préstamos'!$B:$B,$B207,'Abonos Préstamos'!$C:$C))</f>
      </c>
      <c r="G207" s="16">
        <f>IF($B207="","",MAX($E207-$F207,0))</f>
      </c>
      <c r="H207" s="19">
        <f>IF($B207="","",IF($G207&lt;=0,"Pagado",IF($F207&gt;0,"Abono parcial","Pendiente")))</f>
      </c>
      <c r="I207" s="17">
        <f>IF(OR($B207="",$G207&lt;=0),"",TODAY()-$A207)</f>
      </c>
      <c r="J207" s="19">
        <f>IF($B207="","",IF($G207&lt;=0,"✅ Pagado",IF($I207&gt;30,"🔴 Cóbrale ya ("&amp;$I207&amp;" días)",IF($I207&gt;15,"🟠 Lleva "&amp;$I207&amp;" días","🟢 Reciente ("&amp;$I207&amp;" días)"))))</f>
      </c>
      <c r="K207" s="20"/>
    </row>
    <row r="208">
      <c r="A208" s="23"/>
      <c r="B208" s="20"/>
      <c r="C208" s="20"/>
      <c r="D208" s="20"/>
      <c r="E208" s="22"/>
      <c r="F208" s="16">
        <f>IF($B208="","",SUMIF('Abonos Préstamos'!$B:$B,$B208,'Abonos Préstamos'!$C:$C))</f>
      </c>
      <c r="G208" s="16">
        <f>IF($B208="","",MAX($E208-$F208,0))</f>
      </c>
      <c r="H208" s="19">
        <f>IF($B208="","",IF($G208&lt;=0,"Pagado",IF($F208&gt;0,"Abono parcial","Pendiente")))</f>
      </c>
      <c r="I208" s="17">
        <f>IF(OR($B208="",$G208&lt;=0),"",TODAY()-$A208)</f>
      </c>
      <c r="J208" s="19">
        <f>IF($B208="","",IF($G208&lt;=0,"✅ Pagado",IF($I208&gt;30,"🔴 Cóbrale ya ("&amp;$I208&amp;" días)",IF($I208&gt;15,"🟠 Lleva "&amp;$I208&amp;" días","🟢 Reciente ("&amp;$I208&amp;" días)"))))</f>
      </c>
      <c r="K208" s="20"/>
    </row>
    <row r="209">
      <c r="A209" s="23"/>
      <c r="B209" s="20"/>
      <c r="C209" s="20"/>
      <c r="D209" s="20"/>
      <c r="E209" s="22"/>
      <c r="F209" s="16">
        <f>IF($B209="","",SUMIF('Abonos Préstamos'!$B:$B,$B209,'Abonos Préstamos'!$C:$C))</f>
      </c>
      <c r="G209" s="16">
        <f>IF($B209="","",MAX($E209-$F209,0))</f>
      </c>
      <c r="H209" s="19">
        <f>IF($B209="","",IF($G209&lt;=0,"Pagado",IF($F209&gt;0,"Abono parcial","Pendiente")))</f>
      </c>
      <c r="I209" s="17">
        <f>IF(OR($B209="",$G209&lt;=0),"",TODAY()-$A209)</f>
      </c>
      <c r="J209" s="19">
        <f>IF($B209="","",IF($G209&lt;=0,"✅ Pagado",IF($I209&gt;30,"🔴 Cóbrale ya ("&amp;$I209&amp;" días)",IF($I209&gt;15,"🟠 Lleva "&amp;$I209&amp;" días","🟢 Reciente ("&amp;$I209&amp;" días)"))))</f>
      </c>
      <c r="K209" s="20"/>
    </row>
    <row r="210">
      <c r="A210" s="23"/>
      <c r="B210" s="20"/>
      <c r="C210" s="20"/>
      <c r="D210" s="20"/>
      <c r="E210" s="22"/>
      <c r="F210" s="16">
        <f>IF($B210="","",SUMIF('Abonos Préstamos'!$B:$B,$B210,'Abonos Préstamos'!$C:$C))</f>
      </c>
      <c r="G210" s="16">
        <f>IF($B210="","",MAX($E210-$F210,0))</f>
      </c>
      <c r="H210" s="19">
        <f>IF($B210="","",IF($G210&lt;=0,"Pagado",IF($F210&gt;0,"Abono parcial","Pendiente")))</f>
      </c>
      <c r="I210" s="17">
        <f>IF(OR($B210="",$G210&lt;=0),"",TODAY()-$A210)</f>
      </c>
      <c r="J210" s="19">
        <f>IF($B210="","",IF($G210&lt;=0,"✅ Pagado",IF($I210&gt;30,"🔴 Cóbrale ya ("&amp;$I210&amp;" días)",IF($I210&gt;15,"🟠 Lleva "&amp;$I210&amp;" días","🟢 Reciente ("&amp;$I210&amp;" días)"))))</f>
      </c>
      <c r="K210" s="20"/>
    </row>
    <row r="211">
      <c r="A211" s="23"/>
      <c r="B211" s="20"/>
      <c r="C211" s="20"/>
      <c r="D211" s="20"/>
      <c r="E211" s="22"/>
      <c r="F211" s="16">
        <f>IF($B211="","",SUMIF('Abonos Préstamos'!$B:$B,$B211,'Abonos Préstamos'!$C:$C))</f>
      </c>
      <c r="G211" s="16">
        <f>IF($B211="","",MAX($E211-$F211,0))</f>
      </c>
      <c r="H211" s="19">
        <f>IF($B211="","",IF($G211&lt;=0,"Pagado",IF($F211&gt;0,"Abono parcial","Pendiente")))</f>
      </c>
      <c r="I211" s="17">
        <f>IF(OR($B211="",$G211&lt;=0),"",TODAY()-$A211)</f>
      </c>
      <c r="J211" s="19">
        <f>IF($B211="","",IF($G211&lt;=0,"✅ Pagado",IF($I211&gt;30,"🔴 Cóbrale ya ("&amp;$I211&amp;" días)",IF($I211&gt;15,"🟠 Lleva "&amp;$I211&amp;" días","🟢 Reciente ("&amp;$I211&amp;" días)"))))</f>
      </c>
      <c r="K211" s="20"/>
    </row>
    <row r="212">
      <c r="A212" s="23"/>
      <c r="B212" s="20"/>
      <c r="C212" s="20"/>
      <c r="D212" s="20"/>
      <c r="E212" s="22"/>
      <c r="F212" s="16">
        <f>IF($B212="","",SUMIF('Abonos Préstamos'!$B:$B,$B212,'Abonos Préstamos'!$C:$C))</f>
      </c>
      <c r="G212" s="16">
        <f>IF($B212="","",MAX($E212-$F212,0))</f>
      </c>
      <c r="H212" s="19">
        <f>IF($B212="","",IF($G212&lt;=0,"Pagado",IF($F212&gt;0,"Abono parcial","Pendiente")))</f>
      </c>
      <c r="I212" s="17">
        <f>IF(OR($B212="",$G212&lt;=0),"",TODAY()-$A212)</f>
      </c>
      <c r="J212" s="19">
        <f>IF($B212="","",IF($G212&lt;=0,"✅ Pagado",IF($I212&gt;30,"🔴 Cóbrale ya ("&amp;$I212&amp;" días)",IF($I212&gt;15,"🟠 Lleva "&amp;$I212&amp;" días","🟢 Reciente ("&amp;$I212&amp;" días)"))))</f>
      </c>
      <c r="K212" s="20"/>
    </row>
    <row r="213">
      <c r="A213" s="23"/>
      <c r="B213" s="20"/>
      <c r="C213" s="20"/>
      <c r="D213" s="20"/>
      <c r="E213" s="22"/>
      <c r="F213" s="16">
        <f>IF($B213="","",SUMIF('Abonos Préstamos'!$B:$B,$B213,'Abonos Préstamos'!$C:$C))</f>
      </c>
      <c r="G213" s="16">
        <f>IF($B213="","",MAX($E213-$F213,0))</f>
      </c>
      <c r="H213" s="19">
        <f>IF($B213="","",IF($G213&lt;=0,"Pagado",IF($F213&gt;0,"Abono parcial","Pendiente")))</f>
      </c>
      <c r="I213" s="17">
        <f>IF(OR($B213="",$G213&lt;=0),"",TODAY()-$A213)</f>
      </c>
      <c r="J213" s="19">
        <f>IF($B213="","",IF($G213&lt;=0,"✅ Pagado",IF($I213&gt;30,"🔴 Cóbrale ya ("&amp;$I213&amp;" días)",IF($I213&gt;15,"🟠 Lleva "&amp;$I213&amp;" días","🟢 Reciente ("&amp;$I213&amp;" días)"))))</f>
      </c>
      <c r="K213" s="20"/>
    </row>
    <row r="214">
      <c r="A214" s="23"/>
      <c r="B214" s="20"/>
      <c r="C214" s="20"/>
      <c r="D214" s="20"/>
      <c r="E214" s="22"/>
      <c r="F214" s="16">
        <f>IF($B214="","",SUMIF('Abonos Préstamos'!$B:$B,$B214,'Abonos Préstamos'!$C:$C))</f>
      </c>
      <c r="G214" s="16">
        <f>IF($B214="","",MAX($E214-$F214,0))</f>
      </c>
      <c r="H214" s="19">
        <f>IF($B214="","",IF($G214&lt;=0,"Pagado",IF($F214&gt;0,"Abono parcial","Pendiente")))</f>
      </c>
      <c r="I214" s="17">
        <f>IF(OR($B214="",$G214&lt;=0),"",TODAY()-$A214)</f>
      </c>
      <c r="J214" s="19">
        <f>IF($B214="","",IF($G214&lt;=0,"✅ Pagado",IF($I214&gt;30,"🔴 Cóbrale ya ("&amp;$I214&amp;" días)",IF($I214&gt;15,"🟠 Lleva "&amp;$I214&amp;" días","🟢 Reciente ("&amp;$I214&amp;" días)"))))</f>
      </c>
      <c r="K214" s="20"/>
    </row>
    <row r="215">
      <c r="A215" s="23"/>
      <c r="B215" s="20"/>
      <c r="C215" s="20"/>
      <c r="D215" s="20"/>
      <c r="E215" s="22"/>
      <c r="F215" s="16">
        <f>IF($B215="","",SUMIF('Abonos Préstamos'!$B:$B,$B215,'Abonos Préstamos'!$C:$C))</f>
      </c>
      <c r="G215" s="16">
        <f>IF($B215="","",MAX($E215-$F215,0))</f>
      </c>
      <c r="H215" s="19">
        <f>IF($B215="","",IF($G215&lt;=0,"Pagado",IF($F215&gt;0,"Abono parcial","Pendiente")))</f>
      </c>
      <c r="I215" s="17">
        <f>IF(OR($B215="",$G215&lt;=0),"",TODAY()-$A215)</f>
      </c>
      <c r="J215" s="19">
        <f>IF($B215="","",IF($G215&lt;=0,"✅ Pagado",IF($I215&gt;30,"🔴 Cóbrale ya ("&amp;$I215&amp;" días)",IF($I215&gt;15,"🟠 Lleva "&amp;$I215&amp;" días","🟢 Reciente ("&amp;$I215&amp;" días)"))))</f>
      </c>
      <c r="K215" s="20"/>
    </row>
    <row r="216">
      <c r="A216" s="23"/>
      <c r="B216" s="20"/>
      <c r="C216" s="20"/>
      <c r="D216" s="20"/>
      <c r="E216" s="22"/>
      <c r="F216" s="16">
        <f>IF($B216="","",SUMIF('Abonos Préstamos'!$B:$B,$B216,'Abonos Préstamos'!$C:$C))</f>
      </c>
      <c r="G216" s="16">
        <f>IF($B216="","",MAX($E216-$F216,0))</f>
      </c>
      <c r="H216" s="19">
        <f>IF($B216="","",IF($G216&lt;=0,"Pagado",IF($F216&gt;0,"Abono parcial","Pendiente")))</f>
      </c>
      <c r="I216" s="17">
        <f>IF(OR($B216="",$G216&lt;=0),"",TODAY()-$A216)</f>
      </c>
      <c r="J216" s="19">
        <f>IF($B216="","",IF($G216&lt;=0,"✅ Pagado",IF($I216&gt;30,"🔴 Cóbrale ya ("&amp;$I216&amp;" días)",IF($I216&gt;15,"🟠 Lleva "&amp;$I216&amp;" días","🟢 Reciente ("&amp;$I216&amp;" días)"))))</f>
      </c>
      <c r="K216" s="20"/>
    </row>
    <row r="217">
      <c r="A217" s="23"/>
      <c r="B217" s="20"/>
      <c r="C217" s="20"/>
      <c r="D217" s="20"/>
      <c r="E217" s="22"/>
      <c r="F217" s="16">
        <f>IF($B217="","",SUMIF('Abonos Préstamos'!$B:$B,$B217,'Abonos Préstamos'!$C:$C))</f>
      </c>
      <c r="G217" s="16">
        <f>IF($B217="","",MAX($E217-$F217,0))</f>
      </c>
      <c r="H217" s="19">
        <f>IF($B217="","",IF($G217&lt;=0,"Pagado",IF($F217&gt;0,"Abono parcial","Pendiente")))</f>
      </c>
      <c r="I217" s="17">
        <f>IF(OR($B217="",$G217&lt;=0),"",TODAY()-$A217)</f>
      </c>
      <c r="J217" s="19">
        <f>IF($B217="","",IF($G217&lt;=0,"✅ Pagado",IF($I217&gt;30,"🔴 Cóbrale ya ("&amp;$I217&amp;" días)",IF($I217&gt;15,"🟠 Lleva "&amp;$I217&amp;" días","🟢 Reciente ("&amp;$I217&amp;" días)"))))</f>
      </c>
      <c r="K217" s="20"/>
    </row>
    <row r="218">
      <c r="A218" s="23"/>
      <c r="B218" s="20"/>
      <c r="C218" s="20"/>
      <c r="D218" s="20"/>
      <c r="E218" s="22"/>
      <c r="F218" s="16">
        <f>IF($B218="","",SUMIF('Abonos Préstamos'!$B:$B,$B218,'Abonos Préstamos'!$C:$C))</f>
      </c>
      <c r="G218" s="16">
        <f>IF($B218="","",MAX($E218-$F218,0))</f>
      </c>
      <c r="H218" s="19">
        <f>IF($B218="","",IF($G218&lt;=0,"Pagado",IF($F218&gt;0,"Abono parcial","Pendiente")))</f>
      </c>
      <c r="I218" s="17">
        <f>IF(OR($B218="",$G218&lt;=0),"",TODAY()-$A218)</f>
      </c>
      <c r="J218" s="19">
        <f>IF($B218="","",IF($G218&lt;=0,"✅ Pagado",IF($I218&gt;30,"🔴 Cóbrale ya ("&amp;$I218&amp;" días)",IF($I218&gt;15,"🟠 Lleva "&amp;$I218&amp;" días","🟢 Reciente ("&amp;$I218&amp;" días)"))))</f>
      </c>
      <c r="K218" s="20"/>
    </row>
    <row r="219">
      <c r="A219" s="23"/>
      <c r="B219" s="20"/>
      <c r="C219" s="20"/>
      <c r="D219" s="20"/>
      <c r="E219" s="22"/>
      <c r="F219" s="16">
        <f>IF($B219="","",SUMIF('Abonos Préstamos'!$B:$B,$B219,'Abonos Préstamos'!$C:$C))</f>
      </c>
      <c r="G219" s="16">
        <f>IF($B219="","",MAX($E219-$F219,0))</f>
      </c>
      <c r="H219" s="19">
        <f>IF($B219="","",IF($G219&lt;=0,"Pagado",IF($F219&gt;0,"Abono parcial","Pendiente")))</f>
      </c>
      <c r="I219" s="17">
        <f>IF(OR($B219="",$G219&lt;=0),"",TODAY()-$A219)</f>
      </c>
      <c r="J219" s="19">
        <f>IF($B219="","",IF($G219&lt;=0,"✅ Pagado",IF($I219&gt;30,"🔴 Cóbrale ya ("&amp;$I219&amp;" días)",IF($I219&gt;15,"🟠 Lleva "&amp;$I219&amp;" días","🟢 Reciente ("&amp;$I219&amp;" días)"))))</f>
      </c>
      <c r="K219" s="20"/>
    </row>
    <row r="220">
      <c r="A220" s="23"/>
      <c r="B220" s="20"/>
      <c r="C220" s="20"/>
      <c r="D220" s="20"/>
      <c r="E220" s="22"/>
      <c r="F220" s="16">
        <f>IF($B220="","",SUMIF('Abonos Préstamos'!$B:$B,$B220,'Abonos Préstamos'!$C:$C))</f>
      </c>
      <c r="G220" s="16">
        <f>IF($B220="","",MAX($E220-$F220,0))</f>
      </c>
      <c r="H220" s="19">
        <f>IF($B220="","",IF($G220&lt;=0,"Pagado",IF($F220&gt;0,"Abono parcial","Pendiente")))</f>
      </c>
      <c r="I220" s="17">
        <f>IF(OR($B220="",$G220&lt;=0),"",TODAY()-$A220)</f>
      </c>
      <c r="J220" s="19">
        <f>IF($B220="","",IF($G220&lt;=0,"✅ Pagado",IF($I220&gt;30,"🔴 Cóbrale ya ("&amp;$I220&amp;" días)",IF($I220&gt;15,"🟠 Lleva "&amp;$I220&amp;" días","🟢 Reciente ("&amp;$I220&amp;" días)"))))</f>
      </c>
      <c r="K220" s="20"/>
    </row>
    <row r="221">
      <c r="A221" s="23"/>
      <c r="B221" s="20"/>
      <c r="C221" s="20"/>
      <c r="D221" s="20"/>
      <c r="E221" s="22"/>
      <c r="F221" s="16">
        <f>IF($B221="","",SUMIF('Abonos Préstamos'!$B:$B,$B221,'Abonos Préstamos'!$C:$C))</f>
      </c>
      <c r="G221" s="16">
        <f>IF($B221="","",MAX($E221-$F221,0))</f>
      </c>
      <c r="H221" s="19">
        <f>IF($B221="","",IF($G221&lt;=0,"Pagado",IF($F221&gt;0,"Abono parcial","Pendiente")))</f>
      </c>
      <c r="I221" s="17">
        <f>IF(OR($B221="",$G221&lt;=0),"",TODAY()-$A221)</f>
      </c>
      <c r="J221" s="19">
        <f>IF($B221="","",IF($G221&lt;=0,"✅ Pagado",IF($I221&gt;30,"🔴 Cóbrale ya ("&amp;$I221&amp;" días)",IF($I221&gt;15,"🟠 Lleva "&amp;$I221&amp;" días","🟢 Reciente ("&amp;$I221&amp;" días)"))))</f>
      </c>
      <c r="K221" s="20"/>
    </row>
    <row r="222">
      <c r="A222" s="23"/>
      <c r="B222" s="20"/>
      <c r="C222" s="20"/>
      <c r="D222" s="20"/>
      <c r="E222" s="22"/>
      <c r="F222" s="16">
        <f>IF($B222="","",SUMIF('Abonos Préstamos'!$B:$B,$B222,'Abonos Préstamos'!$C:$C))</f>
      </c>
      <c r="G222" s="16">
        <f>IF($B222="","",MAX($E222-$F222,0))</f>
      </c>
      <c r="H222" s="19">
        <f>IF($B222="","",IF($G222&lt;=0,"Pagado",IF($F222&gt;0,"Abono parcial","Pendiente")))</f>
      </c>
      <c r="I222" s="17">
        <f>IF(OR($B222="",$G222&lt;=0),"",TODAY()-$A222)</f>
      </c>
      <c r="J222" s="19">
        <f>IF($B222="","",IF($G222&lt;=0,"✅ Pagado",IF($I222&gt;30,"🔴 Cóbrale ya ("&amp;$I222&amp;" días)",IF($I222&gt;15,"🟠 Lleva "&amp;$I222&amp;" días","🟢 Reciente ("&amp;$I222&amp;" días)"))))</f>
      </c>
      <c r="K222" s="20"/>
    </row>
    <row r="223">
      <c r="A223" s="23"/>
      <c r="B223" s="20"/>
      <c r="C223" s="20"/>
      <c r="D223" s="20"/>
      <c r="E223" s="22"/>
      <c r="F223" s="16">
        <f>IF($B223="","",SUMIF('Abonos Préstamos'!$B:$B,$B223,'Abonos Préstamos'!$C:$C))</f>
      </c>
      <c r="G223" s="16">
        <f>IF($B223="","",MAX($E223-$F223,0))</f>
      </c>
      <c r="H223" s="19">
        <f>IF($B223="","",IF($G223&lt;=0,"Pagado",IF($F223&gt;0,"Abono parcial","Pendiente")))</f>
      </c>
      <c r="I223" s="17">
        <f>IF(OR($B223="",$G223&lt;=0),"",TODAY()-$A223)</f>
      </c>
      <c r="J223" s="19">
        <f>IF($B223="","",IF($G223&lt;=0,"✅ Pagado",IF($I223&gt;30,"🔴 Cóbrale ya ("&amp;$I223&amp;" días)",IF($I223&gt;15,"🟠 Lleva "&amp;$I223&amp;" días","🟢 Reciente ("&amp;$I223&amp;" días)"))))</f>
      </c>
      <c r="K223" s="20"/>
    </row>
    <row r="224">
      <c r="A224" s="23"/>
      <c r="B224" s="20"/>
      <c r="C224" s="20"/>
      <c r="D224" s="20"/>
      <c r="E224" s="22"/>
      <c r="F224" s="16">
        <f>IF($B224="","",SUMIF('Abonos Préstamos'!$B:$B,$B224,'Abonos Préstamos'!$C:$C))</f>
      </c>
      <c r="G224" s="16">
        <f>IF($B224="","",MAX($E224-$F224,0))</f>
      </c>
      <c r="H224" s="19">
        <f>IF($B224="","",IF($G224&lt;=0,"Pagado",IF($F224&gt;0,"Abono parcial","Pendiente")))</f>
      </c>
      <c r="I224" s="17">
        <f>IF(OR($B224="",$G224&lt;=0),"",TODAY()-$A224)</f>
      </c>
      <c r="J224" s="19">
        <f>IF($B224="","",IF($G224&lt;=0,"✅ Pagado",IF($I224&gt;30,"🔴 Cóbrale ya ("&amp;$I224&amp;" días)",IF($I224&gt;15,"🟠 Lleva "&amp;$I224&amp;" días","🟢 Reciente ("&amp;$I224&amp;" días)"))))</f>
      </c>
      <c r="K224" s="20"/>
    </row>
    <row r="225">
      <c r="A225" s="23"/>
      <c r="B225" s="20"/>
      <c r="C225" s="20"/>
      <c r="D225" s="20"/>
      <c r="E225" s="22"/>
      <c r="F225" s="16">
        <f>IF($B225="","",SUMIF('Abonos Préstamos'!$B:$B,$B225,'Abonos Préstamos'!$C:$C))</f>
      </c>
      <c r="G225" s="16">
        <f>IF($B225="","",MAX($E225-$F225,0))</f>
      </c>
      <c r="H225" s="19">
        <f>IF($B225="","",IF($G225&lt;=0,"Pagado",IF($F225&gt;0,"Abono parcial","Pendiente")))</f>
      </c>
      <c r="I225" s="17">
        <f>IF(OR($B225="",$G225&lt;=0),"",TODAY()-$A225)</f>
      </c>
      <c r="J225" s="19">
        <f>IF($B225="","",IF($G225&lt;=0,"✅ Pagado",IF($I225&gt;30,"🔴 Cóbrale ya ("&amp;$I225&amp;" días)",IF($I225&gt;15,"🟠 Lleva "&amp;$I225&amp;" días","🟢 Reciente ("&amp;$I225&amp;" días)"))))</f>
      </c>
      <c r="K225" s="20"/>
    </row>
    <row r="226">
      <c r="A226" s="23"/>
      <c r="B226" s="20"/>
      <c r="C226" s="20"/>
      <c r="D226" s="20"/>
      <c r="E226" s="22"/>
      <c r="F226" s="16">
        <f>IF($B226="","",SUMIF('Abonos Préstamos'!$B:$B,$B226,'Abonos Préstamos'!$C:$C))</f>
      </c>
      <c r="G226" s="16">
        <f>IF($B226="","",MAX($E226-$F226,0))</f>
      </c>
      <c r="H226" s="19">
        <f>IF($B226="","",IF($G226&lt;=0,"Pagado",IF($F226&gt;0,"Abono parcial","Pendiente")))</f>
      </c>
      <c r="I226" s="17">
        <f>IF(OR($B226="",$G226&lt;=0),"",TODAY()-$A226)</f>
      </c>
      <c r="J226" s="19">
        <f>IF($B226="","",IF($G226&lt;=0,"✅ Pagado",IF($I226&gt;30,"🔴 Cóbrale ya ("&amp;$I226&amp;" días)",IF($I226&gt;15,"🟠 Lleva "&amp;$I226&amp;" días","🟢 Reciente ("&amp;$I226&amp;" días)"))))</f>
      </c>
      <c r="K226" s="20"/>
    </row>
    <row r="227">
      <c r="A227" s="23"/>
      <c r="B227" s="20"/>
      <c r="C227" s="20"/>
      <c r="D227" s="20"/>
      <c r="E227" s="22"/>
      <c r="F227" s="16">
        <f>IF($B227="","",SUMIF('Abonos Préstamos'!$B:$B,$B227,'Abonos Préstamos'!$C:$C))</f>
      </c>
      <c r="G227" s="16">
        <f>IF($B227="","",MAX($E227-$F227,0))</f>
      </c>
      <c r="H227" s="19">
        <f>IF($B227="","",IF($G227&lt;=0,"Pagado",IF($F227&gt;0,"Abono parcial","Pendiente")))</f>
      </c>
      <c r="I227" s="17">
        <f>IF(OR($B227="",$G227&lt;=0),"",TODAY()-$A227)</f>
      </c>
      <c r="J227" s="19">
        <f>IF($B227="","",IF($G227&lt;=0,"✅ Pagado",IF($I227&gt;30,"🔴 Cóbrale ya ("&amp;$I227&amp;" días)",IF($I227&gt;15,"🟠 Lleva "&amp;$I227&amp;" días","🟢 Reciente ("&amp;$I227&amp;" días)"))))</f>
      </c>
      <c r="K227" s="20"/>
    </row>
    <row r="228">
      <c r="A228" s="23"/>
      <c r="B228" s="20"/>
      <c r="C228" s="20"/>
      <c r="D228" s="20"/>
      <c r="E228" s="22"/>
      <c r="F228" s="16">
        <f>IF($B228="","",SUMIF('Abonos Préstamos'!$B:$B,$B228,'Abonos Préstamos'!$C:$C))</f>
      </c>
      <c r="G228" s="16">
        <f>IF($B228="","",MAX($E228-$F228,0))</f>
      </c>
      <c r="H228" s="19">
        <f>IF($B228="","",IF($G228&lt;=0,"Pagado",IF($F228&gt;0,"Abono parcial","Pendiente")))</f>
      </c>
      <c r="I228" s="17">
        <f>IF(OR($B228="",$G228&lt;=0),"",TODAY()-$A228)</f>
      </c>
      <c r="J228" s="19">
        <f>IF($B228="","",IF($G228&lt;=0,"✅ Pagado",IF($I228&gt;30,"🔴 Cóbrale ya ("&amp;$I228&amp;" días)",IF($I228&gt;15,"🟠 Lleva "&amp;$I228&amp;" días","🟢 Reciente ("&amp;$I228&amp;" días)"))))</f>
      </c>
      <c r="K228" s="20"/>
    </row>
    <row r="229">
      <c r="A229" s="23"/>
      <c r="B229" s="20"/>
      <c r="C229" s="20"/>
      <c r="D229" s="20"/>
      <c r="E229" s="22"/>
      <c r="F229" s="16">
        <f>IF($B229="","",SUMIF('Abonos Préstamos'!$B:$B,$B229,'Abonos Préstamos'!$C:$C))</f>
      </c>
      <c r="G229" s="16">
        <f>IF($B229="","",MAX($E229-$F229,0))</f>
      </c>
      <c r="H229" s="19">
        <f>IF($B229="","",IF($G229&lt;=0,"Pagado",IF($F229&gt;0,"Abono parcial","Pendiente")))</f>
      </c>
      <c r="I229" s="17">
        <f>IF(OR($B229="",$G229&lt;=0),"",TODAY()-$A229)</f>
      </c>
      <c r="J229" s="19">
        <f>IF($B229="","",IF($G229&lt;=0,"✅ Pagado",IF($I229&gt;30,"🔴 Cóbrale ya ("&amp;$I229&amp;" días)",IF($I229&gt;15,"🟠 Lleva "&amp;$I229&amp;" días","🟢 Reciente ("&amp;$I229&amp;" días)"))))</f>
      </c>
      <c r="K229" s="20"/>
    </row>
    <row r="230">
      <c r="A230" s="23"/>
      <c r="B230" s="20"/>
      <c r="C230" s="20"/>
      <c r="D230" s="20"/>
      <c r="E230" s="22"/>
      <c r="F230" s="16">
        <f>IF($B230="","",SUMIF('Abonos Préstamos'!$B:$B,$B230,'Abonos Préstamos'!$C:$C))</f>
      </c>
      <c r="G230" s="16">
        <f>IF($B230="","",MAX($E230-$F230,0))</f>
      </c>
      <c r="H230" s="19">
        <f>IF($B230="","",IF($G230&lt;=0,"Pagado",IF($F230&gt;0,"Abono parcial","Pendiente")))</f>
      </c>
      <c r="I230" s="17">
        <f>IF(OR($B230="",$G230&lt;=0),"",TODAY()-$A230)</f>
      </c>
      <c r="J230" s="19">
        <f>IF($B230="","",IF($G230&lt;=0,"✅ Pagado",IF($I230&gt;30,"🔴 Cóbrale ya ("&amp;$I230&amp;" días)",IF($I230&gt;15,"🟠 Lleva "&amp;$I230&amp;" días","🟢 Reciente ("&amp;$I230&amp;" días)"))))</f>
      </c>
      <c r="K230" s="20"/>
    </row>
    <row r="231">
      <c r="A231" s="23"/>
      <c r="B231" s="20"/>
      <c r="C231" s="20"/>
      <c r="D231" s="20"/>
      <c r="E231" s="22"/>
      <c r="F231" s="16">
        <f>IF($B231="","",SUMIF('Abonos Préstamos'!$B:$B,$B231,'Abonos Préstamos'!$C:$C))</f>
      </c>
      <c r="G231" s="16">
        <f>IF($B231="","",MAX($E231-$F231,0))</f>
      </c>
      <c r="H231" s="19">
        <f>IF($B231="","",IF($G231&lt;=0,"Pagado",IF($F231&gt;0,"Abono parcial","Pendiente")))</f>
      </c>
      <c r="I231" s="17">
        <f>IF(OR($B231="",$G231&lt;=0),"",TODAY()-$A231)</f>
      </c>
      <c r="J231" s="19">
        <f>IF($B231="","",IF($G231&lt;=0,"✅ Pagado",IF($I231&gt;30,"🔴 Cóbrale ya ("&amp;$I231&amp;" días)",IF($I231&gt;15,"🟠 Lleva "&amp;$I231&amp;" días","🟢 Reciente ("&amp;$I231&amp;" días)"))))</f>
      </c>
      <c r="K231" s="20"/>
    </row>
    <row r="232">
      <c r="A232" s="23"/>
      <c r="B232" s="20"/>
      <c r="C232" s="20"/>
      <c r="D232" s="20"/>
      <c r="E232" s="22"/>
      <c r="F232" s="16">
        <f>IF($B232="","",SUMIF('Abonos Préstamos'!$B:$B,$B232,'Abonos Préstamos'!$C:$C))</f>
      </c>
      <c r="G232" s="16">
        <f>IF($B232="","",MAX($E232-$F232,0))</f>
      </c>
      <c r="H232" s="19">
        <f>IF($B232="","",IF($G232&lt;=0,"Pagado",IF($F232&gt;0,"Abono parcial","Pendiente")))</f>
      </c>
      <c r="I232" s="17">
        <f>IF(OR($B232="",$G232&lt;=0),"",TODAY()-$A232)</f>
      </c>
      <c r="J232" s="19">
        <f>IF($B232="","",IF($G232&lt;=0,"✅ Pagado",IF($I232&gt;30,"🔴 Cóbrale ya ("&amp;$I232&amp;" días)",IF($I232&gt;15,"🟠 Lleva "&amp;$I232&amp;" días","🟢 Reciente ("&amp;$I232&amp;" días)"))))</f>
      </c>
      <c r="K232" s="20"/>
    </row>
    <row r="233">
      <c r="A233" s="23"/>
      <c r="B233" s="20"/>
      <c r="C233" s="20"/>
      <c r="D233" s="20"/>
      <c r="E233" s="22"/>
      <c r="F233" s="16">
        <f>IF($B233="","",SUMIF('Abonos Préstamos'!$B:$B,$B233,'Abonos Préstamos'!$C:$C))</f>
      </c>
      <c r="G233" s="16">
        <f>IF($B233="","",MAX($E233-$F233,0))</f>
      </c>
      <c r="H233" s="19">
        <f>IF($B233="","",IF($G233&lt;=0,"Pagado",IF($F233&gt;0,"Abono parcial","Pendiente")))</f>
      </c>
      <c r="I233" s="17">
        <f>IF(OR($B233="",$G233&lt;=0),"",TODAY()-$A233)</f>
      </c>
      <c r="J233" s="19">
        <f>IF($B233="","",IF($G233&lt;=0,"✅ Pagado",IF($I233&gt;30,"🔴 Cóbrale ya ("&amp;$I233&amp;" días)",IF($I233&gt;15,"🟠 Lleva "&amp;$I233&amp;" días","🟢 Reciente ("&amp;$I233&amp;" días)"))))</f>
      </c>
      <c r="K233" s="20"/>
    </row>
    <row r="234">
      <c r="A234" s="23"/>
      <c r="B234" s="20"/>
      <c r="C234" s="20"/>
      <c r="D234" s="20"/>
      <c r="E234" s="22"/>
      <c r="F234" s="16">
        <f>IF($B234="","",SUMIF('Abonos Préstamos'!$B:$B,$B234,'Abonos Préstamos'!$C:$C))</f>
      </c>
      <c r="G234" s="16">
        <f>IF($B234="","",MAX($E234-$F234,0))</f>
      </c>
      <c r="H234" s="19">
        <f>IF($B234="","",IF($G234&lt;=0,"Pagado",IF($F234&gt;0,"Abono parcial","Pendiente")))</f>
      </c>
      <c r="I234" s="17">
        <f>IF(OR($B234="",$G234&lt;=0),"",TODAY()-$A234)</f>
      </c>
      <c r="J234" s="19">
        <f>IF($B234="","",IF($G234&lt;=0,"✅ Pagado",IF($I234&gt;30,"🔴 Cóbrale ya ("&amp;$I234&amp;" días)",IF($I234&gt;15,"🟠 Lleva "&amp;$I234&amp;" días","🟢 Reciente ("&amp;$I234&amp;" días)"))))</f>
      </c>
      <c r="K234" s="20"/>
    </row>
    <row r="235">
      <c r="A235" s="23"/>
      <c r="B235" s="20"/>
      <c r="C235" s="20"/>
      <c r="D235" s="20"/>
      <c r="E235" s="22"/>
      <c r="F235" s="16">
        <f>IF($B235="","",SUMIF('Abonos Préstamos'!$B:$B,$B235,'Abonos Préstamos'!$C:$C))</f>
      </c>
      <c r="G235" s="16">
        <f>IF($B235="","",MAX($E235-$F235,0))</f>
      </c>
      <c r="H235" s="19">
        <f>IF($B235="","",IF($G235&lt;=0,"Pagado",IF($F235&gt;0,"Abono parcial","Pendiente")))</f>
      </c>
      <c r="I235" s="17">
        <f>IF(OR($B235="",$G235&lt;=0),"",TODAY()-$A235)</f>
      </c>
      <c r="J235" s="19">
        <f>IF($B235="","",IF($G235&lt;=0,"✅ Pagado",IF($I235&gt;30,"🔴 Cóbrale ya ("&amp;$I235&amp;" días)",IF($I235&gt;15,"🟠 Lleva "&amp;$I235&amp;" días","🟢 Reciente ("&amp;$I235&amp;" días)"))))</f>
      </c>
      <c r="K235" s="20"/>
    </row>
    <row r="236">
      <c r="A236" s="23"/>
      <c r="B236" s="20"/>
      <c r="C236" s="20"/>
      <c r="D236" s="20"/>
      <c r="E236" s="22"/>
      <c r="F236" s="16">
        <f>IF($B236="","",SUMIF('Abonos Préstamos'!$B:$B,$B236,'Abonos Préstamos'!$C:$C))</f>
      </c>
      <c r="G236" s="16">
        <f>IF($B236="","",MAX($E236-$F236,0))</f>
      </c>
      <c r="H236" s="19">
        <f>IF($B236="","",IF($G236&lt;=0,"Pagado",IF($F236&gt;0,"Abono parcial","Pendiente")))</f>
      </c>
      <c r="I236" s="17">
        <f>IF(OR($B236="",$G236&lt;=0),"",TODAY()-$A236)</f>
      </c>
      <c r="J236" s="19">
        <f>IF($B236="","",IF($G236&lt;=0,"✅ Pagado",IF($I236&gt;30,"🔴 Cóbrale ya ("&amp;$I236&amp;" días)",IF($I236&gt;15,"🟠 Lleva "&amp;$I236&amp;" días","🟢 Reciente ("&amp;$I236&amp;" días)"))))</f>
      </c>
      <c r="K236" s="20"/>
    </row>
    <row r="237">
      <c r="A237" s="23"/>
      <c r="B237" s="20"/>
      <c r="C237" s="20"/>
      <c r="D237" s="20"/>
      <c r="E237" s="22"/>
      <c r="F237" s="16">
        <f>IF($B237="","",SUMIF('Abonos Préstamos'!$B:$B,$B237,'Abonos Préstamos'!$C:$C))</f>
      </c>
      <c r="G237" s="16">
        <f>IF($B237="","",MAX($E237-$F237,0))</f>
      </c>
      <c r="H237" s="19">
        <f>IF($B237="","",IF($G237&lt;=0,"Pagado",IF($F237&gt;0,"Abono parcial","Pendiente")))</f>
      </c>
      <c r="I237" s="17">
        <f>IF(OR($B237="",$G237&lt;=0),"",TODAY()-$A237)</f>
      </c>
      <c r="J237" s="19">
        <f>IF($B237="","",IF($G237&lt;=0,"✅ Pagado",IF($I237&gt;30,"🔴 Cóbrale ya ("&amp;$I237&amp;" días)",IF($I237&gt;15,"🟠 Lleva "&amp;$I237&amp;" días","🟢 Reciente ("&amp;$I237&amp;" días)"))))</f>
      </c>
      <c r="K237" s="20"/>
    </row>
    <row r="238">
      <c r="A238" s="23"/>
      <c r="B238" s="20"/>
      <c r="C238" s="20"/>
      <c r="D238" s="20"/>
      <c r="E238" s="22"/>
      <c r="F238" s="16">
        <f>IF($B238="","",SUMIF('Abonos Préstamos'!$B:$B,$B238,'Abonos Préstamos'!$C:$C))</f>
      </c>
      <c r="G238" s="16">
        <f>IF($B238="","",MAX($E238-$F238,0))</f>
      </c>
      <c r="H238" s="19">
        <f>IF($B238="","",IF($G238&lt;=0,"Pagado",IF($F238&gt;0,"Abono parcial","Pendiente")))</f>
      </c>
      <c r="I238" s="17">
        <f>IF(OR($B238="",$G238&lt;=0),"",TODAY()-$A238)</f>
      </c>
      <c r="J238" s="19">
        <f>IF($B238="","",IF($G238&lt;=0,"✅ Pagado",IF($I238&gt;30,"🔴 Cóbrale ya ("&amp;$I238&amp;" días)",IF($I238&gt;15,"🟠 Lleva "&amp;$I238&amp;" días","🟢 Reciente ("&amp;$I238&amp;" días)"))))</f>
      </c>
      <c r="K238" s="20"/>
    </row>
    <row r="239">
      <c r="A239" s="23"/>
      <c r="B239" s="20"/>
      <c r="C239" s="20"/>
      <c r="D239" s="20"/>
      <c r="E239" s="22"/>
      <c r="F239" s="16">
        <f>IF($B239="","",SUMIF('Abonos Préstamos'!$B:$B,$B239,'Abonos Préstamos'!$C:$C))</f>
      </c>
      <c r="G239" s="16">
        <f>IF($B239="","",MAX($E239-$F239,0))</f>
      </c>
      <c r="H239" s="19">
        <f>IF($B239="","",IF($G239&lt;=0,"Pagado",IF($F239&gt;0,"Abono parcial","Pendiente")))</f>
      </c>
      <c r="I239" s="17">
        <f>IF(OR($B239="",$G239&lt;=0),"",TODAY()-$A239)</f>
      </c>
      <c r="J239" s="19">
        <f>IF($B239="","",IF($G239&lt;=0,"✅ Pagado",IF($I239&gt;30,"🔴 Cóbrale ya ("&amp;$I239&amp;" días)",IF($I239&gt;15,"🟠 Lleva "&amp;$I239&amp;" días","🟢 Reciente ("&amp;$I239&amp;" días)"))))</f>
      </c>
      <c r="K239" s="20"/>
    </row>
    <row r="240">
      <c r="A240" s="23"/>
      <c r="B240" s="20"/>
      <c r="C240" s="20"/>
      <c r="D240" s="20"/>
      <c r="E240" s="22"/>
      <c r="F240" s="16">
        <f>IF($B240="","",SUMIF('Abonos Préstamos'!$B:$B,$B240,'Abonos Préstamos'!$C:$C))</f>
      </c>
      <c r="G240" s="16">
        <f>IF($B240="","",MAX($E240-$F240,0))</f>
      </c>
      <c r="H240" s="19">
        <f>IF($B240="","",IF($G240&lt;=0,"Pagado",IF($F240&gt;0,"Abono parcial","Pendiente")))</f>
      </c>
      <c r="I240" s="17">
        <f>IF(OR($B240="",$G240&lt;=0),"",TODAY()-$A240)</f>
      </c>
      <c r="J240" s="19">
        <f>IF($B240="","",IF($G240&lt;=0,"✅ Pagado",IF($I240&gt;30,"🔴 Cóbrale ya ("&amp;$I240&amp;" días)",IF($I240&gt;15,"🟠 Lleva "&amp;$I240&amp;" días","🟢 Reciente ("&amp;$I240&amp;" días)"))))</f>
      </c>
      <c r="K240" s="20"/>
    </row>
    <row r="241">
      <c r="A241" s="23"/>
      <c r="B241" s="20"/>
      <c r="C241" s="20"/>
      <c r="D241" s="20"/>
      <c r="E241" s="22"/>
      <c r="F241" s="16">
        <f>IF($B241="","",SUMIF('Abonos Préstamos'!$B:$B,$B241,'Abonos Préstamos'!$C:$C))</f>
      </c>
      <c r="G241" s="16">
        <f>IF($B241="","",MAX($E241-$F241,0))</f>
      </c>
      <c r="H241" s="19">
        <f>IF($B241="","",IF($G241&lt;=0,"Pagado",IF($F241&gt;0,"Abono parcial","Pendiente")))</f>
      </c>
      <c r="I241" s="17">
        <f>IF(OR($B241="",$G241&lt;=0),"",TODAY()-$A241)</f>
      </c>
      <c r="J241" s="19">
        <f>IF($B241="","",IF($G241&lt;=0,"✅ Pagado",IF($I241&gt;30,"🔴 Cóbrale ya ("&amp;$I241&amp;" días)",IF($I241&gt;15,"🟠 Lleva "&amp;$I241&amp;" días","🟢 Reciente ("&amp;$I241&amp;" días)"))))</f>
      </c>
      <c r="K241" s="20"/>
    </row>
    <row r="242">
      <c r="A242" s="23"/>
      <c r="B242" s="20"/>
      <c r="C242" s="20"/>
      <c r="D242" s="20"/>
      <c r="E242" s="22"/>
      <c r="F242" s="16">
        <f>IF($B242="","",SUMIF('Abonos Préstamos'!$B:$B,$B242,'Abonos Préstamos'!$C:$C))</f>
      </c>
      <c r="G242" s="16">
        <f>IF($B242="","",MAX($E242-$F242,0))</f>
      </c>
      <c r="H242" s="19">
        <f>IF($B242="","",IF($G242&lt;=0,"Pagado",IF($F242&gt;0,"Abono parcial","Pendiente")))</f>
      </c>
      <c r="I242" s="17">
        <f>IF(OR($B242="",$G242&lt;=0),"",TODAY()-$A242)</f>
      </c>
      <c r="J242" s="19">
        <f>IF($B242="","",IF($G242&lt;=0,"✅ Pagado",IF($I242&gt;30,"🔴 Cóbrale ya ("&amp;$I242&amp;" días)",IF($I242&gt;15,"🟠 Lleva "&amp;$I242&amp;" días","🟢 Reciente ("&amp;$I242&amp;" días)"))))</f>
      </c>
      <c r="K242" s="20"/>
    </row>
    <row r="243">
      <c r="A243" s="23"/>
      <c r="B243" s="20"/>
      <c r="C243" s="20"/>
      <c r="D243" s="20"/>
      <c r="E243" s="22"/>
      <c r="F243" s="16">
        <f>IF($B243="","",SUMIF('Abonos Préstamos'!$B:$B,$B243,'Abonos Préstamos'!$C:$C))</f>
      </c>
      <c r="G243" s="16">
        <f>IF($B243="","",MAX($E243-$F243,0))</f>
      </c>
      <c r="H243" s="19">
        <f>IF($B243="","",IF($G243&lt;=0,"Pagado",IF($F243&gt;0,"Abono parcial","Pendiente")))</f>
      </c>
      <c r="I243" s="17">
        <f>IF(OR($B243="",$G243&lt;=0),"",TODAY()-$A243)</f>
      </c>
      <c r="J243" s="19">
        <f>IF($B243="","",IF($G243&lt;=0,"✅ Pagado",IF($I243&gt;30,"🔴 Cóbrale ya ("&amp;$I243&amp;" días)",IF($I243&gt;15,"🟠 Lleva "&amp;$I243&amp;" días","🟢 Reciente ("&amp;$I243&amp;" días)"))))</f>
      </c>
      <c r="K243" s="20"/>
    </row>
    <row r="244">
      <c r="A244" s="23"/>
      <c r="B244" s="20"/>
      <c r="C244" s="20"/>
      <c r="D244" s="20"/>
      <c r="E244" s="22"/>
      <c r="F244" s="16">
        <f>IF($B244="","",SUMIF('Abonos Préstamos'!$B:$B,$B244,'Abonos Préstamos'!$C:$C))</f>
      </c>
      <c r="G244" s="16">
        <f>IF($B244="","",MAX($E244-$F244,0))</f>
      </c>
      <c r="H244" s="19">
        <f>IF($B244="","",IF($G244&lt;=0,"Pagado",IF($F244&gt;0,"Abono parcial","Pendiente")))</f>
      </c>
      <c r="I244" s="17">
        <f>IF(OR($B244="",$G244&lt;=0),"",TODAY()-$A244)</f>
      </c>
      <c r="J244" s="19">
        <f>IF($B244="","",IF($G244&lt;=0,"✅ Pagado",IF($I244&gt;30,"🔴 Cóbrale ya ("&amp;$I244&amp;" días)",IF($I244&gt;15,"🟠 Lleva "&amp;$I244&amp;" días","🟢 Reciente ("&amp;$I244&amp;" días)"))))</f>
      </c>
      <c r="K244" s="20"/>
    </row>
    <row r="245">
      <c r="A245" s="23"/>
      <c r="B245" s="20"/>
      <c r="C245" s="20"/>
      <c r="D245" s="20"/>
      <c r="E245" s="22"/>
      <c r="F245" s="16">
        <f>IF($B245="","",SUMIF('Abonos Préstamos'!$B:$B,$B245,'Abonos Préstamos'!$C:$C))</f>
      </c>
      <c r="G245" s="16">
        <f>IF($B245="","",MAX($E245-$F245,0))</f>
      </c>
      <c r="H245" s="19">
        <f>IF($B245="","",IF($G245&lt;=0,"Pagado",IF($F245&gt;0,"Abono parcial","Pendiente")))</f>
      </c>
      <c r="I245" s="17">
        <f>IF(OR($B245="",$G245&lt;=0),"",TODAY()-$A245)</f>
      </c>
      <c r="J245" s="19">
        <f>IF($B245="","",IF($G245&lt;=0,"✅ Pagado",IF($I245&gt;30,"🔴 Cóbrale ya ("&amp;$I245&amp;" días)",IF($I245&gt;15,"🟠 Lleva "&amp;$I245&amp;" días","🟢 Reciente ("&amp;$I245&amp;" días)"))))</f>
      </c>
      <c r="K245" s="20"/>
    </row>
    <row r="246">
      <c r="A246" s="23"/>
      <c r="B246" s="20"/>
      <c r="C246" s="20"/>
      <c r="D246" s="20"/>
      <c r="E246" s="22"/>
      <c r="F246" s="16">
        <f>IF($B246="","",SUMIF('Abonos Préstamos'!$B:$B,$B246,'Abonos Préstamos'!$C:$C))</f>
      </c>
      <c r="G246" s="16">
        <f>IF($B246="","",MAX($E246-$F246,0))</f>
      </c>
      <c r="H246" s="19">
        <f>IF($B246="","",IF($G246&lt;=0,"Pagado",IF($F246&gt;0,"Abono parcial","Pendiente")))</f>
      </c>
      <c r="I246" s="17">
        <f>IF(OR($B246="",$G246&lt;=0),"",TODAY()-$A246)</f>
      </c>
      <c r="J246" s="19">
        <f>IF($B246="","",IF($G246&lt;=0,"✅ Pagado",IF($I246&gt;30,"🔴 Cóbrale ya ("&amp;$I246&amp;" días)",IF($I246&gt;15,"🟠 Lleva "&amp;$I246&amp;" días","🟢 Reciente ("&amp;$I246&amp;" días)"))))</f>
      </c>
      <c r="K246" s="20"/>
    </row>
    <row r="247">
      <c r="A247" s="23"/>
      <c r="B247" s="20"/>
      <c r="C247" s="20"/>
      <c r="D247" s="20"/>
      <c r="E247" s="22"/>
      <c r="F247" s="16">
        <f>IF($B247="","",SUMIF('Abonos Préstamos'!$B:$B,$B247,'Abonos Préstamos'!$C:$C))</f>
      </c>
      <c r="G247" s="16">
        <f>IF($B247="","",MAX($E247-$F247,0))</f>
      </c>
      <c r="H247" s="19">
        <f>IF($B247="","",IF($G247&lt;=0,"Pagado",IF($F247&gt;0,"Abono parcial","Pendiente")))</f>
      </c>
      <c r="I247" s="17">
        <f>IF(OR($B247="",$G247&lt;=0),"",TODAY()-$A247)</f>
      </c>
      <c r="J247" s="19">
        <f>IF($B247="","",IF($G247&lt;=0,"✅ Pagado",IF($I247&gt;30,"🔴 Cóbrale ya ("&amp;$I247&amp;" días)",IF($I247&gt;15,"🟠 Lleva "&amp;$I247&amp;" días","🟢 Reciente ("&amp;$I247&amp;" días)"))))</f>
      </c>
      <c r="K247" s="20"/>
    </row>
    <row r="248">
      <c r="A248" s="23"/>
      <c r="B248" s="20"/>
      <c r="C248" s="20"/>
      <c r="D248" s="20"/>
      <c r="E248" s="22"/>
      <c r="F248" s="16">
        <f>IF($B248="","",SUMIF('Abonos Préstamos'!$B:$B,$B248,'Abonos Préstamos'!$C:$C))</f>
      </c>
      <c r="G248" s="16">
        <f>IF($B248="","",MAX($E248-$F248,0))</f>
      </c>
      <c r="H248" s="19">
        <f>IF($B248="","",IF($G248&lt;=0,"Pagado",IF($F248&gt;0,"Abono parcial","Pendiente")))</f>
      </c>
      <c r="I248" s="17">
        <f>IF(OR($B248="",$G248&lt;=0),"",TODAY()-$A248)</f>
      </c>
      <c r="J248" s="19">
        <f>IF($B248="","",IF($G248&lt;=0,"✅ Pagado",IF($I248&gt;30,"🔴 Cóbrale ya ("&amp;$I248&amp;" días)",IF($I248&gt;15,"🟠 Lleva "&amp;$I248&amp;" días","🟢 Reciente ("&amp;$I248&amp;" días)"))))</f>
      </c>
      <c r="K248" s="20"/>
    </row>
    <row r="249">
      <c r="A249" s="23"/>
      <c r="B249" s="20"/>
      <c r="C249" s="20"/>
      <c r="D249" s="20"/>
      <c r="E249" s="22"/>
      <c r="F249" s="16">
        <f>IF($B249="","",SUMIF('Abonos Préstamos'!$B:$B,$B249,'Abonos Préstamos'!$C:$C))</f>
      </c>
      <c r="G249" s="16">
        <f>IF($B249="","",MAX($E249-$F249,0))</f>
      </c>
      <c r="H249" s="19">
        <f>IF($B249="","",IF($G249&lt;=0,"Pagado",IF($F249&gt;0,"Abono parcial","Pendiente")))</f>
      </c>
      <c r="I249" s="17">
        <f>IF(OR($B249="",$G249&lt;=0),"",TODAY()-$A249)</f>
      </c>
      <c r="J249" s="19">
        <f>IF($B249="","",IF($G249&lt;=0,"✅ Pagado",IF($I249&gt;30,"🔴 Cóbrale ya ("&amp;$I249&amp;" días)",IF($I249&gt;15,"🟠 Lleva "&amp;$I249&amp;" días","🟢 Reciente ("&amp;$I249&amp;" días)"))))</f>
      </c>
      <c r="K249" s="20"/>
    </row>
    <row r="250">
      <c r="A250" s="23"/>
      <c r="B250" s="20"/>
      <c r="C250" s="20"/>
      <c r="D250" s="20"/>
      <c r="E250" s="22"/>
      <c r="F250" s="16">
        <f>IF($B250="","",SUMIF('Abonos Préstamos'!$B:$B,$B250,'Abonos Préstamos'!$C:$C))</f>
      </c>
      <c r="G250" s="16">
        <f>IF($B250="","",MAX($E250-$F250,0))</f>
      </c>
      <c r="H250" s="19">
        <f>IF($B250="","",IF($G250&lt;=0,"Pagado",IF($F250&gt;0,"Abono parcial","Pendiente")))</f>
      </c>
      <c r="I250" s="17">
        <f>IF(OR($B250="",$G250&lt;=0),"",TODAY()-$A250)</f>
      </c>
      <c r="J250" s="19">
        <f>IF($B250="","",IF($G250&lt;=0,"✅ Pagado",IF($I250&gt;30,"🔴 Cóbrale ya ("&amp;$I250&amp;" días)",IF($I250&gt;15,"🟠 Lleva "&amp;$I250&amp;" días","🟢 Reciente ("&amp;$I250&amp;" días)"))))</f>
      </c>
      <c r="K250" s="20"/>
    </row>
    <row r="251">
      <c r="A251" s="23"/>
      <c r="B251" s="20"/>
      <c r="C251" s="20"/>
      <c r="D251" s="20"/>
      <c r="E251" s="22"/>
      <c r="F251" s="16">
        <f>IF($B251="","",SUMIF('Abonos Préstamos'!$B:$B,$B251,'Abonos Préstamos'!$C:$C))</f>
      </c>
      <c r="G251" s="16">
        <f>IF($B251="","",MAX($E251-$F251,0))</f>
      </c>
      <c r="H251" s="19">
        <f>IF($B251="","",IF($G251&lt;=0,"Pagado",IF($F251&gt;0,"Abono parcial","Pendiente")))</f>
      </c>
      <c r="I251" s="17">
        <f>IF(OR($B251="",$G251&lt;=0),"",TODAY()-$A251)</f>
      </c>
      <c r="J251" s="19">
        <f>IF($B251="","",IF($G251&lt;=0,"✅ Pagado",IF($I251&gt;30,"🔴 Cóbrale ya ("&amp;$I251&amp;" días)",IF($I251&gt;15,"🟠 Lleva "&amp;$I251&amp;" días","🟢 Reciente ("&amp;$I251&amp;" días)"))))</f>
      </c>
      <c r="K251" s="20"/>
    </row>
    <row r="252">
      <c r="A252" s="23"/>
      <c r="B252" s="20"/>
      <c r="C252" s="20"/>
      <c r="D252" s="20"/>
      <c r="E252" s="22"/>
      <c r="F252" s="16">
        <f>IF($B252="","",SUMIF('Abonos Préstamos'!$B:$B,$B252,'Abonos Préstamos'!$C:$C))</f>
      </c>
      <c r="G252" s="16">
        <f>IF($B252="","",MAX($E252-$F252,0))</f>
      </c>
      <c r="H252" s="19">
        <f>IF($B252="","",IF($G252&lt;=0,"Pagado",IF($F252&gt;0,"Abono parcial","Pendiente")))</f>
      </c>
      <c r="I252" s="17">
        <f>IF(OR($B252="",$G252&lt;=0),"",TODAY()-$A252)</f>
      </c>
      <c r="J252" s="19">
        <f>IF($B252="","",IF($G252&lt;=0,"✅ Pagado",IF($I252&gt;30,"🔴 Cóbrale ya ("&amp;$I252&amp;" días)",IF($I252&gt;15,"🟠 Lleva "&amp;$I252&amp;" días","🟢 Reciente ("&amp;$I252&amp;" días)"))))</f>
      </c>
      <c r="K252" s="20"/>
    </row>
    <row r="253">
      <c r="A253" s="23"/>
      <c r="B253" s="20"/>
      <c r="C253" s="20"/>
      <c r="D253" s="20"/>
      <c r="E253" s="22"/>
      <c r="F253" s="16">
        <f>IF($B253="","",SUMIF('Abonos Préstamos'!$B:$B,$B253,'Abonos Préstamos'!$C:$C))</f>
      </c>
      <c r="G253" s="16">
        <f>IF($B253="","",MAX($E253-$F253,0))</f>
      </c>
      <c r="H253" s="19">
        <f>IF($B253="","",IF($G253&lt;=0,"Pagado",IF($F253&gt;0,"Abono parcial","Pendiente")))</f>
      </c>
      <c r="I253" s="17">
        <f>IF(OR($B253="",$G253&lt;=0),"",TODAY()-$A253)</f>
      </c>
      <c r="J253" s="19">
        <f>IF($B253="","",IF($G253&lt;=0,"✅ Pagado",IF($I253&gt;30,"🔴 Cóbrale ya ("&amp;$I253&amp;" días)",IF($I253&gt;15,"🟠 Lleva "&amp;$I253&amp;" días","🟢 Reciente ("&amp;$I253&amp;" días)"))))</f>
      </c>
      <c r="K253" s="20"/>
    </row>
    <row r="254">
      <c r="A254" s="23"/>
      <c r="B254" s="20"/>
      <c r="C254" s="20"/>
      <c r="D254" s="20"/>
      <c r="E254" s="22"/>
      <c r="F254" s="16">
        <f>IF($B254="","",SUMIF('Abonos Préstamos'!$B:$B,$B254,'Abonos Préstamos'!$C:$C))</f>
      </c>
      <c r="G254" s="16">
        <f>IF($B254="","",MAX($E254-$F254,0))</f>
      </c>
      <c r="H254" s="19">
        <f>IF($B254="","",IF($G254&lt;=0,"Pagado",IF($F254&gt;0,"Abono parcial","Pendiente")))</f>
      </c>
      <c r="I254" s="17">
        <f>IF(OR($B254="",$G254&lt;=0),"",TODAY()-$A254)</f>
      </c>
      <c r="J254" s="19">
        <f>IF($B254="","",IF($G254&lt;=0,"✅ Pagado",IF($I254&gt;30,"🔴 Cóbrale ya ("&amp;$I254&amp;" días)",IF($I254&gt;15,"🟠 Lleva "&amp;$I254&amp;" días","🟢 Reciente ("&amp;$I254&amp;" días)"))))</f>
      </c>
      <c r="K254" s="20"/>
    </row>
    <row r="255">
      <c r="A255" s="23"/>
      <c r="B255" s="20"/>
      <c r="C255" s="20"/>
      <c r="D255" s="20"/>
      <c r="E255" s="22"/>
      <c r="F255" s="16">
        <f>IF($B255="","",SUMIF('Abonos Préstamos'!$B:$B,$B255,'Abonos Préstamos'!$C:$C))</f>
      </c>
      <c r="G255" s="16">
        <f>IF($B255="","",MAX($E255-$F255,0))</f>
      </c>
      <c r="H255" s="19">
        <f>IF($B255="","",IF($G255&lt;=0,"Pagado",IF($F255&gt;0,"Abono parcial","Pendiente")))</f>
      </c>
      <c r="I255" s="17">
        <f>IF(OR($B255="",$G255&lt;=0),"",TODAY()-$A255)</f>
      </c>
      <c r="J255" s="19">
        <f>IF($B255="","",IF($G255&lt;=0,"✅ Pagado",IF($I255&gt;30,"🔴 Cóbrale ya ("&amp;$I255&amp;" días)",IF($I255&gt;15,"🟠 Lleva "&amp;$I255&amp;" días","🟢 Reciente ("&amp;$I255&amp;" días)"))))</f>
      </c>
      <c r="K255" s="20"/>
    </row>
    <row r="256">
      <c r="A256" s="23"/>
      <c r="B256" s="20"/>
      <c r="C256" s="20"/>
      <c r="D256" s="20"/>
      <c r="E256" s="22"/>
      <c r="F256" s="16">
        <f>IF($B256="","",SUMIF('Abonos Préstamos'!$B:$B,$B256,'Abonos Préstamos'!$C:$C))</f>
      </c>
      <c r="G256" s="16">
        <f>IF($B256="","",MAX($E256-$F256,0))</f>
      </c>
      <c r="H256" s="19">
        <f>IF($B256="","",IF($G256&lt;=0,"Pagado",IF($F256&gt;0,"Abono parcial","Pendiente")))</f>
      </c>
      <c r="I256" s="17">
        <f>IF(OR($B256="",$G256&lt;=0),"",TODAY()-$A256)</f>
      </c>
      <c r="J256" s="19">
        <f>IF($B256="","",IF($G256&lt;=0,"✅ Pagado",IF($I256&gt;30,"🔴 Cóbrale ya ("&amp;$I256&amp;" días)",IF($I256&gt;15,"🟠 Lleva "&amp;$I256&amp;" días","🟢 Reciente ("&amp;$I256&amp;" días)"))))</f>
      </c>
      <c r="K256" s="20"/>
    </row>
    <row r="257">
      <c r="A257" s="23"/>
      <c r="B257" s="20"/>
      <c r="C257" s="20"/>
      <c r="D257" s="20"/>
      <c r="E257" s="22"/>
      <c r="F257" s="16">
        <f>IF($B257="","",SUMIF('Abonos Préstamos'!$B:$B,$B257,'Abonos Préstamos'!$C:$C))</f>
      </c>
      <c r="G257" s="16">
        <f>IF($B257="","",MAX($E257-$F257,0))</f>
      </c>
      <c r="H257" s="19">
        <f>IF($B257="","",IF($G257&lt;=0,"Pagado",IF($F257&gt;0,"Abono parcial","Pendiente")))</f>
      </c>
      <c r="I257" s="17">
        <f>IF(OR($B257="",$G257&lt;=0),"",TODAY()-$A257)</f>
      </c>
      <c r="J257" s="19">
        <f>IF($B257="","",IF($G257&lt;=0,"✅ Pagado",IF($I257&gt;30,"🔴 Cóbrale ya ("&amp;$I257&amp;" días)",IF($I257&gt;15,"🟠 Lleva "&amp;$I257&amp;" días","🟢 Reciente ("&amp;$I257&amp;" días)"))))</f>
      </c>
      <c r="K257" s="20"/>
    </row>
    <row r="258">
      <c r="A258" s="23"/>
      <c r="B258" s="20"/>
      <c r="C258" s="20"/>
      <c r="D258" s="20"/>
      <c r="E258" s="22"/>
      <c r="F258" s="16">
        <f>IF($B258="","",SUMIF('Abonos Préstamos'!$B:$B,$B258,'Abonos Préstamos'!$C:$C))</f>
      </c>
      <c r="G258" s="16">
        <f>IF($B258="","",MAX($E258-$F258,0))</f>
      </c>
      <c r="H258" s="19">
        <f>IF($B258="","",IF($G258&lt;=0,"Pagado",IF($F258&gt;0,"Abono parcial","Pendiente")))</f>
      </c>
      <c r="I258" s="17">
        <f>IF(OR($B258="",$G258&lt;=0),"",TODAY()-$A258)</f>
      </c>
      <c r="J258" s="19">
        <f>IF($B258="","",IF($G258&lt;=0,"✅ Pagado",IF($I258&gt;30,"🔴 Cóbrale ya ("&amp;$I258&amp;" días)",IF($I258&gt;15,"🟠 Lleva "&amp;$I258&amp;" días","🟢 Reciente ("&amp;$I258&amp;" días)"))))</f>
      </c>
      <c r="K258" s="20"/>
    </row>
    <row r="259">
      <c r="A259" s="23"/>
      <c r="B259" s="20"/>
      <c r="C259" s="20"/>
      <c r="D259" s="20"/>
      <c r="E259" s="22"/>
      <c r="F259" s="16">
        <f>IF($B259="","",SUMIF('Abonos Préstamos'!$B:$B,$B259,'Abonos Préstamos'!$C:$C))</f>
      </c>
      <c r="G259" s="16">
        <f>IF($B259="","",MAX($E259-$F259,0))</f>
      </c>
      <c r="H259" s="19">
        <f>IF($B259="","",IF($G259&lt;=0,"Pagado",IF($F259&gt;0,"Abono parcial","Pendiente")))</f>
      </c>
      <c r="I259" s="17">
        <f>IF(OR($B259="",$G259&lt;=0),"",TODAY()-$A259)</f>
      </c>
      <c r="J259" s="19">
        <f>IF($B259="","",IF($G259&lt;=0,"✅ Pagado",IF($I259&gt;30,"🔴 Cóbrale ya ("&amp;$I259&amp;" días)",IF($I259&gt;15,"🟠 Lleva "&amp;$I259&amp;" días","🟢 Reciente ("&amp;$I259&amp;" días)"))))</f>
      </c>
      <c r="K259" s="20"/>
    </row>
    <row r="260">
      <c r="A260" s="23"/>
      <c r="B260" s="20"/>
      <c r="C260" s="20"/>
      <c r="D260" s="20"/>
      <c r="E260" s="22"/>
      <c r="F260" s="16">
        <f>IF($B260="","",SUMIF('Abonos Préstamos'!$B:$B,$B260,'Abonos Préstamos'!$C:$C))</f>
      </c>
      <c r="G260" s="16">
        <f>IF($B260="","",MAX($E260-$F260,0))</f>
      </c>
      <c r="H260" s="19">
        <f>IF($B260="","",IF($G260&lt;=0,"Pagado",IF($F260&gt;0,"Abono parcial","Pendiente")))</f>
      </c>
      <c r="I260" s="17">
        <f>IF(OR($B260="",$G260&lt;=0),"",TODAY()-$A260)</f>
      </c>
      <c r="J260" s="19">
        <f>IF($B260="","",IF($G260&lt;=0,"✅ Pagado",IF($I260&gt;30,"🔴 Cóbrale ya ("&amp;$I260&amp;" días)",IF($I260&gt;15,"🟠 Lleva "&amp;$I260&amp;" días","🟢 Reciente ("&amp;$I260&amp;" días)"))))</f>
      </c>
      <c r="K260" s="20"/>
    </row>
    <row r="261">
      <c r="A261" s="23"/>
      <c r="B261" s="20"/>
      <c r="C261" s="20"/>
      <c r="D261" s="20"/>
      <c r="E261" s="22"/>
      <c r="F261" s="16">
        <f>IF($B261="","",SUMIF('Abonos Préstamos'!$B:$B,$B261,'Abonos Préstamos'!$C:$C))</f>
      </c>
      <c r="G261" s="16">
        <f>IF($B261="","",MAX($E261-$F261,0))</f>
      </c>
      <c r="H261" s="19">
        <f>IF($B261="","",IF($G261&lt;=0,"Pagado",IF($F261&gt;0,"Abono parcial","Pendiente")))</f>
      </c>
      <c r="I261" s="17">
        <f>IF(OR($B261="",$G261&lt;=0),"",TODAY()-$A261)</f>
      </c>
      <c r="J261" s="19">
        <f>IF($B261="","",IF($G261&lt;=0,"✅ Pagado",IF($I261&gt;30,"🔴 Cóbrale ya ("&amp;$I261&amp;" días)",IF($I261&gt;15,"🟠 Lleva "&amp;$I261&amp;" días","🟢 Reciente ("&amp;$I261&amp;" días)"))))</f>
      </c>
      <c r="K261" s="20"/>
    </row>
    <row r="262">
      <c r="A262" s="23"/>
      <c r="B262" s="20"/>
      <c r="C262" s="20"/>
      <c r="D262" s="20"/>
      <c r="E262" s="22"/>
      <c r="F262" s="16">
        <f>IF($B262="","",SUMIF('Abonos Préstamos'!$B:$B,$B262,'Abonos Préstamos'!$C:$C))</f>
      </c>
      <c r="G262" s="16">
        <f>IF($B262="","",MAX($E262-$F262,0))</f>
      </c>
      <c r="H262" s="19">
        <f>IF($B262="","",IF($G262&lt;=0,"Pagado",IF($F262&gt;0,"Abono parcial","Pendiente")))</f>
      </c>
      <c r="I262" s="17">
        <f>IF(OR($B262="",$G262&lt;=0),"",TODAY()-$A262)</f>
      </c>
      <c r="J262" s="19">
        <f>IF($B262="","",IF($G262&lt;=0,"✅ Pagado",IF($I262&gt;30,"🔴 Cóbrale ya ("&amp;$I262&amp;" días)",IF($I262&gt;15,"🟠 Lleva "&amp;$I262&amp;" días","🟢 Reciente ("&amp;$I262&amp;" días)"))))</f>
      </c>
      <c r="K262" s="20"/>
    </row>
    <row r="263">
      <c r="A263" s="23"/>
      <c r="B263" s="20"/>
      <c r="C263" s="20"/>
      <c r="D263" s="20"/>
      <c r="E263" s="22"/>
      <c r="F263" s="16">
        <f>IF($B263="","",SUMIF('Abonos Préstamos'!$B:$B,$B263,'Abonos Préstamos'!$C:$C))</f>
      </c>
      <c r="G263" s="16">
        <f>IF($B263="","",MAX($E263-$F263,0))</f>
      </c>
      <c r="H263" s="19">
        <f>IF($B263="","",IF($G263&lt;=0,"Pagado",IF($F263&gt;0,"Abono parcial","Pendiente")))</f>
      </c>
      <c r="I263" s="17">
        <f>IF(OR($B263="",$G263&lt;=0),"",TODAY()-$A263)</f>
      </c>
      <c r="J263" s="19">
        <f>IF($B263="","",IF($G263&lt;=0,"✅ Pagado",IF($I263&gt;30,"🔴 Cóbrale ya ("&amp;$I263&amp;" días)",IF($I263&gt;15,"🟠 Lleva "&amp;$I263&amp;" días","🟢 Reciente ("&amp;$I263&amp;" días)"))))</f>
      </c>
      <c r="K263" s="20"/>
    </row>
    <row r="264">
      <c r="A264" s="23"/>
      <c r="B264" s="20"/>
      <c r="C264" s="20"/>
      <c r="D264" s="20"/>
      <c r="E264" s="22"/>
      <c r="F264" s="16">
        <f>IF($B264="","",SUMIF('Abonos Préstamos'!$B:$B,$B264,'Abonos Préstamos'!$C:$C))</f>
      </c>
      <c r="G264" s="16">
        <f>IF($B264="","",MAX($E264-$F264,0))</f>
      </c>
      <c r="H264" s="19">
        <f>IF($B264="","",IF($G264&lt;=0,"Pagado",IF($F264&gt;0,"Abono parcial","Pendiente")))</f>
      </c>
      <c r="I264" s="17">
        <f>IF(OR($B264="",$G264&lt;=0),"",TODAY()-$A264)</f>
      </c>
      <c r="J264" s="19">
        <f>IF($B264="","",IF($G264&lt;=0,"✅ Pagado",IF($I264&gt;30,"🔴 Cóbrale ya ("&amp;$I264&amp;" días)",IF($I264&gt;15,"🟠 Lleva "&amp;$I264&amp;" días","🟢 Reciente ("&amp;$I264&amp;" días)"))))</f>
      </c>
      <c r="K264" s="20"/>
    </row>
    <row r="265">
      <c r="A265" s="23"/>
      <c r="B265" s="20"/>
      <c r="C265" s="20"/>
      <c r="D265" s="20"/>
      <c r="E265" s="22"/>
      <c r="F265" s="16">
        <f>IF($B265="","",SUMIF('Abonos Préstamos'!$B:$B,$B265,'Abonos Préstamos'!$C:$C))</f>
      </c>
      <c r="G265" s="16">
        <f>IF($B265="","",MAX($E265-$F265,0))</f>
      </c>
      <c r="H265" s="19">
        <f>IF($B265="","",IF($G265&lt;=0,"Pagado",IF($F265&gt;0,"Abono parcial","Pendiente")))</f>
      </c>
      <c r="I265" s="17">
        <f>IF(OR($B265="",$G265&lt;=0),"",TODAY()-$A265)</f>
      </c>
      <c r="J265" s="19">
        <f>IF($B265="","",IF($G265&lt;=0,"✅ Pagado",IF($I265&gt;30,"🔴 Cóbrale ya ("&amp;$I265&amp;" días)",IF($I265&gt;15,"🟠 Lleva "&amp;$I265&amp;" días","🟢 Reciente ("&amp;$I265&amp;" días)"))))</f>
      </c>
      <c r="K265" s="20"/>
    </row>
    <row r="266">
      <c r="A266" s="23"/>
      <c r="B266" s="20"/>
      <c r="C266" s="20"/>
      <c r="D266" s="20"/>
      <c r="E266" s="22"/>
      <c r="F266" s="16">
        <f>IF($B266="","",SUMIF('Abonos Préstamos'!$B:$B,$B266,'Abonos Préstamos'!$C:$C))</f>
      </c>
      <c r="G266" s="16">
        <f>IF($B266="","",MAX($E266-$F266,0))</f>
      </c>
      <c r="H266" s="19">
        <f>IF($B266="","",IF($G266&lt;=0,"Pagado",IF($F266&gt;0,"Abono parcial","Pendiente")))</f>
      </c>
      <c r="I266" s="17">
        <f>IF(OR($B266="",$G266&lt;=0),"",TODAY()-$A266)</f>
      </c>
      <c r="J266" s="19">
        <f>IF($B266="","",IF($G266&lt;=0,"✅ Pagado",IF($I266&gt;30,"🔴 Cóbrale ya ("&amp;$I266&amp;" días)",IF($I266&gt;15,"🟠 Lleva "&amp;$I266&amp;" días","🟢 Reciente ("&amp;$I266&amp;" días)"))))</f>
      </c>
      <c r="K266" s="20"/>
    </row>
    <row r="267">
      <c r="A267" s="23"/>
      <c r="B267" s="20"/>
      <c r="C267" s="20"/>
      <c r="D267" s="20"/>
      <c r="E267" s="22"/>
      <c r="F267" s="16">
        <f>IF($B267="","",SUMIF('Abonos Préstamos'!$B:$B,$B267,'Abonos Préstamos'!$C:$C))</f>
      </c>
      <c r="G267" s="16">
        <f>IF($B267="","",MAX($E267-$F267,0))</f>
      </c>
      <c r="H267" s="19">
        <f>IF($B267="","",IF($G267&lt;=0,"Pagado",IF($F267&gt;0,"Abono parcial","Pendiente")))</f>
      </c>
      <c r="I267" s="17">
        <f>IF(OR($B267="",$G267&lt;=0),"",TODAY()-$A267)</f>
      </c>
      <c r="J267" s="19">
        <f>IF($B267="","",IF($G267&lt;=0,"✅ Pagado",IF($I267&gt;30,"🔴 Cóbrale ya ("&amp;$I267&amp;" días)",IF($I267&gt;15,"🟠 Lleva "&amp;$I267&amp;" días","🟢 Reciente ("&amp;$I267&amp;" días)"))))</f>
      </c>
      <c r="K267" s="20"/>
    </row>
    <row r="268">
      <c r="A268" s="23"/>
      <c r="B268" s="20"/>
      <c r="C268" s="20"/>
      <c r="D268" s="20"/>
      <c r="E268" s="22"/>
      <c r="F268" s="16">
        <f>IF($B268="","",SUMIF('Abonos Préstamos'!$B:$B,$B268,'Abonos Préstamos'!$C:$C))</f>
      </c>
      <c r="G268" s="16">
        <f>IF($B268="","",MAX($E268-$F268,0))</f>
      </c>
      <c r="H268" s="19">
        <f>IF($B268="","",IF($G268&lt;=0,"Pagado",IF($F268&gt;0,"Abono parcial","Pendiente")))</f>
      </c>
      <c r="I268" s="17">
        <f>IF(OR($B268="",$G268&lt;=0),"",TODAY()-$A268)</f>
      </c>
      <c r="J268" s="19">
        <f>IF($B268="","",IF($G268&lt;=0,"✅ Pagado",IF($I268&gt;30,"🔴 Cóbrale ya ("&amp;$I268&amp;" días)",IF($I268&gt;15,"🟠 Lleva "&amp;$I268&amp;" días","🟢 Reciente ("&amp;$I268&amp;" días)"))))</f>
      </c>
      <c r="K268" s="20"/>
    </row>
    <row r="269">
      <c r="A269" s="23"/>
      <c r="B269" s="20"/>
      <c r="C269" s="20"/>
      <c r="D269" s="20"/>
      <c r="E269" s="22"/>
      <c r="F269" s="16">
        <f>IF($B269="","",SUMIF('Abonos Préstamos'!$B:$B,$B269,'Abonos Préstamos'!$C:$C))</f>
      </c>
      <c r="G269" s="16">
        <f>IF($B269="","",MAX($E269-$F269,0))</f>
      </c>
      <c r="H269" s="19">
        <f>IF($B269="","",IF($G269&lt;=0,"Pagado",IF($F269&gt;0,"Abono parcial","Pendiente")))</f>
      </c>
      <c r="I269" s="17">
        <f>IF(OR($B269="",$G269&lt;=0),"",TODAY()-$A269)</f>
      </c>
      <c r="J269" s="19">
        <f>IF($B269="","",IF($G269&lt;=0,"✅ Pagado",IF($I269&gt;30,"🔴 Cóbrale ya ("&amp;$I269&amp;" días)",IF($I269&gt;15,"🟠 Lleva "&amp;$I269&amp;" días","🟢 Reciente ("&amp;$I269&amp;" días)"))))</f>
      </c>
      <c r="K269" s="20"/>
    </row>
    <row r="270">
      <c r="A270" s="23"/>
      <c r="B270" s="20"/>
      <c r="C270" s="20"/>
      <c r="D270" s="20"/>
      <c r="E270" s="22"/>
      <c r="F270" s="16">
        <f>IF($B270="","",SUMIF('Abonos Préstamos'!$B:$B,$B270,'Abonos Préstamos'!$C:$C))</f>
      </c>
      <c r="G270" s="16">
        <f>IF($B270="","",MAX($E270-$F270,0))</f>
      </c>
      <c r="H270" s="19">
        <f>IF($B270="","",IF($G270&lt;=0,"Pagado",IF($F270&gt;0,"Abono parcial","Pendiente")))</f>
      </c>
      <c r="I270" s="17">
        <f>IF(OR($B270="",$G270&lt;=0),"",TODAY()-$A270)</f>
      </c>
      <c r="J270" s="19">
        <f>IF($B270="","",IF($G270&lt;=0,"✅ Pagado",IF($I270&gt;30,"🔴 Cóbrale ya ("&amp;$I270&amp;" días)",IF($I270&gt;15,"🟠 Lleva "&amp;$I270&amp;" días","🟢 Reciente ("&amp;$I270&amp;" días)"))))</f>
      </c>
      <c r="K270" s="20"/>
    </row>
    <row r="271">
      <c r="A271" s="23"/>
      <c r="B271" s="20"/>
      <c r="C271" s="20"/>
      <c r="D271" s="20"/>
      <c r="E271" s="22"/>
      <c r="F271" s="16">
        <f>IF($B271="","",SUMIF('Abonos Préstamos'!$B:$B,$B271,'Abonos Préstamos'!$C:$C))</f>
      </c>
      <c r="G271" s="16">
        <f>IF($B271="","",MAX($E271-$F271,0))</f>
      </c>
      <c r="H271" s="19">
        <f>IF($B271="","",IF($G271&lt;=0,"Pagado",IF($F271&gt;0,"Abono parcial","Pendiente")))</f>
      </c>
      <c r="I271" s="17">
        <f>IF(OR($B271="",$G271&lt;=0),"",TODAY()-$A271)</f>
      </c>
      <c r="J271" s="19">
        <f>IF($B271="","",IF($G271&lt;=0,"✅ Pagado",IF($I271&gt;30,"🔴 Cóbrale ya ("&amp;$I271&amp;" días)",IF($I271&gt;15,"🟠 Lleva "&amp;$I271&amp;" días","🟢 Reciente ("&amp;$I271&amp;" días)"))))</f>
      </c>
      <c r="K271" s="20"/>
    </row>
    <row r="272">
      <c r="A272" s="23"/>
      <c r="B272" s="20"/>
      <c r="C272" s="20"/>
      <c r="D272" s="20"/>
      <c r="E272" s="22"/>
      <c r="F272" s="16">
        <f>IF($B272="","",SUMIF('Abonos Préstamos'!$B:$B,$B272,'Abonos Préstamos'!$C:$C))</f>
      </c>
      <c r="G272" s="16">
        <f>IF($B272="","",MAX($E272-$F272,0))</f>
      </c>
      <c r="H272" s="19">
        <f>IF($B272="","",IF($G272&lt;=0,"Pagado",IF($F272&gt;0,"Abono parcial","Pendiente")))</f>
      </c>
      <c r="I272" s="17">
        <f>IF(OR($B272="",$G272&lt;=0),"",TODAY()-$A272)</f>
      </c>
      <c r="J272" s="19">
        <f>IF($B272="","",IF($G272&lt;=0,"✅ Pagado",IF($I272&gt;30,"🔴 Cóbrale ya ("&amp;$I272&amp;" días)",IF($I272&gt;15,"🟠 Lleva "&amp;$I272&amp;" días","🟢 Reciente ("&amp;$I272&amp;" días)"))))</f>
      </c>
      <c r="K272" s="20"/>
    </row>
    <row r="273">
      <c r="A273" s="23"/>
      <c r="B273" s="20"/>
      <c r="C273" s="20"/>
      <c r="D273" s="20"/>
      <c r="E273" s="22"/>
      <c r="F273" s="16">
        <f>IF($B273="","",SUMIF('Abonos Préstamos'!$B:$B,$B273,'Abonos Préstamos'!$C:$C))</f>
      </c>
      <c r="G273" s="16">
        <f>IF($B273="","",MAX($E273-$F273,0))</f>
      </c>
      <c r="H273" s="19">
        <f>IF($B273="","",IF($G273&lt;=0,"Pagado",IF($F273&gt;0,"Abono parcial","Pendiente")))</f>
      </c>
      <c r="I273" s="17">
        <f>IF(OR($B273="",$G273&lt;=0),"",TODAY()-$A273)</f>
      </c>
      <c r="J273" s="19">
        <f>IF($B273="","",IF($G273&lt;=0,"✅ Pagado",IF($I273&gt;30,"🔴 Cóbrale ya ("&amp;$I273&amp;" días)",IF($I273&gt;15,"🟠 Lleva "&amp;$I273&amp;" días","🟢 Reciente ("&amp;$I273&amp;" días)"))))</f>
      </c>
      <c r="K273" s="20"/>
    </row>
    <row r="274">
      <c r="A274" s="23"/>
      <c r="B274" s="20"/>
      <c r="C274" s="20"/>
      <c r="D274" s="20"/>
      <c r="E274" s="22"/>
      <c r="F274" s="16">
        <f>IF($B274="","",SUMIF('Abonos Préstamos'!$B:$B,$B274,'Abonos Préstamos'!$C:$C))</f>
      </c>
      <c r="G274" s="16">
        <f>IF($B274="","",MAX($E274-$F274,0))</f>
      </c>
      <c r="H274" s="19">
        <f>IF($B274="","",IF($G274&lt;=0,"Pagado",IF($F274&gt;0,"Abono parcial","Pendiente")))</f>
      </c>
      <c r="I274" s="17">
        <f>IF(OR($B274="",$G274&lt;=0),"",TODAY()-$A274)</f>
      </c>
      <c r="J274" s="19">
        <f>IF($B274="","",IF($G274&lt;=0,"✅ Pagado",IF($I274&gt;30,"🔴 Cóbrale ya ("&amp;$I274&amp;" días)",IF($I274&gt;15,"🟠 Lleva "&amp;$I274&amp;" días","🟢 Reciente ("&amp;$I274&amp;" días)"))))</f>
      </c>
      <c r="K274" s="20"/>
    </row>
    <row r="275">
      <c r="A275" s="23"/>
      <c r="B275" s="20"/>
      <c r="C275" s="20"/>
      <c r="D275" s="20"/>
      <c r="E275" s="22"/>
      <c r="F275" s="16">
        <f>IF($B275="","",SUMIF('Abonos Préstamos'!$B:$B,$B275,'Abonos Préstamos'!$C:$C))</f>
      </c>
      <c r="G275" s="16">
        <f>IF($B275="","",MAX($E275-$F275,0))</f>
      </c>
      <c r="H275" s="19">
        <f>IF($B275="","",IF($G275&lt;=0,"Pagado",IF($F275&gt;0,"Abono parcial","Pendiente")))</f>
      </c>
      <c r="I275" s="17">
        <f>IF(OR($B275="",$G275&lt;=0),"",TODAY()-$A275)</f>
      </c>
      <c r="J275" s="19">
        <f>IF($B275="","",IF($G275&lt;=0,"✅ Pagado",IF($I275&gt;30,"🔴 Cóbrale ya ("&amp;$I275&amp;" días)",IF($I275&gt;15,"🟠 Lleva "&amp;$I275&amp;" días","🟢 Reciente ("&amp;$I275&amp;" días)"))))</f>
      </c>
      <c r="K275" s="20"/>
    </row>
    <row r="276">
      <c r="A276" s="23"/>
      <c r="B276" s="20"/>
      <c r="C276" s="20"/>
      <c r="D276" s="20"/>
      <c r="E276" s="22"/>
      <c r="F276" s="16">
        <f>IF($B276="","",SUMIF('Abonos Préstamos'!$B:$B,$B276,'Abonos Préstamos'!$C:$C))</f>
      </c>
      <c r="G276" s="16">
        <f>IF($B276="","",MAX($E276-$F276,0))</f>
      </c>
      <c r="H276" s="19">
        <f>IF($B276="","",IF($G276&lt;=0,"Pagado",IF($F276&gt;0,"Abono parcial","Pendiente")))</f>
      </c>
      <c r="I276" s="17">
        <f>IF(OR($B276="",$G276&lt;=0),"",TODAY()-$A276)</f>
      </c>
      <c r="J276" s="19">
        <f>IF($B276="","",IF($G276&lt;=0,"✅ Pagado",IF($I276&gt;30,"🔴 Cóbrale ya ("&amp;$I276&amp;" días)",IF($I276&gt;15,"🟠 Lleva "&amp;$I276&amp;" días","🟢 Reciente ("&amp;$I276&amp;" días)"))))</f>
      </c>
      <c r="K276" s="20"/>
    </row>
    <row r="277">
      <c r="A277" s="23"/>
      <c r="B277" s="20"/>
      <c r="C277" s="20"/>
      <c r="D277" s="20"/>
      <c r="E277" s="22"/>
      <c r="F277" s="16">
        <f>IF($B277="","",SUMIF('Abonos Préstamos'!$B:$B,$B277,'Abonos Préstamos'!$C:$C))</f>
      </c>
      <c r="G277" s="16">
        <f>IF($B277="","",MAX($E277-$F277,0))</f>
      </c>
      <c r="H277" s="19">
        <f>IF($B277="","",IF($G277&lt;=0,"Pagado",IF($F277&gt;0,"Abono parcial","Pendiente")))</f>
      </c>
      <c r="I277" s="17">
        <f>IF(OR($B277="",$G277&lt;=0),"",TODAY()-$A277)</f>
      </c>
      <c r="J277" s="19">
        <f>IF($B277="","",IF($G277&lt;=0,"✅ Pagado",IF($I277&gt;30,"🔴 Cóbrale ya ("&amp;$I277&amp;" días)",IF($I277&gt;15,"🟠 Lleva "&amp;$I277&amp;" días","🟢 Reciente ("&amp;$I277&amp;" días)"))))</f>
      </c>
      <c r="K277" s="20"/>
    </row>
    <row r="278">
      <c r="A278" s="23"/>
      <c r="B278" s="20"/>
      <c r="C278" s="20"/>
      <c r="D278" s="20"/>
      <c r="E278" s="22"/>
      <c r="F278" s="16">
        <f>IF($B278="","",SUMIF('Abonos Préstamos'!$B:$B,$B278,'Abonos Préstamos'!$C:$C))</f>
      </c>
      <c r="G278" s="16">
        <f>IF($B278="","",MAX($E278-$F278,0))</f>
      </c>
      <c r="H278" s="19">
        <f>IF($B278="","",IF($G278&lt;=0,"Pagado",IF($F278&gt;0,"Abono parcial","Pendiente")))</f>
      </c>
      <c r="I278" s="17">
        <f>IF(OR($B278="",$G278&lt;=0),"",TODAY()-$A278)</f>
      </c>
      <c r="J278" s="19">
        <f>IF($B278="","",IF($G278&lt;=0,"✅ Pagado",IF($I278&gt;30,"🔴 Cóbrale ya ("&amp;$I278&amp;" días)",IF($I278&gt;15,"🟠 Lleva "&amp;$I278&amp;" días","🟢 Reciente ("&amp;$I278&amp;" días)"))))</f>
      </c>
      <c r="K278" s="20"/>
    </row>
    <row r="279">
      <c r="A279" s="23"/>
      <c r="B279" s="20"/>
      <c r="C279" s="20"/>
      <c r="D279" s="20"/>
      <c r="E279" s="22"/>
      <c r="F279" s="16">
        <f>IF($B279="","",SUMIF('Abonos Préstamos'!$B:$B,$B279,'Abonos Préstamos'!$C:$C))</f>
      </c>
      <c r="G279" s="16">
        <f>IF($B279="","",MAX($E279-$F279,0))</f>
      </c>
      <c r="H279" s="19">
        <f>IF($B279="","",IF($G279&lt;=0,"Pagado",IF($F279&gt;0,"Abono parcial","Pendiente")))</f>
      </c>
      <c r="I279" s="17">
        <f>IF(OR($B279="",$G279&lt;=0),"",TODAY()-$A279)</f>
      </c>
      <c r="J279" s="19">
        <f>IF($B279="","",IF($G279&lt;=0,"✅ Pagado",IF($I279&gt;30,"🔴 Cóbrale ya ("&amp;$I279&amp;" días)",IF($I279&gt;15,"🟠 Lleva "&amp;$I279&amp;" días","🟢 Reciente ("&amp;$I279&amp;" días)"))))</f>
      </c>
      <c r="K279" s="20"/>
    </row>
    <row r="280">
      <c r="A280" s="23"/>
      <c r="B280" s="20"/>
      <c r="C280" s="20"/>
      <c r="D280" s="20"/>
      <c r="E280" s="22"/>
      <c r="F280" s="16">
        <f>IF($B280="","",SUMIF('Abonos Préstamos'!$B:$B,$B280,'Abonos Préstamos'!$C:$C))</f>
      </c>
      <c r="G280" s="16">
        <f>IF($B280="","",MAX($E280-$F280,0))</f>
      </c>
      <c r="H280" s="19">
        <f>IF($B280="","",IF($G280&lt;=0,"Pagado",IF($F280&gt;0,"Abono parcial","Pendiente")))</f>
      </c>
      <c r="I280" s="17">
        <f>IF(OR($B280="",$G280&lt;=0),"",TODAY()-$A280)</f>
      </c>
      <c r="J280" s="19">
        <f>IF($B280="","",IF($G280&lt;=0,"✅ Pagado",IF($I280&gt;30,"🔴 Cóbrale ya ("&amp;$I280&amp;" días)",IF($I280&gt;15,"🟠 Lleva "&amp;$I280&amp;" días","🟢 Reciente ("&amp;$I280&amp;" días)"))))</f>
      </c>
      <c r="K280" s="20"/>
    </row>
    <row r="281">
      <c r="A281" s="23"/>
      <c r="B281" s="20"/>
      <c r="C281" s="20"/>
      <c r="D281" s="20"/>
      <c r="E281" s="22"/>
      <c r="F281" s="16">
        <f>IF($B281="","",SUMIF('Abonos Préstamos'!$B:$B,$B281,'Abonos Préstamos'!$C:$C))</f>
      </c>
      <c r="G281" s="16">
        <f>IF($B281="","",MAX($E281-$F281,0))</f>
      </c>
      <c r="H281" s="19">
        <f>IF($B281="","",IF($G281&lt;=0,"Pagado",IF($F281&gt;0,"Abono parcial","Pendiente")))</f>
      </c>
      <c r="I281" s="17">
        <f>IF(OR($B281="",$G281&lt;=0),"",TODAY()-$A281)</f>
      </c>
      <c r="J281" s="19">
        <f>IF($B281="","",IF($G281&lt;=0,"✅ Pagado",IF($I281&gt;30,"🔴 Cóbrale ya ("&amp;$I281&amp;" días)",IF($I281&gt;15,"🟠 Lleva "&amp;$I281&amp;" días","🟢 Reciente ("&amp;$I281&amp;" días)"))))</f>
      </c>
      <c r="K281" s="20"/>
    </row>
    <row r="282">
      <c r="A282" s="23"/>
      <c r="B282" s="20"/>
      <c r="C282" s="20"/>
      <c r="D282" s="20"/>
      <c r="E282" s="22"/>
      <c r="F282" s="16">
        <f>IF($B282="","",SUMIF('Abonos Préstamos'!$B:$B,$B282,'Abonos Préstamos'!$C:$C))</f>
      </c>
      <c r="G282" s="16">
        <f>IF($B282="","",MAX($E282-$F282,0))</f>
      </c>
      <c r="H282" s="19">
        <f>IF($B282="","",IF($G282&lt;=0,"Pagado",IF($F282&gt;0,"Abono parcial","Pendiente")))</f>
      </c>
      <c r="I282" s="17">
        <f>IF(OR($B282="",$G282&lt;=0),"",TODAY()-$A282)</f>
      </c>
      <c r="J282" s="19">
        <f>IF($B282="","",IF($G282&lt;=0,"✅ Pagado",IF($I282&gt;30,"🔴 Cóbrale ya ("&amp;$I282&amp;" días)",IF($I282&gt;15,"🟠 Lleva "&amp;$I282&amp;" días","🟢 Reciente ("&amp;$I282&amp;" días)"))))</f>
      </c>
      <c r="K282" s="20"/>
    </row>
    <row r="283">
      <c r="A283" s="23"/>
      <c r="B283" s="20"/>
      <c r="C283" s="20"/>
      <c r="D283" s="20"/>
      <c r="E283" s="22"/>
      <c r="F283" s="16">
        <f>IF($B283="","",SUMIF('Abonos Préstamos'!$B:$B,$B283,'Abonos Préstamos'!$C:$C))</f>
      </c>
      <c r="G283" s="16">
        <f>IF($B283="","",MAX($E283-$F283,0))</f>
      </c>
      <c r="H283" s="19">
        <f>IF($B283="","",IF($G283&lt;=0,"Pagado",IF($F283&gt;0,"Abono parcial","Pendiente")))</f>
      </c>
      <c r="I283" s="17">
        <f>IF(OR($B283="",$G283&lt;=0),"",TODAY()-$A283)</f>
      </c>
      <c r="J283" s="19">
        <f>IF($B283="","",IF($G283&lt;=0,"✅ Pagado",IF($I283&gt;30,"🔴 Cóbrale ya ("&amp;$I283&amp;" días)",IF($I283&gt;15,"🟠 Lleva "&amp;$I283&amp;" días","🟢 Reciente ("&amp;$I283&amp;" días)"))))</f>
      </c>
      <c r="K283" s="20"/>
    </row>
    <row r="284">
      <c r="A284" s="23"/>
      <c r="B284" s="20"/>
      <c r="C284" s="20"/>
      <c r="D284" s="20"/>
      <c r="E284" s="22"/>
      <c r="F284" s="16">
        <f>IF($B284="","",SUMIF('Abonos Préstamos'!$B:$B,$B284,'Abonos Préstamos'!$C:$C))</f>
      </c>
      <c r="G284" s="16">
        <f>IF($B284="","",MAX($E284-$F284,0))</f>
      </c>
      <c r="H284" s="19">
        <f>IF($B284="","",IF($G284&lt;=0,"Pagado",IF($F284&gt;0,"Abono parcial","Pendiente")))</f>
      </c>
      <c r="I284" s="17">
        <f>IF(OR($B284="",$G284&lt;=0),"",TODAY()-$A284)</f>
      </c>
      <c r="J284" s="19">
        <f>IF($B284="","",IF($G284&lt;=0,"✅ Pagado",IF($I284&gt;30,"🔴 Cóbrale ya ("&amp;$I284&amp;" días)",IF($I284&gt;15,"🟠 Lleva "&amp;$I284&amp;" días","🟢 Reciente ("&amp;$I284&amp;" días)"))))</f>
      </c>
      <c r="K284" s="20"/>
    </row>
    <row r="285">
      <c r="A285" s="23"/>
      <c r="B285" s="20"/>
      <c r="C285" s="20"/>
      <c r="D285" s="20"/>
      <c r="E285" s="22"/>
      <c r="F285" s="16">
        <f>IF($B285="","",SUMIF('Abonos Préstamos'!$B:$B,$B285,'Abonos Préstamos'!$C:$C))</f>
      </c>
      <c r="G285" s="16">
        <f>IF($B285="","",MAX($E285-$F285,0))</f>
      </c>
      <c r="H285" s="19">
        <f>IF($B285="","",IF($G285&lt;=0,"Pagado",IF($F285&gt;0,"Abono parcial","Pendiente")))</f>
      </c>
      <c r="I285" s="17">
        <f>IF(OR($B285="",$G285&lt;=0),"",TODAY()-$A285)</f>
      </c>
      <c r="J285" s="19">
        <f>IF($B285="","",IF($G285&lt;=0,"✅ Pagado",IF($I285&gt;30,"🔴 Cóbrale ya ("&amp;$I285&amp;" días)",IF($I285&gt;15,"🟠 Lleva "&amp;$I285&amp;" días","🟢 Reciente ("&amp;$I285&amp;" días)"))))</f>
      </c>
      <c r="K285" s="20"/>
    </row>
    <row r="286">
      <c r="A286" s="23"/>
      <c r="B286" s="20"/>
      <c r="C286" s="20"/>
      <c r="D286" s="20"/>
      <c r="E286" s="22"/>
      <c r="F286" s="16">
        <f>IF($B286="","",SUMIF('Abonos Préstamos'!$B:$B,$B286,'Abonos Préstamos'!$C:$C))</f>
      </c>
      <c r="G286" s="16">
        <f>IF($B286="","",MAX($E286-$F286,0))</f>
      </c>
      <c r="H286" s="19">
        <f>IF($B286="","",IF($G286&lt;=0,"Pagado",IF($F286&gt;0,"Abono parcial","Pendiente")))</f>
      </c>
      <c r="I286" s="17">
        <f>IF(OR($B286="",$G286&lt;=0),"",TODAY()-$A286)</f>
      </c>
      <c r="J286" s="19">
        <f>IF($B286="","",IF($G286&lt;=0,"✅ Pagado",IF($I286&gt;30,"🔴 Cóbrale ya ("&amp;$I286&amp;" días)",IF($I286&gt;15,"🟠 Lleva "&amp;$I286&amp;" días","🟢 Reciente ("&amp;$I286&amp;" días)"))))</f>
      </c>
      <c r="K286" s="20"/>
    </row>
    <row r="287">
      <c r="A287" s="23"/>
      <c r="B287" s="20"/>
      <c r="C287" s="20"/>
      <c r="D287" s="20"/>
      <c r="E287" s="22"/>
      <c r="F287" s="16">
        <f>IF($B287="","",SUMIF('Abonos Préstamos'!$B:$B,$B287,'Abonos Préstamos'!$C:$C))</f>
      </c>
      <c r="G287" s="16">
        <f>IF($B287="","",MAX($E287-$F287,0))</f>
      </c>
      <c r="H287" s="19">
        <f>IF($B287="","",IF($G287&lt;=0,"Pagado",IF($F287&gt;0,"Abono parcial","Pendiente")))</f>
      </c>
      <c r="I287" s="17">
        <f>IF(OR($B287="",$G287&lt;=0),"",TODAY()-$A287)</f>
      </c>
      <c r="J287" s="19">
        <f>IF($B287="","",IF($G287&lt;=0,"✅ Pagado",IF($I287&gt;30,"🔴 Cóbrale ya ("&amp;$I287&amp;" días)",IF($I287&gt;15,"🟠 Lleva "&amp;$I287&amp;" días","🟢 Reciente ("&amp;$I287&amp;" días)"))))</f>
      </c>
      <c r="K287" s="20"/>
    </row>
    <row r="288">
      <c r="A288" s="23"/>
      <c r="B288" s="20"/>
      <c r="C288" s="20"/>
      <c r="D288" s="20"/>
      <c r="E288" s="22"/>
      <c r="F288" s="16">
        <f>IF($B288="","",SUMIF('Abonos Préstamos'!$B:$B,$B288,'Abonos Préstamos'!$C:$C))</f>
      </c>
      <c r="G288" s="16">
        <f>IF($B288="","",MAX($E288-$F288,0))</f>
      </c>
      <c r="H288" s="19">
        <f>IF($B288="","",IF($G288&lt;=0,"Pagado",IF($F288&gt;0,"Abono parcial","Pendiente")))</f>
      </c>
      <c r="I288" s="17">
        <f>IF(OR($B288="",$G288&lt;=0),"",TODAY()-$A288)</f>
      </c>
      <c r="J288" s="19">
        <f>IF($B288="","",IF($G288&lt;=0,"✅ Pagado",IF($I288&gt;30,"🔴 Cóbrale ya ("&amp;$I288&amp;" días)",IF($I288&gt;15,"🟠 Lleva "&amp;$I288&amp;" días","🟢 Reciente ("&amp;$I288&amp;" días)"))))</f>
      </c>
      <c r="K288" s="20"/>
    </row>
    <row r="289">
      <c r="A289" s="23"/>
      <c r="B289" s="20"/>
      <c r="C289" s="20"/>
      <c r="D289" s="20"/>
      <c r="E289" s="22"/>
      <c r="F289" s="16">
        <f>IF($B289="","",SUMIF('Abonos Préstamos'!$B:$B,$B289,'Abonos Préstamos'!$C:$C))</f>
      </c>
      <c r="G289" s="16">
        <f>IF($B289="","",MAX($E289-$F289,0))</f>
      </c>
      <c r="H289" s="19">
        <f>IF($B289="","",IF($G289&lt;=0,"Pagado",IF($F289&gt;0,"Abono parcial","Pendiente")))</f>
      </c>
      <c r="I289" s="17">
        <f>IF(OR($B289="",$G289&lt;=0),"",TODAY()-$A289)</f>
      </c>
      <c r="J289" s="19">
        <f>IF($B289="","",IF($G289&lt;=0,"✅ Pagado",IF($I289&gt;30,"🔴 Cóbrale ya ("&amp;$I289&amp;" días)",IF($I289&gt;15,"🟠 Lleva "&amp;$I289&amp;" días","🟢 Reciente ("&amp;$I289&amp;" días)"))))</f>
      </c>
      <c r="K289" s="20"/>
    </row>
    <row r="290">
      <c r="A290" s="23"/>
      <c r="B290" s="20"/>
      <c r="C290" s="20"/>
      <c r="D290" s="20"/>
      <c r="E290" s="22"/>
      <c r="F290" s="16">
        <f>IF($B290="","",SUMIF('Abonos Préstamos'!$B:$B,$B290,'Abonos Préstamos'!$C:$C))</f>
      </c>
      <c r="G290" s="16">
        <f>IF($B290="","",MAX($E290-$F290,0))</f>
      </c>
      <c r="H290" s="19">
        <f>IF($B290="","",IF($G290&lt;=0,"Pagado",IF($F290&gt;0,"Abono parcial","Pendiente")))</f>
      </c>
      <c r="I290" s="17">
        <f>IF(OR($B290="",$G290&lt;=0),"",TODAY()-$A290)</f>
      </c>
      <c r="J290" s="19">
        <f>IF($B290="","",IF($G290&lt;=0,"✅ Pagado",IF($I290&gt;30,"🔴 Cóbrale ya ("&amp;$I290&amp;" días)",IF($I290&gt;15,"🟠 Lleva "&amp;$I290&amp;" días","🟢 Reciente ("&amp;$I290&amp;" días)"))))</f>
      </c>
      <c r="K290" s="20"/>
    </row>
    <row r="291">
      <c r="A291" s="23"/>
      <c r="B291" s="20"/>
      <c r="C291" s="20"/>
      <c r="D291" s="20"/>
      <c r="E291" s="22"/>
      <c r="F291" s="16">
        <f>IF($B291="","",SUMIF('Abonos Préstamos'!$B:$B,$B291,'Abonos Préstamos'!$C:$C))</f>
      </c>
      <c r="G291" s="16">
        <f>IF($B291="","",MAX($E291-$F291,0))</f>
      </c>
      <c r="H291" s="19">
        <f>IF($B291="","",IF($G291&lt;=0,"Pagado",IF($F291&gt;0,"Abono parcial","Pendiente")))</f>
      </c>
      <c r="I291" s="17">
        <f>IF(OR($B291="",$G291&lt;=0),"",TODAY()-$A291)</f>
      </c>
      <c r="J291" s="19">
        <f>IF($B291="","",IF($G291&lt;=0,"✅ Pagado",IF($I291&gt;30,"🔴 Cóbrale ya ("&amp;$I291&amp;" días)",IF($I291&gt;15,"🟠 Lleva "&amp;$I291&amp;" días","🟢 Reciente ("&amp;$I291&amp;" días)"))))</f>
      </c>
      <c r="K291" s="20"/>
    </row>
    <row r="292">
      <c r="A292" s="23"/>
      <c r="B292" s="20"/>
      <c r="C292" s="20"/>
      <c r="D292" s="20"/>
      <c r="E292" s="22"/>
      <c r="F292" s="16">
        <f>IF($B292="","",SUMIF('Abonos Préstamos'!$B:$B,$B292,'Abonos Préstamos'!$C:$C))</f>
      </c>
      <c r="G292" s="16">
        <f>IF($B292="","",MAX($E292-$F292,0))</f>
      </c>
      <c r="H292" s="19">
        <f>IF($B292="","",IF($G292&lt;=0,"Pagado",IF($F292&gt;0,"Abono parcial","Pendiente")))</f>
      </c>
      <c r="I292" s="17">
        <f>IF(OR($B292="",$G292&lt;=0),"",TODAY()-$A292)</f>
      </c>
      <c r="J292" s="19">
        <f>IF($B292="","",IF($G292&lt;=0,"✅ Pagado",IF($I292&gt;30,"🔴 Cóbrale ya ("&amp;$I292&amp;" días)",IF($I292&gt;15,"🟠 Lleva "&amp;$I292&amp;" días","🟢 Reciente ("&amp;$I292&amp;" días)"))))</f>
      </c>
      <c r="K292" s="20"/>
    </row>
    <row r="293">
      <c r="A293" s="23"/>
      <c r="B293" s="20"/>
      <c r="C293" s="20"/>
      <c r="D293" s="20"/>
      <c r="E293" s="22"/>
      <c r="F293" s="16">
        <f>IF($B293="","",SUMIF('Abonos Préstamos'!$B:$B,$B293,'Abonos Préstamos'!$C:$C))</f>
      </c>
      <c r="G293" s="16">
        <f>IF($B293="","",MAX($E293-$F293,0))</f>
      </c>
      <c r="H293" s="19">
        <f>IF($B293="","",IF($G293&lt;=0,"Pagado",IF($F293&gt;0,"Abono parcial","Pendiente")))</f>
      </c>
      <c r="I293" s="17">
        <f>IF(OR($B293="",$G293&lt;=0),"",TODAY()-$A293)</f>
      </c>
      <c r="J293" s="19">
        <f>IF($B293="","",IF($G293&lt;=0,"✅ Pagado",IF($I293&gt;30,"🔴 Cóbrale ya ("&amp;$I293&amp;" días)",IF($I293&gt;15,"🟠 Lleva "&amp;$I293&amp;" días","🟢 Reciente ("&amp;$I293&amp;" días)"))))</f>
      </c>
      <c r="K293" s="20"/>
    </row>
    <row r="294">
      <c r="A294" s="23"/>
      <c r="B294" s="20"/>
      <c r="C294" s="20"/>
      <c r="D294" s="20"/>
      <c r="E294" s="22"/>
      <c r="F294" s="16">
        <f>IF($B294="","",SUMIF('Abonos Préstamos'!$B:$B,$B294,'Abonos Préstamos'!$C:$C))</f>
      </c>
      <c r="G294" s="16">
        <f>IF($B294="","",MAX($E294-$F294,0))</f>
      </c>
      <c r="H294" s="19">
        <f>IF($B294="","",IF($G294&lt;=0,"Pagado",IF($F294&gt;0,"Abono parcial","Pendiente")))</f>
      </c>
      <c r="I294" s="17">
        <f>IF(OR($B294="",$G294&lt;=0),"",TODAY()-$A294)</f>
      </c>
      <c r="J294" s="19">
        <f>IF($B294="","",IF($G294&lt;=0,"✅ Pagado",IF($I294&gt;30,"🔴 Cóbrale ya ("&amp;$I294&amp;" días)",IF($I294&gt;15,"🟠 Lleva "&amp;$I294&amp;" días","🟢 Reciente ("&amp;$I294&amp;" días)"))))</f>
      </c>
      <c r="K294" s="20"/>
    </row>
    <row r="295">
      <c r="A295" s="23"/>
      <c r="B295" s="20"/>
      <c r="C295" s="20"/>
      <c r="D295" s="20"/>
      <c r="E295" s="22"/>
      <c r="F295" s="16">
        <f>IF($B295="","",SUMIF('Abonos Préstamos'!$B:$B,$B295,'Abonos Préstamos'!$C:$C))</f>
      </c>
      <c r="G295" s="16">
        <f>IF($B295="","",MAX($E295-$F295,0))</f>
      </c>
      <c r="H295" s="19">
        <f>IF($B295="","",IF($G295&lt;=0,"Pagado",IF($F295&gt;0,"Abono parcial","Pendiente")))</f>
      </c>
      <c r="I295" s="17">
        <f>IF(OR($B295="",$G295&lt;=0),"",TODAY()-$A295)</f>
      </c>
      <c r="J295" s="19">
        <f>IF($B295="","",IF($G295&lt;=0,"✅ Pagado",IF($I295&gt;30,"🔴 Cóbrale ya ("&amp;$I295&amp;" días)",IF($I295&gt;15,"🟠 Lleva "&amp;$I295&amp;" días","🟢 Reciente ("&amp;$I295&amp;" días)"))))</f>
      </c>
      <c r="K295" s="20"/>
    </row>
    <row r="296">
      <c r="A296" s="23"/>
      <c r="B296" s="20"/>
      <c r="C296" s="20"/>
      <c r="D296" s="20"/>
      <c r="E296" s="22"/>
      <c r="F296" s="16">
        <f>IF($B296="","",SUMIF('Abonos Préstamos'!$B:$B,$B296,'Abonos Préstamos'!$C:$C))</f>
      </c>
      <c r="G296" s="16">
        <f>IF($B296="","",MAX($E296-$F296,0))</f>
      </c>
      <c r="H296" s="19">
        <f>IF($B296="","",IF($G296&lt;=0,"Pagado",IF($F296&gt;0,"Abono parcial","Pendiente")))</f>
      </c>
      <c r="I296" s="17">
        <f>IF(OR($B296="",$G296&lt;=0),"",TODAY()-$A296)</f>
      </c>
      <c r="J296" s="19">
        <f>IF($B296="","",IF($G296&lt;=0,"✅ Pagado",IF($I296&gt;30,"🔴 Cóbrale ya ("&amp;$I296&amp;" días)",IF($I296&gt;15,"🟠 Lleva "&amp;$I296&amp;" días","🟢 Reciente ("&amp;$I296&amp;" días)"))))</f>
      </c>
      <c r="K296" s="20"/>
    </row>
    <row r="297">
      <c r="A297" s="23"/>
      <c r="B297" s="20"/>
      <c r="C297" s="20"/>
      <c r="D297" s="20"/>
      <c r="E297" s="22"/>
      <c r="F297" s="16">
        <f>IF($B297="","",SUMIF('Abonos Préstamos'!$B:$B,$B297,'Abonos Préstamos'!$C:$C))</f>
      </c>
      <c r="G297" s="16">
        <f>IF($B297="","",MAX($E297-$F297,0))</f>
      </c>
      <c r="H297" s="19">
        <f>IF($B297="","",IF($G297&lt;=0,"Pagado",IF($F297&gt;0,"Abono parcial","Pendiente")))</f>
      </c>
      <c r="I297" s="17">
        <f>IF(OR($B297="",$G297&lt;=0),"",TODAY()-$A297)</f>
      </c>
      <c r="J297" s="19">
        <f>IF($B297="","",IF($G297&lt;=0,"✅ Pagado",IF($I297&gt;30,"🔴 Cóbrale ya ("&amp;$I297&amp;" días)",IF($I297&gt;15,"🟠 Lleva "&amp;$I297&amp;" días","🟢 Reciente ("&amp;$I297&amp;" días)"))))</f>
      </c>
      <c r="K297" s="20"/>
    </row>
    <row r="298">
      <c r="A298" s="23"/>
      <c r="B298" s="20"/>
      <c r="C298" s="20"/>
      <c r="D298" s="20"/>
      <c r="E298" s="22"/>
      <c r="F298" s="16">
        <f>IF($B298="","",SUMIF('Abonos Préstamos'!$B:$B,$B298,'Abonos Préstamos'!$C:$C))</f>
      </c>
      <c r="G298" s="16">
        <f>IF($B298="","",MAX($E298-$F298,0))</f>
      </c>
      <c r="H298" s="19">
        <f>IF($B298="","",IF($G298&lt;=0,"Pagado",IF($F298&gt;0,"Abono parcial","Pendiente")))</f>
      </c>
      <c r="I298" s="17">
        <f>IF(OR($B298="",$G298&lt;=0),"",TODAY()-$A298)</f>
      </c>
      <c r="J298" s="19">
        <f>IF($B298="","",IF($G298&lt;=0,"✅ Pagado",IF($I298&gt;30,"🔴 Cóbrale ya ("&amp;$I298&amp;" días)",IF($I298&gt;15,"🟠 Lleva "&amp;$I298&amp;" días","🟢 Reciente ("&amp;$I298&amp;" días)"))))</f>
      </c>
      <c r="K298" s="20"/>
    </row>
    <row r="299">
      <c r="A299" s="23"/>
      <c r="B299" s="20"/>
      <c r="C299" s="20"/>
      <c r="D299" s="20"/>
      <c r="E299" s="22"/>
      <c r="F299" s="16">
        <f>IF($B299="","",SUMIF('Abonos Préstamos'!$B:$B,$B299,'Abonos Préstamos'!$C:$C))</f>
      </c>
      <c r="G299" s="16">
        <f>IF($B299="","",MAX($E299-$F299,0))</f>
      </c>
      <c r="H299" s="19">
        <f>IF($B299="","",IF($G299&lt;=0,"Pagado",IF($F299&gt;0,"Abono parcial","Pendiente")))</f>
      </c>
      <c r="I299" s="17">
        <f>IF(OR($B299="",$G299&lt;=0),"",TODAY()-$A299)</f>
      </c>
      <c r="J299" s="19">
        <f>IF($B299="","",IF($G299&lt;=0,"✅ Pagado",IF($I299&gt;30,"🔴 Cóbrale ya ("&amp;$I299&amp;" días)",IF($I299&gt;15,"🟠 Lleva "&amp;$I299&amp;" días","🟢 Reciente ("&amp;$I299&amp;" días)"))))</f>
      </c>
      <c r="K299" s="20"/>
    </row>
    <row r="300">
      <c r="A300" s="23"/>
      <c r="B300" s="20"/>
      <c r="C300" s="20"/>
      <c r="D300" s="20"/>
      <c r="E300" s="22"/>
      <c r="F300" s="16">
        <f>IF($B300="","",SUMIF('Abonos Préstamos'!$B:$B,$B300,'Abonos Préstamos'!$C:$C))</f>
      </c>
      <c r="G300" s="16">
        <f>IF($B300="","",MAX($E300-$F300,0))</f>
      </c>
      <c r="H300" s="19">
        <f>IF($B300="","",IF($G300&lt;=0,"Pagado",IF($F300&gt;0,"Abono parcial","Pendiente")))</f>
      </c>
      <c r="I300" s="17">
        <f>IF(OR($B300="",$G300&lt;=0),"",TODAY()-$A300)</f>
      </c>
      <c r="J300" s="19">
        <f>IF($B300="","",IF($G300&lt;=0,"✅ Pagado",IF($I300&gt;30,"🔴 Cóbrale ya ("&amp;$I300&amp;" días)",IF($I300&gt;15,"🟠 Lleva "&amp;$I300&amp;" días","🟢 Reciente ("&amp;$I300&amp;" días)"))))</f>
      </c>
      <c r="K300" s="20"/>
    </row>
    <row r="301">
      <c r="A301" s="23"/>
      <c r="B301" s="20"/>
      <c r="C301" s="20"/>
      <c r="D301" s="20"/>
      <c r="E301" s="22"/>
      <c r="F301" s="16">
        <f>IF($B301="","",SUMIF('Abonos Préstamos'!$B:$B,$B301,'Abonos Préstamos'!$C:$C))</f>
      </c>
      <c r="G301" s="16">
        <f>IF($B301="","",MAX($E301-$F301,0))</f>
      </c>
      <c r="H301" s="19">
        <f>IF($B301="","",IF($G301&lt;=0,"Pagado",IF($F301&gt;0,"Abono parcial","Pendiente")))</f>
      </c>
      <c r="I301" s="17">
        <f>IF(OR($B301="",$G301&lt;=0),"",TODAY()-$A301)</f>
      </c>
      <c r="J301" s="19">
        <f>IF($B301="","",IF($G301&lt;=0,"✅ Pagado",IF($I301&gt;30,"🔴 Cóbrale ya ("&amp;$I301&amp;" días)",IF($I301&gt;15,"🟠 Lleva "&amp;$I301&amp;" días","🟢 Reciente ("&amp;$I301&amp;" días)"))))</f>
      </c>
      <c r="K301" s="20"/>
    </row>
  </sheetData>
  <dataValidations count="1">
    <dataValidation type="list" allowBlank="1" showInputMessage="1" showErrorMessage="0" sqref="K2:K301">
      <formula1>'Config'!$P$2:$P$15</formula1>
    </dataValidation>
  </dataValidations>
  <pageMargins left="0.5" right="0.5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3.00" customWidth="1"/>
    <col min="2" max="2" width="24.00" customWidth="1"/>
    <col min="3" max="3" width="16.00" customWidth="1"/>
    <col min="4" max="4" width="18.00" customWidth="1"/>
    <col min="5" max="5" width="30.00" customWidth="1"/>
  </cols>
  <sheetData>
    <row r="1">
      <c r="A1" s="1" t="inlineStr">
        <is>
          <t xml:space="preserve">Fecha</t>
        </is>
      </c>
      <c r="B1" s="1" t="inlineStr">
        <is>
          <t xml:space="preserve">Persona</t>
        </is>
      </c>
      <c r="C1" s="1" t="inlineStr">
        <is>
          <t xml:space="preserve">Valor Abonado</t>
        </is>
      </c>
      <c r="D1" s="1" t="inlineStr">
        <is>
          <t xml:space="preserve">Forma de Cobro</t>
        </is>
      </c>
      <c r="E1" s="1" t="inlineStr">
        <is>
          <t xml:space="preserve">Nota</t>
        </is>
      </c>
      <c r="G1" s="37" t="inlineStr">
        <is>
          <t xml:space="preserve">Cada vez que te devuelven plata de un préstamo, anótalo aquí (con su fecha y cómo te pagaron).</t>
        </is>
      </c>
    </row>
    <row r="2">
      <c r="A2" s="23"/>
      <c r="B2" s="20"/>
      <c r="C2" s="22"/>
      <c r="D2" s="20"/>
      <c r="E2" s="20"/>
    </row>
    <row r="3">
      <c r="A3" s="23"/>
      <c r="B3" s="20"/>
      <c r="C3" s="22"/>
      <c r="D3" s="20"/>
      <c r="E3" s="20"/>
    </row>
    <row r="4">
      <c r="A4" s="23"/>
      <c r="B4" s="20"/>
      <c r="C4" s="22"/>
      <c r="D4" s="20"/>
      <c r="E4" s="20"/>
    </row>
    <row r="5">
      <c r="A5" s="23"/>
      <c r="B5" s="20"/>
      <c r="C5" s="22"/>
      <c r="D5" s="20"/>
      <c r="E5" s="20"/>
    </row>
    <row r="6">
      <c r="A6" s="23"/>
      <c r="B6" s="20"/>
      <c r="C6" s="22"/>
      <c r="D6" s="20"/>
      <c r="E6" s="20"/>
    </row>
    <row r="7">
      <c r="A7" s="23"/>
      <c r="B7" s="20"/>
      <c r="C7" s="22"/>
      <c r="D7" s="20"/>
      <c r="E7" s="20"/>
    </row>
    <row r="8">
      <c r="A8" s="23"/>
      <c r="B8" s="20"/>
      <c r="C8" s="22"/>
      <c r="D8" s="20"/>
      <c r="E8" s="20"/>
    </row>
    <row r="9">
      <c r="A9" s="23"/>
      <c r="B9" s="20"/>
      <c r="C9" s="22"/>
      <c r="D9" s="20"/>
      <c r="E9" s="20"/>
    </row>
    <row r="10">
      <c r="A10" s="23"/>
      <c r="B10" s="20"/>
      <c r="C10" s="22"/>
      <c r="D10" s="20"/>
      <c r="E10" s="20"/>
    </row>
    <row r="11">
      <c r="A11" s="23"/>
      <c r="B11" s="20"/>
      <c r="C11" s="22"/>
      <c r="D11" s="20"/>
      <c r="E11" s="20"/>
    </row>
    <row r="12">
      <c r="A12" s="23"/>
      <c r="B12" s="20"/>
      <c r="C12" s="22"/>
      <c r="D12" s="20"/>
      <c r="E12" s="20"/>
    </row>
    <row r="13">
      <c r="A13" s="23"/>
      <c r="B13" s="20"/>
      <c r="C13" s="22"/>
      <c r="D13" s="20"/>
      <c r="E13" s="20"/>
    </row>
    <row r="14">
      <c r="A14" s="23"/>
      <c r="B14" s="20"/>
      <c r="C14" s="22"/>
      <c r="D14" s="20"/>
      <c r="E14" s="20"/>
    </row>
    <row r="15">
      <c r="A15" s="23"/>
      <c r="B15" s="20"/>
      <c r="C15" s="22"/>
      <c r="D15" s="20"/>
      <c r="E15" s="20"/>
    </row>
    <row r="16">
      <c r="A16" s="23"/>
      <c r="B16" s="20"/>
      <c r="C16" s="22"/>
      <c r="D16" s="20"/>
      <c r="E16" s="20"/>
    </row>
    <row r="17">
      <c r="A17" s="23"/>
      <c r="B17" s="20"/>
      <c r="C17" s="22"/>
      <c r="D17" s="20"/>
      <c r="E17" s="20"/>
    </row>
    <row r="18">
      <c r="A18" s="23"/>
      <c r="B18" s="20"/>
      <c r="C18" s="22"/>
      <c r="D18" s="20"/>
      <c r="E18" s="20"/>
    </row>
    <row r="19">
      <c r="A19" s="23"/>
      <c r="B19" s="20"/>
      <c r="C19" s="22"/>
      <c r="D19" s="20"/>
      <c r="E19" s="20"/>
    </row>
    <row r="20">
      <c r="A20" s="23"/>
      <c r="B20" s="20"/>
      <c r="C20" s="22"/>
      <c r="D20" s="20"/>
      <c r="E20" s="20"/>
    </row>
    <row r="21">
      <c r="A21" s="23"/>
      <c r="B21" s="20"/>
      <c r="C21" s="22"/>
      <c r="D21" s="20"/>
      <c r="E21" s="20"/>
    </row>
    <row r="22">
      <c r="A22" s="23"/>
      <c r="B22" s="20"/>
      <c r="C22" s="22"/>
      <c r="D22" s="20"/>
      <c r="E22" s="20"/>
    </row>
    <row r="23">
      <c r="A23" s="23"/>
      <c r="B23" s="20"/>
      <c r="C23" s="22"/>
      <c r="D23" s="20"/>
      <c r="E23" s="20"/>
    </row>
    <row r="24">
      <c r="A24" s="23"/>
      <c r="B24" s="20"/>
      <c r="C24" s="22"/>
      <c r="D24" s="20"/>
      <c r="E24" s="20"/>
    </row>
    <row r="25">
      <c r="A25" s="23"/>
      <c r="B25" s="20"/>
      <c r="C25" s="22"/>
      <c r="D25" s="20"/>
      <c r="E25" s="20"/>
    </row>
    <row r="26">
      <c r="A26" s="23"/>
      <c r="B26" s="20"/>
      <c r="C26" s="22"/>
      <c r="D26" s="20"/>
      <c r="E26" s="20"/>
    </row>
    <row r="27">
      <c r="A27" s="23"/>
      <c r="B27" s="20"/>
      <c r="C27" s="22"/>
      <c r="D27" s="20"/>
      <c r="E27" s="20"/>
    </row>
    <row r="28">
      <c r="A28" s="23"/>
      <c r="B28" s="20"/>
      <c r="C28" s="22"/>
      <c r="D28" s="20"/>
      <c r="E28" s="20"/>
    </row>
    <row r="29">
      <c r="A29" s="23"/>
      <c r="B29" s="20"/>
      <c r="C29" s="22"/>
      <c r="D29" s="20"/>
      <c r="E29" s="20"/>
    </row>
    <row r="30">
      <c r="A30" s="23"/>
      <c r="B30" s="20"/>
      <c r="C30" s="22"/>
      <c r="D30" s="20"/>
      <c r="E30" s="20"/>
    </row>
    <row r="31">
      <c r="A31" s="23"/>
      <c r="B31" s="20"/>
      <c r="C31" s="22"/>
      <c r="D31" s="20"/>
      <c r="E31" s="20"/>
    </row>
    <row r="32">
      <c r="A32" s="23"/>
      <c r="B32" s="20"/>
      <c r="C32" s="22"/>
      <c r="D32" s="20"/>
      <c r="E32" s="20"/>
    </row>
    <row r="33">
      <c r="A33" s="23"/>
      <c r="B33" s="20"/>
      <c r="C33" s="22"/>
      <c r="D33" s="20"/>
      <c r="E33" s="20"/>
    </row>
    <row r="34">
      <c r="A34" s="23"/>
      <c r="B34" s="20"/>
      <c r="C34" s="22"/>
      <c r="D34" s="20"/>
      <c r="E34" s="20"/>
    </row>
    <row r="35">
      <c r="A35" s="23"/>
      <c r="B35" s="20"/>
      <c r="C35" s="22"/>
      <c r="D35" s="20"/>
      <c r="E35" s="20"/>
    </row>
    <row r="36">
      <c r="A36" s="23"/>
      <c r="B36" s="20"/>
      <c r="C36" s="22"/>
      <c r="D36" s="20"/>
      <c r="E36" s="20"/>
    </row>
    <row r="37">
      <c r="A37" s="23"/>
      <c r="B37" s="20"/>
      <c r="C37" s="22"/>
      <c r="D37" s="20"/>
      <c r="E37" s="20"/>
    </row>
    <row r="38">
      <c r="A38" s="23"/>
      <c r="B38" s="20"/>
      <c r="C38" s="22"/>
      <c r="D38" s="20"/>
      <c r="E38" s="20"/>
    </row>
    <row r="39">
      <c r="A39" s="23"/>
      <c r="B39" s="20"/>
      <c r="C39" s="22"/>
      <c r="D39" s="20"/>
      <c r="E39" s="20"/>
    </row>
    <row r="40">
      <c r="A40" s="23"/>
      <c r="B40" s="20"/>
      <c r="C40" s="22"/>
      <c r="D40" s="20"/>
      <c r="E40" s="20"/>
    </row>
    <row r="41">
      <c r="A41" s="23"/>
      <c r="B41" s="20"/>
      <c r="C41" s="22"/>
      <c r="D41" s="20"/>
      <c r="E41" s="20"/>
    </row>
    <row r="42">
      <c r="A42" s="23"/>
      <c r="B42" s="20"/>
      <c r="C42" s="22"/>
      <c r="D42" s="20"/>
      <c r="E42" s="20"/>
    </row>
    <row r="43">
      <c r="A43" s="23"/>
      <c r="B43" s="20"/>
      <c r="C43" s="22"/>
      <c r="D43" s="20"/>
      <c r="E43" s="20"/>
    </row>
    <row r="44">
      <c r="A44" s="23"/>
      <c r="B44" s="20"/>
      <c r="C44" s="22"/>
      <c r="D44" s="20"/>
      <c r="E44" s="20"/>
    </row>
    <row r="45">
      <c r="A45" s="23"/>
      <c r="B45" s="20"/>
      <c r="C45" s="22"/>
      <c r="D45" s="20"/>
      <c r="E45" s="20"/>
    </row>
    <row r="46">
      <c r="A46" s="23"/>
      <c r="B46" s="20"/>
      <c r="C46" s="22"/>
      <c r="D46" s="20"/>
      <c r="E46" s="20"/>
    </row>
    <row r="47">
      <c r="A47" s="23"/>
      <c r="B47" s="20"/>
      <c r="C47" s="22"/>
      <c r="D47" s="20"/>
      <c r="E47" s="20"/>
    </row>
    <row r="48">
      <c r="A48" s="23"/>
      <c r="B48" s="20"/>
      <c r="C48" s="22"/>
      <c r="D48" s="20"/>
      <c r="E48" s="20"/>
    </row>
    <row r="49">
      <c r="A49" s="23"/>
      <c r="B49" s="20"/>
      <c r="C49" s="22"/>
      <c r="D49" s="20"/>
      <c r="E49" s="20"/>
    </row>
    <row r="50">
      <c r="A50" s="23"/>
      <c r="B50" s="20"/>
      <c r="C50" s="22"/>
      <c r="D50" s="20"/>
      <c r="E50" s="20"/>
    </row>
    <row r="51">
      <c r="A51" s="23"/>
      <c r="B51" s="20"/>
      <c r="C51" s="22"/>
      <c r="D51" s="20"/>
      <c r="E51" s="20"/>
    </row>
    <row r="52">
      <c r="A52" s="23"/>
      <c r="B52" s="20"/>
      <c r="C52" s="22"/>
      <c r="D52" s="20"/>
      <c r="E52" s="20"/>
    </row>
    <row r="53">
      <c r="A53" s="23"/>
      <c r="B53" s="20"/>
      <c r="C53" s="22"/>
      <c r="D53" s="20"/>
      <c r="E53" s="20"/>
    </row>
    <row r="54">
      <c r="A54" s="23"/>
      <c r="B54" s="20"/>
      <c r="C54" s="22"/>
      <c r="D54" s="20"/>
      <c r="E54" s="20"/>
    </row>
    <row r="55">
      <c r="A55" s="23"/>
      <c r="B55" s="20"/>
      <c r="C55" s="22"/>
      <c r="D55" s="20"/>
      <c r="E55" s="20"/>
    </row>
    <row r="56">
      <c r="A56" s="23"/>
      <c r="B56" s="20"/>
      <c r="C56" s="22"/>
      <c r="D56" s="20"/>
      <c r="E56" s="20"/>
    </row>
    <row r="57">
      <c r="A57" s="23"/>
      <c r="B57" s="20"/>
      <c r="C57" s="22"/>
      <c r="D57" s="20"/>
      <c r="E57" s="20"/>
    </row>
    <row r="58">
      <c r="A58" s="23"/>
      <c r="B58" s="20"/>
      <c r="C58" s="22"/>
      <c r="D58" s="20"/>
      <c r="E58" s="20"/>
    </row>
    <row r="59">
      <c r="A59" s="23"/>
      <c r="B59" s="20"/>
      <c r="C59" s="22"/>
      <c r="D59" s="20"/>
      <c r="E59" s="20"/>
    </row>
    <row r="60">
      <c r="A60" s="23"/>
      <c r="B60" s="20"/>
      <c r="C60" s="22"/>
      <c r="D60" s="20"/>
      <c r="E60" s="20"/>
    </row>
    <row r="61">
      <c r="A61" s="23"/>
      <c r="B61" s="20"/>
      <c r="C61" s="22"/>
      <c r="D61" s="20"/>
      <c r="E61" s="20"/>
    </row>
    <row r="62">
      <c r="A62" s="23"/>
      <c r="B62" s="20"/>
      <c r="C62" s="22"/>
      <c r="D62" s="20"/>
      <c r="E62" s="20"/>
    </row>
    <row r="63">
      <c r="A63" s="23"/>
      <c r="B63" s="20"/>
      <c r="C63" s="22"/>
      <c r="D63" s="20"/>
      <c r="E63" s="20"/>
    </row>
    <row r="64">
      <c r="A64" s="23"/>
      <c r="B64" s="20"/>
      <c r="C64" s="22"/>
      <c r="D64" s="20"/>
      <c r="E64" s="20"/>
    </row>
    <row r="65">
      <c r="A65" s="23"/>
      <c r="B65" s="20"/>
      <c r="C65" s="22"/>
      <c r="D65" s="20"/>
      <c r="E65" s="20"/>
    </row>
    <row r="66">
      <c r="A66" s="23"/>
      <c r="B66" s="20"/>
      <c r="C66" s="22"/>
      <c r="D66" s="20"/>
      <c r="E66" s="20"/>
    </row>
    <row r="67">
      <c r="A67" s="23"/>
      <c r="B67" s="20"/>
      <c r="C67" s="22"/>
      <c r="D67" s="20"/>
      <c r="E67" s="20"/>
    </row>
    <row r="68">
      <c r="A68" s="23"/>
      <c r="B68" s="20"/>
      <c r="C68" s="22"/>
      <c r="D68" s="20"/>
      <c r="E68" s="20"/>
    </row>
    <row r="69">
      <c r="A69" s="23"/>
      <c r="B69" s="20"/>
      <c r="C69" s="22"/>
      <c r="D69" s="20"/>
      <c r="E69" s="20"/>
    </row>
    <row r="70">
      <c r="A70" s="23"/>
      <c r="B70" s="20"/>
      <c r="C70" s="22"/>
      <c r="D70" s="20"/>
      <c r="E70" s="20"/>
    </row>
    <row r="71">
      <c r="A71" s="23"/>
      <c r="B71" s="20"/>
      <c r="C71" s="22"/>
      <c r="D71" s="20"/>
      <c r="E71" s="20"/>
    </row>
    <row r="72">
      <c r="A72" s="23"/>
      <c r="B72" s="20"/>
      <c r="C72" s="22"/>
      <c r="D72" s="20"/>
      <c r="E72" s="20"/>
    </row>
    <row r="73">
      <c r="A73" s="23"/>
      <c r="B73" s="20"/>
      <c r="C73" s="22"/>
      <c r="D73" s="20"/>
      <c r="E73" s="20"/>
    </row>
    <row r="74">
      <c r="A74" s="23"/>
      <c r="B74" s="20"/>
      <c r="C74" s="22"/>
      <c r="D74" s="20"/>
      <c r="E74" s="20"/>
    </row>
    <row r="75">
      <c r="A75" s="23"/>
      <c r="B75" s="20"/>
      <c r="C75" s="22"/>
      <c r="D75" s="20"/>
      <c r="E75" s="20"/>
    </row>
    <row r="76">
      <c r="A76" s="23"/>
      <c r="B76" s="20"/>
      <c r="C76" s="22"/>
      <c r="D76" s="20"/>
      <c r="E76" s="20"/>
    </row>
    <row r="77">
      <c r="A77" s="23"/>
      <c r="B77" s="20"/>
      <c r="C77" s="22"/>
      <c r="D77" s="20"/>
      <c r="E77" s="20"/>
    </row>
    <row r="78">
      <c r="A78" s="23"/>
      <c r="B78" s="20"/>
      <c r="C78" s="22"/>
      <c r="D78" s="20"/>
      <c r="E78" s="20"/>
    </row>
    <row r="79">
      <c r="A79" s="23"/>
      <c r="B79" s="20"/>
      <c r="C79" s="22"/>
      <c r="D79" s="20"/>
      <c r="E79" s="20"/>
    </row>
    <row r="80">
      <c r="A80" s="23"/>
      <c r="B80" s="20"/>
      <c r="C80" s="22"/>
      <c r="D80" s="20"/>
      <c r="E80" s="20"/>
    </row>
    <row r="81">
      <c r="A81" s="23"/>
      <c r="B81" s="20"/>
      <c r="C81" s="22"/>
      <c r="D81" s="20"/>
      <c r="E81" s="20"/>
    </row>
    <row r="82">
      <c r="A82" s="23"/>
      <c r="B82" s="20"/>
      <c r="C82" s="22"/>
      <c r="D82" s="20"/>
      <c r="E82" s="20"/>
    </row>
    <row r="83">
      <c r="A83" s="23"/>
      <c r="B83" s="20"/>
      <c r="C83" s="22"/>
      <c r="D83" s="20"/>
      <c r="E83" s="20"/>
    </row>
    <row r="84">
      <c r="A84" s="23"/>
      <c r="B84" s="20"/>
      <c r="C84" s="22"/>
      <c r="D84" s="20"/>
      <c r="E84" s="20"/>
    </row>
    <row r="85">
      <c r="A85" s="23"/>
      <c r="B85" s="20"/>
      <c r="C85" s="22"/>
      <c r="D85" s="20"/>
      <c r="E85" s="20"/>
    </row>
    <row r="86">
      <c r="A86" s="23"/>
      <c r="B86" s="20"/>
      <c r="C86" s="22"/>
      <c r="D86" s="20"/>
      <c r="E86" s="20"/>
    </row>
    <row r="87">
      <c r="A87" s="23"/>
      <c r="B87" s="20"/>
      <c r="C87" s="22"/>
      <c r="D87" s="20"/>
      <c r="E87" s="20"/>
    </row>
    <row r="88">
      <c r="A88" s="23"/>
      <c r="B88" s="20"/>
      <c r="C88" s="22"/>
      <c r="D88" s="20"/>
      <c r="E88" s="20"/>
    </row>
    <row r="89">
      <c r="A89" s="23"/>
      <c r="B89" s="20"/>
      <c r="C89" s="22"/>
      <c r="D89" s="20"/>
      <c r="E89" s="20"/>
    </row>
    <row r="90">
      <c r="A90" s="23"/>
      <c r="B90" s="20"/>
      <c r="C90" s="22"/>
      <c r="D90" s="20"/>
      <c r="E90" s="20"/>
    </row>
    <row r="91">
      <c r="A91" s="23"/>
      <c r="B91" s="20"/>
      <c r="C91" s="22"/>
      <c r="D91" s="20"/>
      <c r="E91" s="20"/>
    </row>
    <row r="92">
      <c r="A92" s="23"/>
      <c r="B92" s="20"/>
      <c r="C92" s="22"/>
      <c r="D92" s="20"/>
      <c r="E92" s="20"/>
    </row>
    <row r="93">
      <c r="A93" s="23"/>
      <c r="B93" s="20"/>
      <c r="C93" s="22"/>
      <c r="D93" s="20"/>
      <c r="E93" s="20"/>
    </row>
    <row r="94">
      <c r="A94" s="23"/>
      <c r="B94" s="20"/>
      <c r="C94" s="22"/>
      <c r="D94" s="20"/>
      <c r="E94" s="20"/>
    </row>
    <row r="95">
      <c r="A95" s="23"/>
      <c r="B95" s="20"/>
      <c r="C95" s="22"/>
      <c r="D95" s="20"/>
      <c r="E95" s="20"/>
    </row>
    <row r="96">
      <c r="A96" s="23"/>
      <c r="B96" s="20"/>
      <c r="C96" s="22"/>
      <c r="D96" s="20"/>
      <c r="E96" s="20"/>
    </row>
    <row r="97">
      <c r="A97" s="23"/>
      <c r="B97" s="20"/>
      <c r="C97" s="22"/>
      <c r="D97" s="20"/>
      <c r="E97" s="20"/>
    </row>
    <row r="98">
      <c r="A98" s="23"/>
      <c r="B98" s="20"/>
      <c r="C98" s="22"/>
      <c r="D98" s="20"/>
      <c r="E98" s="20"/>
    </row>
    <row r="99">
      <c r="A99" s="23"/>
      <c r="B99" s="20"/>
      <c r="C99" s="22"/>
      <c r="D99" s="20"/>
      <c r="E99" s="20"/>
    </row>
    <row r="100">
      <c r="A100" s="23"/>
      <c r="B100" s="20"/>
      <c r="C100" s="22"/>
      <c r="D100" s="20"/>
      <c r="E100" s="20"/>
    </row>
    <row r="101">
      <c r="A101" s="23"/>
      <c r="B101" s="20"/>
      <c r="C101" s="22"/>
      <c r="D101" s="20"/>
      <c r="E101" s="20"/>
    </row>
    <row r="102">
      <c r="A102" s="23"/>
      <c r="B102" s="20"/>
      <c r="C102" s="22"/>
      <c r="D102" s="20"/>
      <c r="E102" s="20"/>
    </row>
    <row r="103">
      <c r="A103" s="23"/>
      <c r="B103" s="20"/>
      <c r="C103" s="22"/>
      <c r="D103" s="20"/>
      <c r="E103" s="20"/>
    </row>
    <row r="104">
      <c r="A104" s="23"/>
      <c r="B104" s="20"/>
      <c r="C104" s="22"/>
      <c r="D104" s="20"/>
      <c r="E104" s="20"/>
    </row>
    <row r="105">
      <c r="A105" s="23"/>
      <c r="B105" s="20"/>
      <c r="C105" s="22"/>
      <c r="D105" s="20"/>
      <c r="E105" s="20"/>
    </row>
    <row r="106">
      <c r="A106" s="23"/>
      <c r="B106" s="20"/>
      <c r="C106" s="22"/>
      <c r="D106" s="20"/>
      <c r="E106" s="20"/>
    </row>
    <row r="107">
      <c r="A107" s="23"/>
      <c r="B107" s="20"/>
      <c r="C107" s="22"/>
      <c r="D107" s="20"/>
      <c r="E107" s="20"/>
    </row>
    <row r="108">
      <c r="A108" s="23"/>
      <c r="B108" s="20"/>
      <c r="C108" s="22"/>
      <c r="D108" s="20"/>
      <c r="E108" s="20"/>
    </row>
    <row r="109">
      <c r="A109" s="23"/>
      <c r="B109" s="20"/>
      <c r="C109" s="22"/>
      <c r="D109" s="20"/>
      <c r="E109" s="20"/>
    </row>
    <row r="110">
      <c r="A110" s="23"/>
      <c r="B110" s="20"/>
      <c r="C110" s="22"/>
      <c r="D110" s="20"/>
      <c r="E110" s="20"/>
    </row>
    <row r="111">
      <c r="A111" s="23"/>
      <c r="B111" s="20"/>
      <c r="C111" s="22"/>
      <c r="D111" s="20"/>
      <c r="E111" s="20"/>
    </row>
    <row r="112">
      <c r="A112" s="23"/>
      <c r="B112" s="20"/>
      <c r="C112" s="22"/>
      <c r="D112" s="20"/>
      <c r="E112" s="20"/>
    </row>
    <row r="113">
      <c r="A113" s="23"/>
      <c r="B113" s="20"/>
      <c r="C113" s="22"/>
      <c r="D113" s="20"/>
      <c r="E113" s="20"/>
    </row>
    <row r="114">
      <c r="A114" s="23"/>
      <c r="B114" s="20"/>
      <c r="C114" s="22"/>
      <c r="D114" s="20"/>
      <c r="E114" s="20"/>
    </row>
    <row r="115">
      <c r="A115" s="23"/>
      <c r="B115" s="20"/>
      <c r="C115" s="22"/>
      <c r="D115" s="20"/>
      <c r="E115" s="20"/>
    </row>
    <row r="116">
      <c r="A116" s="23"/>
      <c r="B116" s="20"/>
      <c r="C116" s="22"/>
      <c r="D116" s="20"/>
      <c r="E116" s="20"/>
    </row>
    <row r="117">
      <c r="A117" s="23"/>
      <c r="B117" s="20"/>
      <c r="C117" s="22"/>
      <c r="D117" s="20"/>
      <c r="E117" s="20"/>
    </row>
    <row r="118">
      <c r="A118" s="23"/>
      <c r="B118" s="20"/>
      <c r="C118" s="22"/>
      <c r="D118" s="20"/>
      <c r="E118" s="20"/>
    </row>
    <row r="119">
      <c r="A119" s="23"/>
      <c r="B119" s="20"/>
      <c r="C119" s="22"/>
      <c r="D119" s="20"/>
      <c r="E119" s="20"/>
    </row>
    <row r="120">
      <c r="A120" s="23"/>
      <c r="B120" s="20"/>
      <c r="C120" s="22"/>
      <c r="D120" s="20"/>
      <c r="E120" s="20"/>
    </row>
    <row r="121">
      <c r="A121" s="23"/>
      <c r="B121" s="20"/>
      <c r="C121" s="22"/>
      <c r="D121" s="20"/>
      <c r="E121" s="20"/>
    </row>
    <row r="122">
      <c r="A122" s="23"/>
      <c r="B122" s="20"/>
      <c r="C122" s="22"/>
      <c r="D122" s="20"/>
      <c r="E122" s="20"/>
    </row>
    <row r="123">
      <c r="A123" s="23"/>
      <c r="B123" s="20"/>
      <c r="C123" s="22"/>
      <c r="D123" s="20"/>
      <c r="E123" s="20"/>
    </row>
    <row r="124">
      <c r="A124" s="23"/>
      <c r="B124" s="20"/>
      <c r="C124" s="22"/>
      <c r="D124" s="20"/>
      <c r="E124" s="20"/>
    </row>
    <row r="125">
      <c r="A125" s="23"/>
      <c r="B125" s="20"/>
      <c r="C125" s="22"/>
      <c r="D125" s="20"/>
      <c r="E125" s="20"/>
    </row>
    <row r="126">
      <c r="A126" s="23"/>
      <c r="B126" s="20"/>
      <c r="C126" s="22"/>
      <c r="D126" s="20"/>
      <c r="E126" s="20"/>
    </row>
    <row r="127">
      <c r="A127" s="23"/>
      <c r="B127" s="20"/>
      <c r="C127" s="22"/>
      <c r="D127" s="20"/>
      <c r="E127" s="20"/>
    </row>
    <row r="128">
      <c r="A128" s="23"/>
      <c r="B128" s="20"/>
      <c r="C128" s="22"/>
      <c r="D128" s="20"/>
      <c r="E128" s="20"/>
    </row>
    <row r="129">
      <c r="A129" s="23"/>
      <c r="B129" s="20"/>
      <c r="C129" s="22"/>
      <c r="D129" s="20"/>
      <c r="E129" s="20"/>
    </row>
    <row r="130">
      <c r="A130" s="23"/>
      <c r="B130" s="20"/>
      <c r="C130" s="22"/>
      <c r="D130" s="20"/>
      <c r="E130" s="20"/>
    </row>
    <row r="131">
      <c r="A131" s="23"/>
      <c r="B131" s="20"/>
      <c r="C131" s="22"/>
      <c r="D131" s="20"/>
      <c r="E131" s="20"/>
    </row>
    <row r="132">
      <c r="A132" s="23"/>
      <c r="B132" s="20"/>
      <c r="C132" s="22"/>
      <c r="D132" s="20"/>
      <c r="E132" s="20"/>
    </row>
    <row r="133">
      <c r="A133" s="23"/>
      <c r="B133" s="20"/>
      <c r="C133" s="22"/>
      <c r="D133" s="20"/>
      <c r="E133" s="20"/>
    </row>
    <row r="134">
      <c r="A134" s="23"/>
      <c r="B134" s="20"/>
      <c r="C134" s="22"/>
      <c r="D134" s="20"/>
      <c r="E134" s="20"/>
    </row>
    <row r="135">
      <c r="A135" s="23"/>
      <c r="B135" s="20"/>
      <c r="C135" s="22"/>
      <c r="D135" s="20"/>
      <c r="E135" s="20"/>
    </row>
    <row r="136">
      <c r="A136" s="23"/>
      <c r="B136" s="20"/>
      <c r="C136" s="22"/>
      <c r="D136" s="20"/>
      <c r="E136" s="20"/>
    </row>
    <row r="137">
      <c r="A137" s="23"/>
      <c r="B137" s="20"/>
      <c r="C137" s="22"/>
      <c r="D137" s="20"/>
      <c r="E137" s="20"/>
    </row>
    <row r="138">
      <c r="A138" s="23"/>
      <c r="B138" s="20"/>
      <c r="C138" s="22"/>
      <c r="D138" s="20"/>
      <c r="E138" s="20"/>
    </row>
    <row r="139">
      <c r="A139" s="23"/>
      <c r="B139" s="20"/>
      <c r="C139" s="22"/>
      <c r="D139" s="20"/>
      <c r="E139" s="20"/>
    </row>
    <row r="140">
      <c r="A140" s="23"/>
      <c r="B140" s="20"/>
      <c r="C140" s="22"/>
      <c r="D140" s="20"/>
      <c r="E140" s="20"/>
    </row>
    <row r="141">
      <c r="A141" s="23"/>
      <c r="B141" s="20"/>
      <c r="C141" s="22"/>
      <c r="D141" s="20"/>
      <c r="E141" s="20"/>
    </row>
    <row r="142">
      <c r="A142" s="23"/>
      <c r="B142" s="20"/>
      <c r="C142" s="22"/>
      <c r="D142" s="20"/>
      <c r="E142" s="20"/>
    </row>
    <row r="143">
      <c r="A143" s="23"/>
      <c r="B143" s="20"/>
      <c r="C143" s="22"/>
      <c r="D143" s="20"/>
      <c r="E143" s="20"/>
    </row>
    <row r="144">
      <c r="A144" s="23"/>
      <c r="B144" s="20"/>
      <c r="C144" s="22"/>
      <c r="D144" s="20"/>
      <c r="E144" s="20"/>
    </row>
    <row r="145">
      <c r="A145" s="23"/>
      <c r="B145" s="20"/>
      <c r="C145" s="22"/>
      <c r="D145" s="20"/>
      <c r="E145" s="20"/>
    </row>
    <row r="146">
      <c r="A146" s="23"/>
      <c r="B146" s="20"/>
      <c r="C146" s="22"/>
      <c r="D146" s="20"/>
      <c r="E146" s="20"/>
    </row>
    <row r="147">
      <c r="A147" s="23"/>
      <c r="B147" s="20"/>
      <c r="C147" s="22"/>
      <c r="D147" s="20"/>
      <c r="E147" s="20"/>
    </row>
    <row r="148">
      <c r="A148" s="23"/>
      <c r="B148" s="20"/>
      <c r="C148" s="22"/>
      <c r="D148" s="20"/>
      <c r="E148" s="20"/>
    </row>
    <row r="149">
      <c r="A149" s="23"/>
      <c r="B149" s="20"/>
      <c r="C149" s="22"/>
      <c r="D149" s="20"/>
      <c r="E149" s="20"/>
    </row>
    <row r="150">
      <c r="A150" s="23"/>
      <c r="B150" s="20"/>
      <c r="C150" s="22"/>
      <c r="D150" s="20"/>
      <c r="E150" s="20"/>
    </row>
    <row r="151">
      <c r="A151" s="23"/>
      <c r="B151" s="20"/>
      <c r="C151" s="22"/>
      <c r="D151" s="20"/>
      <c r="E151" s="20"/>
    </row>
    <row r="152">
      <c r="A152" s="23"/>
      <c r="B152" s="20"/>
      <c r="C152" s="22"/>
      <c r="D152" s="20"/>
      <c r="E152" s="20"/>
    </row>
    <row r="153">
      <c r="A153" s="23"/>
      <c r="B153" s="20"/>
      <c r="C153" s="22"/>
      <c r="D153" s="20"/>
      <c r="E153" s="20"/>
    </row>
    <row r="154">
      <c r="A154" s="23"/>
      <c r="B154" s="20"/>
      <c r="C154" s="22"/>
      <c r="D154" s="20"/>
      <c r="E154" s="20"/>
    </row>
    <row r="155">
      <c r="A155" s="23"/>
      <c r="B155" s="20"/>
      <c r="C155" s="22"/>
      <c r="D155" s="20"/>
      <c r="E155" s="20"/>
    </row>
    <row r="156">
      <c r="A156" s="23"/>
      <c r="B156" s="20"/>
      <c r="C156" s="22"/>
      <c r="D156" s="20"/>
      <c r="E156" s="20"/>
    </row>
    <row r="157">
      <c r="A157" s="23"/>
      <c r="B157" s="20"/>
      <c r="C157" s="22"/>
      <c r="D157" s="20"/>
      <c r="E157" s="20"/>
    </row>
    <row r="158">
      <c r="A158" s="23"/>
      <c r="B158" s="20"/>
      <c r="C158" s="22"/>
      <c r="D158" s="20"/>
      <c r="E158" s="20"/>
    </row>
    <row r="159">
      <c r="A159" s="23"/>
      <c r="B159" s="20"/>
      <c r="C159" s="22"/>
      <c r="D159" s="20"/>
      <c r="E159" s="20"/>
    </row>
    <row r="160">
      <c r="A160" s="23"/>
      <c r="B160" s="20"/>
      <c r="C160" s="22"/>
      <c r="D160" s="20"/>
      <c r="E160" s="20"/>
    </row>
    <row r="161">
      <c r="A161" s="23"/>
      <c r="B161" s="20"/>
      <c r="C161" s="22"/>
      <c r="D161" s="20"/>
      <c r="E161" s="20"/>
    </row>
    <row r="162">
      <c r="A162" s="23"/>
      <c r="B162" s="20"/>
      <c r="C162" s="22"/>
      <c r="D162" s="20"/>
      <c r="E162" s="20"/>
    </row>
    <row r="163">
      <c r="A163" s="23"/>
      <c r="B163" s="20"/>
      <c r="C163" s="22"/>
      <c r="D163" s="20"/>
      <c r="E163" s="20"/>
    </row>
    <row r="164">
      <c r="A164" s="23"/>
      <c r="B164" s="20"/>
      <c r="C164" s="22"/>
      <c r="D164" s="20"/>
      <c r="E164" s="20"/>
    </row>
    <row r="165">
      <c r="A165" s="23"/>
      <c r="B165" s="20"/>
      <c r="C165" s="22"/>
      <c r="D165" s="20"/>
      <c r="E165" s="20"/>
    </row>
    <row r="166">
      <c r="A166" s="23"/>
      <c r="B166" s="20"/>
      <c r="C166" s="22"/>
      <c r="D166" s="20"/>
      <c r="E166" s="20"/>
    </row>
    <row r="167">
      <c r="A167" s="23"/>
      <c r="B167" s="20"/>
      <c r="C167" s="22"/>
      <c r="D167" s="20"/>
      <c r="E167" s="20"/>
    </row>
    <row r="168">
      <c r="A168" s="23"/>
      <c r="B168" s="20"/>
      <c r="C168" s="22"/>
      <c r="D168" s="20"/>
      <c r="E168" s="20"/>
    </row>
    <row r="169">
      <c r="A169" s="23"/>
      <c r="B169" s="20"/>
      <c r="C169" s="22"/>
      <c r="D169" s="20"/>
      <c r="E169" s="20"/>
    </row>
    <row r="170">
      <c r="A170" s="23"/>
      <c r="B170" s="20"/>
      <c r="C170" s="22"/>
      <c r="D170" s="20"/>
      <c r="E170" s="20"/>
    </row>
    <row r="171">
      <c r="A171" s="23"/>
      <c r="B171" s="20"/>
      <c r="C171" s="22"/>
      <c r="D171" s="20"/>
      <c r="E171" s="20"/>
    </row>
    <row r="172">
      <c r="A172" s="23"/>
      <c r="B172" s="20"/>
      <c r="C172" s="22"/>
      <c r="D172" s="20"/>
      <c r="E172" s="20"/>
    </row>
    <row r="173">
      <c r="A173" s="23"/>
      <c r="B173" s="20"/>
      <c r="C173" s="22"/>
      <c r="D173" s="20"/>
      <c r="E173" s="20"/>
    </row>
    <row r="174">
      <c r="A174" s="23"/>
      <c r="B174" s="20"/>
      <c r="C174" s="22"/>
      <c r="D174" s="20"/>
      <c r="E174" s="20"/>
    </row>
    <row r="175">
      <c r="A175" s="23"/>
      <c r="B175" s="20"/>
      <c r="C175" s="22"/>
      <c r="D175" s="20"/>
      <c r="E175" s="20"/>
    </row>
    <row r="176">
      <c r="A176" s="23"/>
      <c r="B176" s="20"/>
      <c r="C176" s="22"/>
      <c r="D176" s="20"/>
      <c r="E176" s="20"/>
    </row>
    <row r="177">
      <c r="A177" s="23"/>
      <c r="B177" s="20"/>
      <c r="C177" s="22"/>
      <c r="D177" s="20"/>
      <c r="E177" s="20"/>
    </row>
    <row r="178">
      <c r="A178" s="23"/>
      <c r="B178" s="20"/>
      <c r="C178" s="22"/>
      <c r="D178" s="20"/>
      <c r="E178" s="20"/>
    </row>
    <row r="179">
      <c r="A179" s="23"/>
      <c r="B179" s="20"/>
      <c r="C179" s="22"/>
      <c r="D179" s="20"/>
      <c r="E179" s="20"/>
    </row>
    <row r="180">
      <c r="A180" s="23"/>
      <c r="B180" s="20"/>
      <c r="C180" s="22"/>
      <c r="D180" s="20"/>
      <c r="E180" s="20"/>
    </row>
    <row r="181">
      <c r="A181" s="23"/>
      <c r="B181" s="20"/>
      <c r="C181" s="22"/>
      <c r="D181" s="20"/>
      <c r="E181" s="20"/>
    </row>
    <row r="182">
      <c r="A182" s="23"/>
      <c r="B182" s="20"/>
      <c r="C182" s="22"/>
      <c r="D182" s="20"/>
      <c r="E182" s="20"/>
    </row>
    <row r="183">
      <c r="A183" s="23"/>
      <c r="B183" s="20"/>
      <c r="C183" s="22"/>
      <c r="D183" s="20"/>
      <c r="E183" s="20"/>
    </row>
    <row r="184">
      <c r="A184" s="23"/>
      <c r="B184" s="20"/>
      <c r="C184" s="22"/>
      <c r="D184" s="20"/>
      <c r="E184" s="20"/>
    </row>
    <row r="185">
      <c r="A185" s="23"/>
      <c r="B185" s="20"/>
      <c r="C185" s="22"/>
      <c r="D185" s="20"/>
      <c r="E185" s="20"/>
    </row>
    <row r="186">
      <c r="A186" s="23"/>
      <c r="B186" s="20"/>
      <c r="C186" s="22"/>
      <c r="D186" s="20"/>
      <c r="E186" s="20"/>
    </row>
    <row r="187">
      <c r="A187" s="23"/>
      <c r="B187" s="20"/>
      <c r="C187" s="22"/>
      <c r="D187" s="20"/>
      <c r="E187" s="20"/>
    </row>
    <row r="188">
      <c r="A188" s="23"/>
      <c r="B188" s="20"/>
      <c r="C188" s="22"/>
      <c r="D188" s="20"/>
      <c r="E188" s="20"/>
    </row>
    <row r="189">
      <c r="A189" s="23"/>
      <c r="B189" s="20"/>
      <c r="C189" s="22"/>
      <c r="D189" s="20"/>
      <c r="E189" s="20"/>
    </row>
    <row r="190">
      <c r="A190" s="23"/>
      <c r="B190" s="20"/>
      <c r="C190" s="22"/>
      <c r="D190" s="20"/>
      <c r="E190" s="20"/>
    </row>
    <row r="191">
      <c r="A191" s="23"/>
      <c r="B191" s="20"/>
      <c r="C191" s="22"/>
      <c r="D191" s="20"/>
      <c r="E191" s="20"/>
    </row>
    <row r="192">
      <c r="A192" s="23"/>
      <c r="B192" s="20"/>
      <c r="C192" s="22"/>
      <c r="D192" s="20"/>
      <c r="E192" s="20"/>
    </row>
    <row r="193">
      <c r="A193" s="23"/>
      <c r="B193" s="20"/>
      <c r="C193" s="22"/>
      <c r="D193" s="20"/>
      <c r="E193" s="20"/>
    </row>
    <row r="194">
      <c r="A194" s="23"/>
      <c r="B194" s="20"/>
      <c r="C194" s="22"/>
      <c r="D194" s="20"/>
      <c r="E194" s="20"/>
    </row>
    <row r="195">
      <c r="A195" s="23"/>
      <c r="B195" s="20"/>
      <c r="C195" s="22"/>
      <c r="D195" s="20"/>
      <c r="E195" s="20"/>
    </row>
    <row r="196">
      <c r="A196" s="23"/>
      <c r="B196" s="20"/>
      <c r="C196" s="22"/>
      <c r="D196" s="20"/>
      <c r="E196" s="20"/>
    </row>
    <row r="197">
      <c r="A197" s="23"/>
      <c r="B197" s="20"/>
      <c r="C197" s="22"/>
      <c r="D197" s="20"/>
      <c r="E197" s="20"/>
    </row>
    <row r="198">
      <c r="A198" s="23"/>
      <c r="B198" s="20"/>
      <c r="C198" s="22"/>
      <c r="D198" s="20"/>
      <c r="E198" s="20"/>
    </row>
    <row r="199">
      <c r="A199" s="23"/>
      <c r="B199" s="20"/>
      <c r="C199" s="22"/>
      <c r="D199" s="20"/>
      <c r="E199" s="20"/>
    </row>
    <row r="200">
      <c r="A200" s="23"/>
      <c r="B200" s="20"/>
      <c r="C200" s="22"/>
      <c r="D200" s="20"/>
      <c r="E200" s="20"/>
    </row>
    <row r="201">
      <c r="A201" s="23"/>
      <c r="B201" s="20"/>
      <c r="C201" s="22"/>
      <c r="D201" s="20"/>
      <c r="E201" s="20"/>
    </row>
    <row r="202">
      <c r="A202" s="23"/>
      <c r="B202" s="20"/>
      <c r="C202" s="22"/>
      <c r="D202" s="20"/>
      <c r="E202" s="20"/>
    </row>
    <row r="203">
      <c r="A203" s="23"/>
      <c r="B203" s="20"/>
      <c r="C203" s="22"/>
      <c r="D203" s="20"/>
      <c r="E203" s="20"/>
    </row>
    <row r="204">
      <c r="A204" s="23"/>
      <c r="B204" s="20"/>
      <c r="C204" s="22"/>
      <c r="D204" s="20"/>
      <c r="E204" s="20"/>
    </row>
    <row r="205">
      <c r="A205" s="23"/>
      <c r="B205" s="20"/>
      <c r="C205" s="22"/>
      <c r="D205" s="20"/>
      <c r="E205" s="20"/>
    </row>
    <row r="206">
      <c r="A206" s="23"/>
      <c r="B206" s="20"/>
      <c r="C206" s="22"/>
      <c r="D206" s="20"/>
      <c r="E206" s="20"/>
    </row>
    <row r="207">
      <c r="A207" s="23"/>
      <c r="B207" s="20"/>
      <c r="C207" s="22"/>
      <c r="D207" s="20"/>
      <c r="E207" s="20"/>
    </row>
    <row r="208">
      <c r="A208" s="23"/>
      <c r="B208" s="20"/>
      <c r="C208" s="22"/>
      <c r="D208" s="20"/>
      <c r="E208" s="20"/>
    </row>
    <row r="209">
      <c r="A209" s="23"/>
      <c r="B209" s="20"/>
      <c r="C209" s="22"/>
      <c r="D209" s="20"/>
      <c r="E209" s="20"/>
    </row>
    <row r="210">
      <c r="A210" s="23"/>
      <c r="B210" s="20"/>
      <c r="C210" s="22"/>
      <c r="D210" s="20"/>
      <c r="E210" s="20"/>
    </row>
    <row r="211">
      <c r="A211" s="23"/>
      <c r="B211" s="20"/>
      <c r="C211" s="22"/>
      <c r="D211" s="20"/>
      <c r="E211" s="20"/>
    </row>
    <row r="212">
      <c r="A212" s="23"/>
      <c r="B212" s="20"/>
      <c r="C212" s="22"/>
      <c r="D212" s="20"/>
      <c r="E212" s="20"/>
    </row>
    <row r="213">
      <c r="A213" s="23"/>
      <c r="B213" s="20"/>
      <c r="C213" s="22"/>
      <c r="D213" s="20"/>
      <c r="E213" s="20"/>
    </row>
    <row r="214">
      <c r="A214" s="23"/>
      <c r="B214" s="20"/>
      <c r="C214" s="22"/>
      <c r="D214" s="20"/>
      <c r="E214" s="20"/>
    </row>
    <row r="215">
      <c r="A215" s="23"/>
      <c r="B215" s="20"/>
      <c r="C215" s="22"/>
      <c r="D215" s="20"/>
      <c r="E215" s="20"/>
    </row>
    <row r="216">
      <c r="A216" s="23"/>
      <c r="B216" s="20"/>
      <c r="C216" s="22"/>
      <c r="D216" s="20"/>
      <c r="E216" s="20"/>
    </row>
    <row r="217">
      <c r="A217" s="23"/>
      <c r="B217" s="20"/>
      <c r="C217" s="22"/>
      <c r="D217" s="20"/>
      <c r="E217" s="20"/>
    </row>
    <row r="218">
      <c r="A218" s="23"/>
      <c r="B218" s="20"/>
      <c r="C218" s="22"/>
      <c r="D218" s="20"/>
      <c r="E218" s="20"/>
    </row>
    <row r="219">
      <c r="A219" s="23"/>
      <c r="B219" s="20"/>
      <c r="C219" s="22"/>
      <c r="D219" s="20"/>
      <c r="E219" s="20"/>
    </row>
    <row r="220">
      <c r="A220" s="23"/>
      <c r="B220" s="20"/>
      <c r="C220" s="22"/>
      <c r="D220" s="20"/>
      <c r="E220" s="20"/>
    </row>
    <row r="221">
      <c r="A221" s="23"/>
      <c r="B221" s="20"/>
      <c r="C221" s="22"/>
      <c r="D221" s="20"/>
      <c r="E221" s="20"/>
    </row>
    <row r="222">
      <c r="A222" s="23"/>
      <c r="B222" s="20"/>
      <c r="C222" s="22"/>
      <c r="D222" s="20"/>
      <c r="E222" s="20"/>
    </row>
    <row r="223">
      <c r="A223" s="23"/>
      <c r="B223" s="20"/>
      <c r="C223" s="22"/>
      <c r="D223" s="20"/>
      <c r="E223" s="20"/>
    </row>
    <row r="224">
      <c r="A224" s="23"/>
      <c r="B224" s="20"/>
      <c r="C224" s="22"/>
      <c r="D224" s="20"/>
      <c r="E224" s="20"/>
    </row>
    <row r="225">
      <c r="A225" s="23"/>
      <c r="B225" s="20"/>
      <c r="C225" s="22"/>
      <c r="D225" s="20"/>
      <c r="E225" s="20"/>
    </row>
    <row r="226">
      <c r="A226" s="23"/>
      <c r="B226" s="20"/>
      <c r="C226" s="22"/>
      <c r="D226" s="20"/>
      <c r="E226" s="20"/>
    </row>
    <row r="227">
      <c r="A227" s="23"/>
      <c r="B227" s="20"/>
      <c r="C227" s="22"/>
      <c r="D227" s="20"/>
      <c r="E227" s="20"/>
    </row>
    <row r="228">
      <c r="A228" s="23"/>
      <c r="B228" s="20"/>
      <c r="C228" s="22"/>
      <c r="D228" s="20"/>
      <c r="E228" s="20"/>
    </row>
    <row r="229">
      <c r="A229" s="23"/>
      <c r="B229" s="20"/>
      <c r="C229" s="22"/>
      <c r="D229" s="20"/>
      <c r="E229" s="20"/>
    </row>
    <row r="230">
      <c r="A230" s="23"/>
      <c r="B230" s="20"/>
      <c r="C230" s="22"/>
      <c r="D230" s="20"/>
      <c r="E230" s="20"/>
    </row>
    <row r="231">
      <c r="A231" s="23"/>
      <c r="B231" s="20"/>
      <c r="C231" s="22"/>
      <c r="D231" s="20"/>
      <c r="E231" s="20"/>
    </row>
    <row r="232">
      <c r="A232" s="23"/>
      <c r="B232" s="20"/>
      <c r="C232" s="22"/>
      <c r="D232" s="20"/>
      <c r="E232" s="20"/>
    </row>
    <row r="233">
      <c r="A233" s="23"/>
      <c r="B233" s="20"/>
      <c r="C233" s="22"/>
      <c r="D233" s="20"/>
      <c r="E233" s="20"/>
    </row>
    <row r="234">
      <c r="A234" s="23"/>
      <c r="B234" s="20"/>
      <c r="C234" s="22"/>
      <c r="D234" s="20"/>
      <c r="E234" s="20"/>
    </row>
    <row r="235">
      <c r="A235" s="23"/>
      <c r="B235" s="20"/>
      <c r="C235" s="22"/>
      <c r="D235" s="20"/>
      <c r="E235" s="20"/>
    </row>
    <row r="236">
      <c r="A236" s="23"/>
      <c r="B236" s="20"/>
      <c r="C236" s="22"/>
      <c r="D236" s="20"/>
      <c r="E236" s="20"/>
    </row>
    <row r="237">
      <c r="A237" s="23"/>
      <c r="B237" s="20"/>
      <c r="C237" s="22"/>
      <c r="D237" s="20"/>
      <c r="E237" s="20"/>
    </row>
    <row r="238">
      <c r="A238" s="23"/>
      <c r="B238" s="20"/>
      <c r="C238" s="22"/>
      <c r="D238" s="20"/>
      <c r="E238" s="20"/>
    </row>
    <row r="239">
      <c r="A239" s="23"/>
      <c r="B239" s="20"/>
      <c r="C239" s="22"/>
      <c r="D239" s="20"/>
      <c r="E239" s="20"/>
    </row>
    <row r="240">
      <c r="A240" s="23"/>
      <c r="B240" s="20"/>
      <c r="C240" s="22"/>
      <c r="D240" s="20"/>
      <c r="E240" s="20"/>
    </row>
    <row r="241">
      <c r="A241" s="23"/>
      <c r="B241" s="20"/>
      <c r="C241" s="22"/>
      <c r="D241" s="20"/>
      <c r="E241" s="20"/>
    </row>
    <row r="242">
      <c r="A242" s="23"/>
      <c r="B242" s="20"/>
      <c r="C242" s="22"/>
      <c r="D242" s="20"/>
      <c r="E242" s="20"/>
    </row>
    <row r="243">
      <c r="A243" s="23"/>
      <c r="B243" s="20"/>
      <c r="C243" s="22"/>
      <c r="D243" s="20"/>
      <c r="E243" s="20"/>
    </row>
    <row r="244">
      <c r="A244" s="23"/>
      <c r="B244" s="20"/>
      <c r="C244" s="22"/>
      <c r="D244" s="20"/>
      <c r="E244" s="20"/>
    </row>
    <row r="245">
      <c r="A245" s="23"/>
      <c r="B245" s="20"/>
      <c r="C245" s="22"/>
      <c r="D245" s="20"/>
      <c r="E245" s="20"/>
    </row>
    <row r="246">
      <c r="A246" s="23"/>
      <c r="B246" s="20"/>
      <c r="C246" s="22"/>
      <c r="D246" s="20"/>
      <c r="E246" s="20"/>
    </row>
    <row r="247">
      <c r="A247" s="23"/>
      <c r="B247" s="20"/>
      <c r="C247" s="22"/>
      <c r="D247" s="20"/>
      <c r="E247" s="20"/>
    </row>
    <row r="248">
      <c r="A248" s="23"/>
      <c r="B248" s="20"/>
      <c r="C248" s="22"/>
      <c r="D248" s="20"/>
      <c r="E248" s="20"/>
    </row>
    <row r="249">
      <c r="A249" s="23"/>
      <c r="B249" s="20"/>
      <c r="C249" s="22"/>
      <c r="D249" s="20"/>
      <c r="E249" s="20"/>
    </row>
    <row r="250">
      <c r="A250" s="23"/>
      <c r="B250" s="20"/>
      <c r="C250" s="22"/>
      <c r="D250" s="20"/>
      <c r="E250" s="20"/>
    </row>
    <row r="251">
      <c r="A251" s="23"/>
      <c r="B251" s="20"/>
      <c r="C251" s="22"/>
      <c r="D251" s="20"/>
      <c r="E251" s="20"/>
    </row>
    <row r="252">
      <c r="A252" s="23"/>
      <c r="B252" s="20"/>
      <c r="C252" s="22"/>
      <c r="D252" s="20"/>
      <c r="E252" s="20"/>
    </row>
    <row r="253">
      <c r="A253" s="23"/>
      <c r="B253" s="20"/>
      <c r="C253" s="22"/>
      <c r="D253" s="20"/>
      <c r="E253" s="20"/>
    </row>
    <row r="254">
      <c r="A254" s="23"/>
      <c r="B254" s="20"/>
      <c r="C254" s="22"/>
      <c r="D254" s="20"/>
      <c r="E254" s="20"/>
    </row>
    <row r="255">
      <c r="A255" s="23"/>
      <c r="B255" s="20"/>
      <c r="C255" s="22"/>
      <c r="D255" s="20"/>
      <c r="E255" s="20"/>
    </row>
    <row r="256">
      <c r="A256" s="23"/>
      <c r="B256" s="20"/>
      <c r="C256" s="22"/>
      <c r="D256" s="20"/>
      <c r="E256" s="20"/>
    </row>
    <row r="257">
      <c r="A257" s="23"/>
      <c r="B257" s="20"/>
      <c r="C257" s="22"/>
      <c r="D257" s="20"/>
      <c r="E257" s="20"/>
    </row>
    <row r="258">
      <c r="A258" s="23"/>
      <c r="B258" s="20"/>
      <c r="C258" s="22"/>
      <c r="D258" s="20"/>
      <c r="E258" s="20"/>
    </row>
    <row r="259">
      <c r="A259" s="23"/>
      <c r="B259" s="20"/>
      <c r="C259" s="22"/>
      <c r="D259" s="20"/>
      <c r="E259" s="20"/>
    </row>
    <row r="260">
      <c r="A260" s="23"/>
      <c r="B260" s="20"/>
      <c r="C260" s="22"/>
      <c r="D260" s="20"/>
      <c r="E260" s="20"/>
    </row>
    <row r="261">
      <c r="A261" s="23"/>
      <c r="B261" s="20"/>
      <c r="C261" s="22"/>
      <c r="D261" s="20"/>
      <c r="E261" s="20"/>
    </row>
    <row r="262">
      <c r="A262" s="23"/>
      <c r="B262" s="20"/>
      <c r="C262" s="22"/>
      <c r="D262" s="20"/>
      <c r="E262" s="20"/>
    </row>
    <row r="263">
      <c r="A263" s="23"/>
      <c r="B263" s="20"/>
      <c r="C263" s="22"/>
      <c r="D263" s="20"/>
      <c r="E263" s="20"/>
    </row>
    <row r="264">
      <c r="A264" s="23"/>
      <c r="B264" s="20"/>
      <c r="C264" s="22"/>
      <c r="D264" s="20"/>
      <c r="E264" s="20"/>
    </row>
    <row r="265">
      <c r="A265" s="23"/>
      <c r="B265" s="20"/>
      <c r="C265" s="22"/>
      <c r="D265" s="20"/>
      <c r="E265" s="20"/>
    </row>
    <row r="266">
      <c r="A266" s="23"/>
      <c r="B266" s="20"/>
      <c r="C266" s="22"/>
      <c r="D266" s="20"/>
      <c r="E266" s="20"/>
    </row>
    <row r="267">
      <c r="A267" s="23"/>
      <c r="B267" s="20"/>
      <c r="C267" s="22"/>
      <c r="D267" s="20"/>
      <c r="E267" s="20"/>
    </row>
    <row r="268">
      <c r="A268" s="23"/>
      <c r="B268" s="20"/>
      <c r="C268" s="22"/>
      <c r="D268" s="20"/>
      <c r="E268" s="20"/>
    </row>
    <row r="269">
      <c r="A269" s="23"/>
      <c r="B269" s="20"/>
      <c r="C269" s="22"/>
      <c r="D269" s="20"/>
      <c r="E269" s="20"/>
    </row>
    <row r="270">
      <c r="A270" s="23"/>
      <c r="B270" s="20"/>
      <c r="C270" s="22"/>
      <c r="D270" s="20"/>
      <c r="E270" s="20"/>
    </row>
    <row r="271">
      <c r="A271" s="23"/>
      <c r="B271" s="20"/>
      <c r="C271" s="22"/>
      <c r="D271" s="20"/>
      <c r="E271" s="20"/>
    </row>
    <row r="272">
      <c r="A272" s="23"/>
      <c r="B272" s="20"/>
      <c r="C272" s="22"/>
      <c r="D272" s="20"/>
      <c r="E272" s="20"/>
    </row>
    <row r="273">
      <c r="A273" s="23"/>
      <c r="B273" s="20"/>
      <c r="C273" s="22"/>
      <c r="D273" s="20"/>
      <c r="E273" s="20"/>
    </row>
    <row r="274">
      <c r="A274" s="23"/>
      <c r="B274" s="20"/>
      <c r="C274" s="22"/>
      <c r="D274" s="20"/>
      <c r="E274" s="20"/>
    </row>
    <row r="275">
      <c r="A275" s="23"/>
      <c r="B275" s="20"/>
      <c r="C275" s="22"/>
      <c r="D275" s="20"/>
      <c r="E275" s="20"/>
    </row>
    <row r="276">
      <c r="A276" s="23"/>
      <c r="B276" s="20"/>
      <c r="C276" s="22"/>
      <c r="D276" s="20"/>
      <c r="E276" s="20"/>
    </row>
    <row r="277">
      <c r="A277" s="23"/>
      <c r="B277" s="20"/>
      <c r="C277" s="22"/>
      <c r="D277" s="20"/>
      <c r="E277" s="20"/>
    </row>
    <row r="278">
      <c r="A278" s="23"/>
      <c r="B278" s="20"/>
      <c r="C278" s="22"/>
      <c r="D278" s="20"/>
      <c r="E278" s="20"/>
    </row>
    <row r="279">
      <c r="A279" s="23"/>
      <c r="B279" s="20"/>
      <c r="C279" s="22"/>
      <c r="D279" s="20"/>
      <c r="E279" s="20"/>
    </row>
    <row r="280">
      <c r="A280" s="23"/>
      <c r="B280" s="20"/>
      <c r="C280" s="22"/>
      <c r="D280" s="20"/>
      <c r="E280" s="20"/>
    </row>
    <row r="281">
      <c r="A281" s="23"/>
      <c r="B281" s="20"/>
      <c r="C281" s="22"/>
      <c r="D281" s="20"/>
      <c r="E281" s="20"/>
    </row>
    <row r="282">
      <c r="A282" s="23"/>
      <c r="B282" s="20"/>
      <c r="C282" s="22"/>
      <c r="D282" s="20"/>
      <c r="E282" s="20"/>
    </row>
    <row r="283">
      <c r="A283" s="23"/>
      <c r="B283" s="20"/>
      <c r="C283" s="22"/>
      <c r="D283" s="20"/>
      <c r="E283" s="20"/>
    </row>
    <row r="284">
      <c r="A284" s="23"/>
      <c r="B284" s="20"/>
      <c r="C284" s="22"/>
      <c r="D284" s="20"/>
      <c r="E284" s="20"/>
    </row>
    <row r="285">
      <c r="A285" s="23"/>
      <c r="B285" s="20"/>
      <c r="C285" s="22"/>
      <c r="D285" s="20"/>
      <c r="E285" s="20"/>
    </row>
    <row r="286">
      <c r="A286" s="23"/>
      <c r="B286" s="20"/>
      <c r="C286" s="22"/>
      <c r="D286" s="20"/>
      <c r="E286" s="20"/>
    </row>
    <row r="287">
      <c r="A287" s="23"/>
      <c r="B287" s="20"/>
      <c r="C287" s="22"/>
      <c r="D287" s="20"/>
      <c r="E287" s="20"/>
    </row>
    <row r="288">
      <c r="A288" s="23"/>
      <c r="B288" s="20"/>
      <c r="C288" s="22"/>
      <c r="D288" s="20"/>
      <c r="E288" s="20"/>
    </row>
    <row r="289">
      <c r="A289" s="23"/>
      <c r="B289" s="20"/>
      <c r="C289" s="22"/>
      <c r="D289" s="20"/>
      <c r="E289" s="20"/>
    </row>
    <row r="290">
      <c r="A290" s="23"/>
      <c r="B290" s="20"/>
      <c r="C290" s="22"/>
      <c r="D290" s="20"/>
      <c r="E290" s="20"/>
    </row>
    <row r="291">
      <c r="A291" s="23"/>
      <c r="B291" s="20"/>
      <c r="C291" s="22"/>
      <c r="D291" s="20"/>
      <c r="E291" s="20"/>
    </row>
    <row r="292">
      <c r="A292" s="23"/>
      <c r="B292" s="20"/>
      <c r="C292" s="22"/>
      <c r="D292" s="20"/>
      <c r="E292" s="20"/>
    </row>
    <row r="293">
      <c r="A293" s="23"/>
      <c r="B293" s="20"/>
      <c r="C293" s="22"/>
      <c r="D293" s="20"/>
      <c r="E293" s="20"/>
    </row>
    <row r="294">
      <c r="A294" s="23"/>
      <c r="B294" s="20"/>
      <c r="C294" s="22"/>
      <c r="D294" s="20"/>
      <c r="E294" s="20"/>
    </row>
    <row r="295">
      <c r="A295" s="23"/>
      <c r="B295" s="20"/>
      <c r="C295" s="22"/>
      <c r="D295" s="20"/>
      <c r="E295" s="20"/>
    </row>
    <row r="296">
      <c r="A296" s="23"/>
      <c r="B296" s="20"/>
      <c r="C296" s="22"/>
      <c r="D296" s="20"/>
      <c r="E296" s="20"/>
    </row>
    <row r="297">
      <c r="A297" s="23"/>
      <c r="B297" s="20"/>
      <c r="C297" s="22"/>
      <c r="D297" s="20"/>
      <c r="E297" s="20"/>
    </row>
    <row r="298">
      <c r="A298" s="23"/>
      <c r="B298" s="20"/>
      <c r="C298" s="22"/>
      <c r="D298" s="20"/>
      <c r="E298" s="20"/>
    </row>
    <row r="299">
      <c r="A299" s="23"/>
      <c r="B299" s="20"/>
      <c r="C299" s="22"/>
      <c r="D299" s="20"/>
      <c r="E299" s="20"/>
    </row>
    <row r="300">
      <c r="A300" s="23"/>
      <c r="B300" s="20"/>
      <c r="C300" s="22"/>
      <c r="D300" s="20"/>
      <c r="E300" s="20"/>
    </row>
    <row r="301">
      <c r="A301" s="23"/>
      <c r="B301" s="20"/>
      <c r="C301" s="22"/>
      <c r="D301" s="20"/>
      <c r="E301" s="20"/>
    </row>
  </sheetData>
  <dataValidations count="2">
    <dataValidation type="list" allowBlank="1" showInputMessage="1" showErrorMessage="0" sqref="B2:B301">
      <formula1>'Préstamos'!$B$2:$B$301</formula1>
    </dataValidation>
    <dataValidation type="list" allowBlank="1" showInputMessage="1" showErrorMessage="0" sqref="D2:D301">
      <formula1>'Config'!$P$2:$P$15</formula1>
    </dataValidation>
  </dataValidations>
  <pageMargins left="0.5" right="0.5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2.00" customWidth="1"/>
    <col min="2" max="2" width="30.00" customWidth="1"/>
    <col min="3" max="3" width="18.00" customWidth="1"/>
    <col min="4" max="4" width="15.00" customWidth="1"/>
    <col min="5" max="5" width="12.00" customWidth="1"/>
    <col min="6" max="6" width="18.00" customWidth="1"/>
    <col min="7" max="7" width="12.00" customWidth="1"/>
    <col min="8" max="8" width="16.00" customWidth="1"/>
    <col min="9" max="9" width="14.00" customWidth="1"/>
  </cols>
  <sheetData>
    <row r="1">
      <c r="A1" s="1" t="inlineStr">
        <is>
          <t xml:space="preserve">Código</t>
        </is>
      </c>
      <c r="B1" s="1" t="inlineStr">
        <is>
          <t xml:space="preserve">Producto</t>
        </is>
      </c>
      <c r="C1" s="1" t="inlineStr">
        <is>
          <t xml:space="preserve">Categoría</t>
        </is>
      </c>
      <c r="D1" s="1" t="inlineStr">
        <is>
          <t xml:space="preserve">Costo Promedio</t>
        </is>
      </c>
      <c r="E1" s="1" t="inlineStr">
        <is>
          <t xml:space="preserve">Stock Casa</t>
        </is>
      </c>
      <c r="F1" s="1" t="inlineStr">
        <is>
          <t xml:space="preserve">Stock Mercado Libre</t>
        </is>
      </c>
      <c r="G1" s="1" t="inlineStr">
        <is>
          <t xml:space="preserve">Stock Total</t>
        </is>
      </c>
      <c r="H1" s="1" t="inlineStr">
        <is>
          <t xml:space="preserve">Valor Inventario</t>
        </is>
      </c>
      <c r="I1" s="1" t="inlineStr">
        <is>
          <t xml:space="preserve">Estado</t>
        </is>
      </c>
    </row>
    <row r="2">
      <c r="A2" s="19">
        <f>IF('Catálogo'!$A2="","",'Catálogo'!$A2)</f>
      </c>
      <c r="B2" s="19">
        <f>IF('Catálogo'!$A2="","",'Catálogo'!$B2)</f>
      </c>
      <c r="C2" s="19">
        <f>IF('Catálogo'!$A2="","",'Catálogo'!$C2)</f>
      </c>
      <c r="D2" s="16">
        <f>IF('Catálogo'!$A2="","",'Catálogo'!$F2)</f>
      </c>
      <c r="E2" s="17">
        <f>IF('Catálogo'!$A2="","",'Catálogo'!$G2)</f>
      </c>
      <c r="F2" s="17">
        <f>IF('Catálogo'!$A2="","",'Catálogo'!$H2)</f>
      </c>
      <c r="G2" s="17">
        <f>IF('Catálogo'!$A2="","",'Catálogo'!$I2)</f>
      </c>
      <c r="H2" s="16">
        <f>IF('Catálogo'!$A2="","",'Catálogo'!$J2)</f>
      </c>
      <c r="I2" s="19">
        <f>IF('Catálogo'!$A2="","",'Catálogo'!$K2)</f>
      </c>
    </row>
    <row r="3">
      <c r="A3" s="19">
        <f>IF('Catálogo'!$A3="","",'Catálogo'!$A3)</f>
      </c>
      <c r="B3" s="19">
        <f>IF('Catálogo'!$A3="","",'Catálogo'!$B3)</f>
      </c>
      <c r="C3" s="19">
        <f>IF('Catálogo'!$A3="","",'Catálogo'!$C3)</f>
      </c>
      <c r="D3" s="16">
        <f>IF('Catálogo'!$A3="","",'Catálogo'!$F3)</f>
      </c>
      <c r="E3" s="17">
        <f>IF('Catálogo'!$A3="","",'Catálogo'!$G3)</f>
      </c>
      <c r="F3" s="17">
        <f>IF('Catálogo'!$A3="","",'Catálogo'!$H3)</f>
      </c>
      <c r="G3" s="17">
        <f>IF('Catálogo'!$A3="","",'Catálogo'!$I3)</f>
      </c>
      <c r="H3" s="16">
        <f>IF('Catálogo'!$A3="","",'Catálogo'!$J3)</f>
      </c>
      <c r="I3" s="19">
        <f>IF('Catálogo'!$A3="","",'Catálogo'!$K3)</f>
      </c>
    </row>
    <row r="4">
      <c r="A4" s="19">
        <f>IF('Catálogo'!$A4="","",'Catálogo'!$A4)</f>
      </c>
      <c r="B4" s="19">
        <f>IF('Catálogo'!$A4="","",'Catálogo'!$B4)</f>
      </c>
      <c r="C4" s="19">
        <f>IF('Catálogo'!$A4="","",'Catálogo'!$C4)</f>
      </c>
      <c r="D4" s="16">
        <f>IF('Catálogo'!$A4="","",'Catálogo'!$F4)</f>
      </c>
      <c r="E4" s="17">
        <f>IF('Catálogo'!$A4="","",'Catálogo'!$G4)</f>
      </c>
      <c r="F4" s="17">
        <f>IF('Catálogo'!$A4="","",'Catálogo'!$H4)</f>
      </c>
      <c r="G4" s="17">
        <f>IF('Catálogo'!$A4="","",'Catálogo'!$I4)</f>
      </c>
      <c r="H4" s="16">
        <f>IF('Catálogo'!$A4="","",'Catálogo'!$J4)</f>
      </c>
      <c r="I4" s="19">
        <f>IF('Catálogo'!$A4="","",'Catálogo'!$K4)</f>
      </c>
    </row>
    <row r="5">
      <c r="A5" s="19">
        <f>IF('Catálogo'!$A5="","",'Catálogo'!$A5)</f>
      </c>
      <c r="B5" s="19">
        <f>IF('Catálogo'!$A5="","",'Catálogo'!$B5)</f>
      </c>
      <c r="C5" s="19">
        <f>IF('Catálogo'!$A5="","",'Catálogo'!$C5)</f>
      </c>
      <c r="D5" s="16">
        <f>IF('Catálogo'!$A5="","",'Catálogo'!$F5)</f>
      </c>
      <c r="E5" s="17">
        <f>IF('Catálogo'!$A5="","",'Catálogo'!$G5)</f>
      </c>
      <c r="F5" s="17">
        <f>IF('Catálogo'!$A5="","",'Catálogo'!$H5)</f>
      </c>
      <c r="G5" s="17">
        <f>IF('Catálogo'!$A5="","",'Catálogo'!$I5)</f>
      </c>
      <c r="H5" s="16">
        <f>IF('Catálogo'!$A5="","",'Catálogo'!$J5)</f>
      </c>
      <c r="I5" s="19">
        <f>IF('Catálogo'!$A5="","",'Catálogo'!$K5)</f>
      </c>
    </row>
    <row r="6">
      <c r="A6" s="19">
        <f>IF('Catálogo'!$A6="","",'Catálogo'!$A6)</f>
      </c>
      <c r="B6" s="19">
        <f>IF('Catálogo'!$A6="","",'Catálogo'!$B6)</f>
      </c>
      <c r="C6" s="19">
        <f>IF('Catálogo'!$A6="","",'Catálogo'!$C6)</f>
      </c>
      <c r="D6" s="16">
        <f>IF('Catálogo'!$A6="","",'Catálogo'!$F6)</f>
      </c>
      <c r="E6" s="17">
        <f>IF('Catálogo'!$A6="","",'Catálogo'!$G6)</f>
      </c>
      <c r="F6" s="17">
        <f>IF('Catálogo'!$A6="","",'Catálogo'!$H6)</f>
      </c>
      <c r="G6" s="17">
        <f>IF('Catálogo'!$A6="","",'Catálogo'!$I6)</f>
      </c>
      <c r="H6" s="16">
        <f>IF('Catálogo'!$A6="","",'Catálogo'!$J6)</f>
      </c>
      <c r="I6" s="19">
        <f>IF('Catálogo'!$A6="","",'Catálogo'!$K6)</f>
      </c>
    </row>
    <row r="7">
      <c r="A7" s="19">
        <f>IF('Catálogo'!$A7="","",'Catálogo'!$A7)</f>
      </c>
      <c r="B7" s="19">
        <f>IF('Catálogo'!$A7="","",'Catálogo'!$B7)</f>
      </c>
      <c r="C7" s="19">
        <f>IF('Catálogo'!$A7="","",'Catálogo'!$C7)</f>
      </c>
      <c r="D7" s="16">
        <f>IF('Catálogo'!$A7="","",'Catálogo'!$F7)</f>
      </c>
      <c r="E7" s="17">
        <f>IF('Catálogo'!$A7="","",'Catálogo'!$G7)</f>
      </c>
      <c r="F7" s="17">
        <f>IF('Catálogo'!$A7="","",'Catálogo'!$H7)</f>
      </c>
      <c r="G7" s="17">
        <f>IF('Catálogo'!$A7="","",'Catálogo'!$I7)</f>
      </c>
      <c r="H7" s="16">
        <f>IF('Catálogo'!$A7="","",'Catálogo'!$J7)</f>
      </c>
      <c r="I7" s="19">
        <f>IF('Catálogo'!$A7="","",'Catálogo'!$K7)</f>
      </c>
    </row>
    <row r="8">
      <c r="A8" s="19">
        <f>IF('Catálogo'!$A8="","",'Catálogo'!$A8)</f>
      </c>
      <c r="B8" s="19">
        <f>IF('Catálogo'!$A8="","",'Catálogo'!$B8)</f>
      </c>
      <c r="C8" s="19">
        <f>IF('Catálogo'!$A8="","",'Catálogo'!$C8)</f>
      </c>
      <c r="D8" s="16">
        <f>IF('Catálogo'!$A8="","",'Catálogo'!$F8)</f>
      </c>
      <c r="E8" s="17">
        <f>IF('Catálogo'!$A8="","",'Catálogo'!$G8)</f>
      </c>
      <c r="F8" s="17">
        <f>IF('Catálogo'!$A8="","",'Catálogo'!$H8)</f>
      </c>
      <c r="G8" s="17">
        <f>IF('Catálogo'!$A8="","",'Catálogo'!$I8)</f>
      </c>
      <c r="H8" s="16">
        <f>IF('Catálogo'!$A8="","",'Catálogo'!$J8)</f>
      </c>
      <c r="I8" s="19">
        <f>IF('Catálogo'!$A8="","",'Catálogo'!$K8)</f>
      </c>
    </row>
    <row r="9">
      <c r="A9" s="19">
        <f>IF('Catálogo'!$A9="","",'Catálogo'!$A9)</f>
      </c>
      <c r="B9" s="19">
        <f>IF('Catálogo'!$A9="","",'Catálogo'!$B9)</f>
      </c>
      <c r="C9" s="19">
        <f>IF('Catálogo'!$A9="","",'Catálogo'!$C9)</f>
      </c>
      <c r="D9" s="16">
        <f>IF('Catálogo'!$A9="","",'Catálogo'!$F9)</f>
      </c>
      <c r="E9" s="17">
        <f>IF('Catálogo'!$A9="","",'Catálogo'!$G9)</f>
      </c>
      <c r="F9" s="17">
        <f>IF('Catálogo'!$A9="","",'Catálogo'!$H9)</f>
      </c>
      <c r="G9" s="17">
        <f>IF('Catálogo'!$A9="","",'Catálogo'!$I9)</f>
      </c>
      <c r="H9" s="16">
        <f>IF('Catálogo'!$A9="","",'Catálogo'!$J9)</f>
      </c>
      <c r="I9" s="19">
        <f>IF('Catálogo'!$A9="","",'Catálogo'!$K9)</f>
      </c>
    </row>
    <row r="10">
      <c r="A10" s="19">
        <f>IF('Catálogo'!$A10="","",'Catálogo'!$A10)</f>
      </c>
      <c r="B10" s="19">
        <f>IF('Catálogo'!$A10="","",'Catálogo'!$B10)</f>
      </c>
      <c r="C10" s="19">
        <f>IF('Catálogo'!$A10="","",'Catálogo'!$C10)</f>
      </c>
      <c r="D10" s="16">
        <f>IF('Catálogo'!$A10="","",'Catálogo'!$F10)</f>
      </c>
      <c r="E10" s="17">
        <f>IF('Catálogo'!$A10="","",'Catálogo'!$G10)</f>
      </c>
      <c r="F10" s="17">
        <f>IF('Catálogo'!$A10="","",'Catálogo'!$H10)</f>
      </c>
      <c r="G10" s="17">
        <f>IF('Catálogo'!$A10="","",'Catálogo'!$I10)</f>
      </c>
      <c r="H10" s="16">
        <f>IF('Catálogo'!$A10="","",'Catálogo'!$J10)</f>
      </c>
      <c r="I10" s="19">
        <f>IF('Catálogo'!$A10="","",'Catálogo'!$K10)</f>
      </c>
    </row>
    <row r="11">
      <c r="A11" s="19">
        <f>IF('Catálogo'!$A11="","",'Catálogo'!$A11)</f>
      </c>
      <c r="B11" s="19">
        <f>IF('Catálogo'!$A11="","",'Catálogo'!$B11)</f>
      </c>
      <c r="C11" s="19">
        <f>IF('Catálogo'!$A11="","",'Catálogo'!$C11)</f>
      </c>
      <c r="D11" s="16">
        <f>IF('Catálogo'!$A11="","",'Catálogo'!$F11)</f>
      </c>
      <c r="E11" s="17">
        <f>IF('Catálogo'!$A11="","",'Catálogo'!$G11)</f>
      </c>
      <c r="F11" s="17">
        <f>IF('Catálogo'!$A11="","",'Catálogo'!$H11)</f>
      </c>
      <c r="G11" s="17">
        <f>IF('Catálogo'!$A11="","",'Catálogo'!$I11)</f>
      </c>
      <c r="H11" s="16">
        <f>IF('Catálogo'!$A11="","",'Catálogo'!$J11)</f>
      </c>
      <c r="I11" s="19">
        <f>IF('Catálogo'!$A11="","",'Catálogo'!$K11)</f>
      </c>
    </row>
    <row r="12">
      <c r="A12" s="19">
        <f>IF('Catálogo'!$A12="","",'Catálogo'!$A12)</f>
      </c>
      <c r="B12" s="19">
        <f>IF('Catálogo'!$A12="","",'Catálogo'!$B12)</f>
      </c>
      <c r="C12" s="19">
        <f>IF('Catálogo'!$A12="","",'Catálogo'!$C12)</f>
      </c>
      <c r="D12" s="16">
        <f>IF('Catálogo'!$A12="","",'Catálogo'!$F12)</f>
      </c>
      <c r="E12" s="17">
        <f>IF('Catálogo'!$A12="","",'Catálogo'!$G12)</f>
      </c>
      <c r="F12" s="17">
        <f>IF('Catálogo'!$A12="","",'Catálogo'!$H12)</f>
      </c>
      <c r="G12" s="17">
        <f>IF('Catálogo'!$A12="","",'Catálogo'!$I12)</f>
      </c>
      <c r="H12" s="16">
        <f>IF('Catálogo'!$A12="","",'Catálogo'!$J12)</f>
      </c>
      <c r="I12" s="19">
        <f>IF('Catálogo'!$A12="","",'Catálogo'!$K12)</f>
      </c>
    </row>
    <row r="13">
      <c r="A13" s="19">
        <f>IF('Catálogo'!$A13="","",'Catálogo'!$A13)</f>
      </c>
      <c r="B13" s="19">
        <f>IF('Catálogo'!$A13="","",'Catálogo'!$B13)</f>
      </c>
      <c r="C13" s="19">
        <f>IF('Catálogo'!$A13="","",'Catálogo'!$C13)</f>
      </c>
      <c r="D13" s="16">
        <f>IF('Catálogo'!$A13="","",'Catálogo'!$F13)</f>
      </c>
      <c r="E13" s="17">
        <f>IF('Catálogo'!$A13="","",'Catálogo'!$G13)</f>
      </c>
      <c r="F13" s="17">
        <f>IF('Catálogo'!$A13="","",'Catálogo'!$H13)</f>
      </c>
      <c r="G13" s="17">
        <f>IF('Catálogo'!$A13="","",'Catálogo'!$I13)</f>
      </c>
      <c r="H13" s="16">
        <f>IF('Catálogo'!$A13="","",'Catálogo'!$J13)</f>
      </c>
      <c r="I13" s="19">
        <f>IF('Catálogo'!$A13="","",'Catálogo'!$K13)</f>
      </c>
    </row>
    <row r="14">
      <c r="A14" s="19">
        <f>IF('Catálogo'!$A14="","",'Catálogo'!$A14)</f>
      </c>
      <c r="B14" s="19">
        <f>IF('Catálogo'!$A14="","",'Catálogo'!$B14)</f>
      </c>
      <c r="C14" s="19">
        <f>IF('Catálogo'!$A14="","",'Catálogo'!$C14)</f>
      </c>
      <c r="D14" s="16">
        <f>IF('Catálogo'!$A14="","",'Catálogo'!$F14)</f>
      </c>
      <c r="E14" s="17">
        <f>IF('Catálogo'!$A14="","",'Catálogo'!$G14)</f>
      </c>
      <c r="F14" s="17">
        <f>IF('Catálogo'!$A14="","",'Catálogo'!$H14)</f>
      </c>
      <c r="G14" s="17">
        <f>IF('Catálogo'!$A14="","",'Catálogo'!$I14)</f>
      </c>
      <c r="H14" s="16">
        <f>IF('Catálogo'!$A14="","",'Catálogo'!$J14)</f>
      </c>
      <c r="I14" s="19">
        <f>IF('Catálogo'!$A14="","",'Catálogo'!$K14)</f>
      </c>
    </row>
    <row r="15">
      <c r="A15" s="19">
        <f>IF('Catálogo'!$A15="","",'Catálogo'!$A15)</f>
      </c>
      <c r="B15" s="19">
        <f>IF('Catálogo'!$A15="","",'Catálogo'!$B15)</f>
      </c>
      <c r="C15" s="19">
        <f>IF('Catálogo'!$A15="","",'Catálogo'!$C15)</f>
      </c>
      <c r="D15" s="16">
        <f>IF('Catálogo'!$A15="","",'Catálogo'!$F15)</f>
      </c>
      <c r="E15" s="17">
        <f>IF('Catálogo'!$A15="","",'Catálogo'!$G15)</f>
      </c>
      <c r="F15" s="17">
        <f>IF('Catálogo'!$A15="","",'Catálogo'!$H15)</f>
      </c>
      <c r="G15" s="17">
        <f>IF('Catálogo'!$A15="","",'Catálogo'!$I15)</f>
      </c>
      <c r="H15" s="16">
        <f>IF('Catálogo'!$A15="","",'Catálogo'!$J15)</f>
      </c>
      <c r="I15" s="19">
        <f>IF('Catálogo'!$A15="","",'Catálogo'!$K15)</f>
      </c>
    </row>
    <row r="16">
      <c r="A16" s="19">
        <f>IF('Catálogo'!$A16="","",'Catálogo'!$A16)</f>
      </c>
      <c r="B16" s="19">
        <f>IF('Catálogo'!$A16="","",'Catálogo'!$B16)</f>
      </c>
      <c r="C16" s="19">
        <f>IF('Catálogo'!$A16="","",'Catálogo'!$C16)</f>
      </c>
      <c r="D16" s="16">
        <f>IF('Catálogo'!$A16="","",'Catálogo'!$F16)</f>
      </c>
      <c r="E16" s="17">
        <f>IF('Catálogo'!$A16="","",'Catálogo'!$G16)</f>
      </c>
      <c r="F16" s="17">
        <f>IF('Catálogo'!$A16="","",'Catálogo'!$H16)</f>
      </c>
      <c r="G16" s="17">
        <f>IF('Catálogo'!$A16="","",'Catálogo'!$I16)</f>
      </c>
      <c r="H16" s="16">
        <f>IF('Catálogo'!$A16="","",'Catálogo'!$J16)</f>
      </c>
      <c r="I16" s="19">
        <f>IF('Catálogo'!$A16="","",'Catálogo'!$K16)</f>
      </c>
    </row>
    <row r="17">
      <c r="A17" s="19">
        <f>IF('Catálogo'!$A17="","",'Catálogo'!$A17)</f>
      </c>
      <c r="B17" s="19">
        <f>IF('Catálogo'!$A17="","",'Catálogo'!$B17)</f>
      </c>
      <c r="C17" s="19">
        <f>IF('Catálogo'!$A17="","",'Catálogo'!$C17)</f>
      </c>
      <c r="D17" s="16">
        <f>IF('Catálogo'!$A17="","",'Catálogo'!$F17)</f>
      </c>
      <c r="E17" s="17">
        <f>IF('Catálogo'!$A17="","",'Catálogo'!$G17)</f>
      </c>
      <c r="F17" s="17">
        <f>IF('Catálogo'!$A17="","",'Catálogo'!$H17)</f>
      </c>
      <c r="G17" s="17">
        <f>IF('Catálogo'!$A17="","",'Catálogo'!$I17)</f>
      </c>
      <c r="H17" s="16">
        <f>IF('Catálogo'!$A17="","",'Catálogo'!$J17)</f>
      </c>
      <c r="I17" s="19">
        <f>IF('Catálogo'!$A17="","",'Catálogo'!$K17)</f>
      </c>
    </row>
    <row r="18">
      <c r="A18" s="19">
        <f>IF('Catálogo'!$A18="","",'Catálogo'!$A18)</f>
      </c>
      <c r="B18" s="19">
        <f>IF('Catálogo'!$A18="","",'Catálogo'!$B18)</f>
      </c>
      <c r="C18" s="19">
        <f>IF('Catálogo'!$A18="","",'Catálogo'!$C18)</f>
      </c>
      <c r="D18" s="16">
        <f>IF('Catálogo'!$A18="","",'Catálogo'!$F18)</f>
      </c>
      <c r="E18" s="17">
        <f>IF('Catálogo'!$A18="","",'Catálogo'!$G18)</f>
      </c>
      <c r="F18" s="17">
        <f>IF('Catálogo'!$A18="","",'Catálogo'!$H18)</f>
      </c>
      <c r="G18" s="17">
        <f>IF('Catálogo'!$A18="","",'Catálogo'!$I18)</f>
      </c>
      <c r="H18" s="16">
        <f>IF('Catálogo'!$A18="","",'Catálogo'!$J18)</f>
      </c>
      <c r="I18" s="19">
        <f>IF('Catálogo'!$A18="","",'Catálogo'!$K18)</f>
      </c>
    </row>
    <row r="19">
      <c r="A19" s="19">
        <f>IF('Catálogo'!$A19="","",'Catálogo'!$A19)</f>
      </c>
      <c r="B19" s="19">
        <f>IF('Catálogo'!$A19="","",'Catálogo'!$B19)</f>
      </c>
      <c r="C19" s="19">
        <f>IF('Catálogo'!$A19="","",'Catálogo'!$C19)</f>
      </c>
      <c r="D19" s="16">
        <f>IF('Catálogo'!$A19="","",'Catálogo'!$F19)</f>
      </c>
      <c r="E19" s="17">
        <f>IF('Catálogo'!$A19="","",'Catálogo'!$G19)</f>
      </c>
      <c r="F19" s="17">
        <f>IF('Catálogo'!$A19="","",'Catálogo'!$H19)</f>
      </c>
      <c r="G19" s="17">
        <f>IF('Catálogo'!$A19="","",'Catálogo'!$I19)</f>
      </c>
      <c r="H19" s="16">
        <f>IF('Catálogo'!$A19="","",'Catálogo'!$J19)</f>
      </c>
      <c r="I19" s="19">
        <f>IF('Catálogo'!$A19="","",'Catálogo'!$K19)</f>
      </c>
    </row>
    <row r="20">
      <c r="A20" s="19">
        <f>IF('Catálogo'!$A20="","",'Catálogo'!$A20)</f>
      </c>
      <c r="B20" s="19">
        <f>IF('Catálogo'!$A20="","",'Catálogo'!$B20)</f>
      </c>
      <c r="C20" s="19">
        <f>IF('Catálogo'!$A20="","",'Catálogo'!$C20)</f>
      </c>
      <c r="D20" s="16">
        <f>IF('Catálogo'!$A20="","",'Catálogo'!$F20)</f>
      </c>
      <c r="E20" s="17">
        <f>IF('Catálogo'!$A20="","",'Catálogo'!$G20)</f>
      </c>
      <c r="F20" s="17">
        <f>IF('Catálogo'!$A20="","",'Catálogo'!$H20)</f>
      </c>
      <c r="G20" s="17">
        <f>IF('Catálogo'!$A20="","",'Catálogo'!$I20)</f>
      </c>
      <c r="H20" s="16">
        <f>IF('Catálogo'!$A20="","",'Catálogo'!$J20)</f>
      </c>
      <c r="I20" s="19">
        <f>IF('Catálogo'!$A20="","",'Catálogo'!$K20)</f>
      </c>
    </row>
    <row r="21">
      <c r="A21" s="19">
        <f>IF('Catálogo'!$A21="","",'Catálogo'!$A21)</f>
      </c>
      <c r="B21" s="19">
        <f>IF('Catálogo'!$A21="","",'Catálogo'!$B21)</f>
      </c>
      <c r="C21" s="19">
        <f>IF('Catálogo'!$A21="","",'Catálogo'!$C21)</f>
      </c>
      <c r="D21" s="16">
        <f>IF('Catálogo'!$A21="","",'Catálogo'!$F21)</f>
      </c>
      <c r="E21" s="17">
        <f>IF('Catálogo'!$A21="","",'Catálogo'!$G21)</f>
      </c>
      <c r="F21" s="17">
        <f>IF('Catálogo'!$A21="","",'Catálogo'!$H21)</f>
      </c>
      <c r="G21" s="17">
        <f>IF('Catálogo'!$A21="","",'Catálogo'!$I21)</f>
      </c>
      <c r="H21" s="16">
        <f>IF('Catálogo'!$A21="","",'Catálogo'!$J21)</f>
      </c>
      <c r="I21" s="19">
        <f>IF('Catálogo'!$A21="","",'Catálogo'!$K21)</f>
      </c>
    </row>
    <row r="22">
      <c r="A22" s="19">
        <f>IF('Catálogo'!$A22="","",'Catálogo'!$A22)</f>
      </c>
      <c r="B22" s="19">
        <f>IF('Catálogo'!$A22="","",'Catálogo'!$B22)</f>
      </c>
      <c r="C22" s="19">
        <f>IF('Catálogo'!$A22="","",'Catálogo'!$C22)</f>
      </c>
      <c r="D22" s="16">
        <f>IF('Catálogo'!$A22="","",'Catálogo'!$F22)</f>
      </c>
      <c r="E22" s="17">
        <f>IF('Catálogo'!$A22="","",'Catálogo'!$G22)</f>
      </c>
      <c r="F22" s="17">
        <f>IF('Catálogo'!$A22="","",'Catálogo'!$H22)</f>
      </c>
      <c r="G22" s="17">
        <f>IF('Catálogo'!$A22="","",'Catálogo'!$I22)</f>
      </c>
      <c r="H22" s="16">
        <f>IF('Catálogo'!$A22="","",'Catálogo'!$J22)</f>
      </c>
      <c r="I22" s="19">
        <f>IF('Catálogo'!$A22="","",'Catálogo'!$K22)</f>
      </c>
    </row>
    <row r="23">
      <c r="A23" s="19">
        <f>IF('Catálogo'!$A23="","",'Catálogo'!$A23)</f>
      </c>
      <c r="B23" s="19">
        <f>IF('Catálogo'!$A23="","",'Catálogo'!$B23)</f>
      </c>
      <c r="C23" s="19">
        <f>IF('Catálogo'!$A23="","",'Catálogo'!$C23)</f>
      </c>
      <c r="D23" s="16">
        <f>IF('Catálogo'!$A23="","",'Catálogo'!$F23)</f>
      </c>
      <c r="E23" s="17">
        <f>IF('Catálogo'!$A23="","",'Catálogo'!$G23)</f>
      </c>
      <c r="F23" s="17">
        <f>IF('Catálogo'!$A23="","",'Catálogo'!$H23)</f>
      </c>
      <c r="G23" s="17">
        <f>IF('Catálogo'!$A23="","",'Catálogo'!$I23)</f>
      </c>
      <c r="H23" s="16">
        <f>IF('Catálogo'!$A23="","",'Catálogo'!$J23)</f>
      </c>
      <c r="I23" s="19">
        <f>IF('Catálogo'!$A23="","",'Catálogo'!$K23)</f>
      </c>
    </row>
    <row r="24">
      <c r="A24" s="19">
        <f>IF('Catálogo'!$A24="","",'Catálogo'!$A24)</f>
      </c>
      <c r="B24" s="19">
        <f>IF('Catálogo'!$A24="","",'Catálogo'!$B24)</f>
      </c>
      <c r="C24" s="19">
        <f>IF('Catálogo'!$A24="","",'Catálogo'!$C24)</f>
      </c>
      <c r="D24" s="16">
        <f>IF('Catálogo'!$A24="","",'Catálogo'!$F24)</f>
      </c>
      <c r="E24" s="17">
        <f>IF('Catálogo'!$A24="","",'Catálogo'!$G24)</f>
      </c>
      <c r="F24" s="17">
        <f>IF('Catálogo'!$A24="","",'Catálogo'!$H24)</f>
      </c>
      <c r="G24" s="17">
        <f>IF('Catálogo'!$A24="","",'Catálogo'!$I24)</f>
      </c>
      <c r="H24" s="16">
        <f>IF('Catálogo'!$A24="","",'Catálogo'!$J24)</f>
      </c>
      <c r="I24" s="19">
        <f>IF('Catálogo'!$A24="","",'Catálogo'!$K24)</f>
      </c>
    </row>
    <row r="25">
      <c r="A25" s="19">
        <f>IF('Catálogo'!$A25="","",'Catálogo'!$A25)</f>
      </c>
      <c r="B25" s="19">
        <f>IF('Catálogo'!$A25="","",'Catálogo'!$B25)</f>
      </c>
      <c r="C25" s="19">
        <f>IF('Catálogo'!$A25="","",'Catálogo'!$C25)</f>
      </c>
      <c r="D25" s="16">
        <f>IF('Catálogo'!$A25="","",'Catálogo'!$F25)</f>
      </c>
      <c r="E25" s="17">
        <f>IF('Catálogo'!$A25="","",'Catálogo'!$G25)</f>
      </c>
      <c r="F25" s="17">
        <f>IF('Catálogo'!$A25="","",'Catálogo'!$H25)</f>
      </c>
      <c r="G25" s="17">
        <f>IF('Catálogo'!$A25="","",'Catálogo'!$I25)</f>
      </c>
      <c r="H25" s="16">
        <f>IF('Catálogo'!$A25="","",'Catálogo'!$J25)</f>
      </c>
      <c r="I25" s="19">
        <f>IF('Catálogo'!$A25="","",'Catálogo'!$K25)</f>
      </c>
    </row>
    <row r="26">
      <c r="A26" s="19">
        <f>IF('Catálogo'!$A26="","",'Catálogo'!$A26)</f>
      </c>
      <c r="B26" s="19">
        <f>IF('Catálogo'!$A26="","",'Catálogo'!$B26)</f>
      </c>
      <c r="C26" s="19">
        <f>IF('Catálogo'!$A26="","",'Catálogo'!$C26)</f>
      </c>
      <c r="D26" s="16">
        <f>IF('Catálogo'!$A26="","",'Catálogo'!$F26)</f>
      </c>
      <c r="E26" s="17">
        <f>IF('Catálogo'!$A26="","",'Catálogo'!$G26)</f>
      </c>
      <c r="F26" s="17">
        <f>IF('Catálogo'!$A26="","",'Catálogo'!$H26)</f>
      </c>
      <c r="G26" s="17">
        <f>IF('Catálogo'!$A26="","",'Catálogo'!$I26)</f>
      </c>
      <c r="H26" s="16">
        <f>IF('Catálogo'!$A26="","",'Catálogo'!$J26)</f>
      </c>
      <c r="I26" s="19">
        <f>IF('Catálogo'!$A26="","",'Catálogo'!$K26)</f>
      </c>
    </row>
    <row r="27">
      <c r="A27" s="19">
        <f>IF('Catálogo'!$A27="","",'Catálogo'!$A27)</f>
      </c>
      <c r="B27" s="19">
        <f>IF('Catálogo'!$A27="","",'Catálogo'!$B27)</f>
      </c>
      <c r="C27" s="19">
        <f>IF('Catálogo'!$A27="","",'Catálogo'!$C27)</f>
      </c>
      <c r="D27" s="16">
        <f>IF('Catálogo'!$A27="","",'Catálogo'!$F27)</f>
      </c>
      <c r="E27" s="17">
        <f>IF('Catálogo'!$A27="","",'Catálogo'!$G27)</f>
      </c>
      <c r="F27" s="17">
        <f>IF('Catálogo'!$A27="","",'Catálogo'!$H27)</f>
      </c>
      <c r="G27" s="17">
        <f>IF('Catálogo'!$A27="","",'Catálogo'!$I27)</f>
      </c>
      <c r="H27" s="16">
        <f>IF('Catálogo'!$A27="","",'Catálogo'!$J27)</f>
      </c>
      <c r="I27" s="19">
        <f>IF('Catálogo'!$A27="","",'Catálogo'!$K27)</f>
      </c>
    </row>
    <row r="28">
      <c r="A28" s="19">
        <f>IF('Catálogo'!$A28="","",'Catálogo'!$A28)</f>
      </c>
      <c r="B28" s="19">
        <f>IF('Catálogo'!$A28="","",'Catálogo'!$B28)</f>
      </c>
      <c r="C28" s="19">
        <f>IF('Catálogo'!$A28="","",'Catálogo'!$C28)</f>
      </c>
      <c r="D28" s="16">
        <f>IF('Catálogo'!$A28="","",'Catálogo'!$F28)</f>
      </c>
      <c r="E28" s="17">
        <f>IF('Catálogo'!$A28="","",'Catálogo'!$G28)</f>
      </c>
      <c r="F28" s="17">
        <f>IF('Catálogo'!$A28="","",'Catálogo'!$H28)</f>
      </c>
      <c r="G28" s="17">
        <f>IF('Catálogo'!$A28="","",'Catálogo'!$I28)</f>
      </c>
      <c r="H28" s="16">
        <f>IF('Catálogo'!$A28="","",'Catálogo'!$J28)</f>
      </c>
      <c r="I28" s="19">
        <f>IF('Catálogo'!$A28="","",'Catálogo'!$K28)</f>
      </c>
    </row>
    <row r="29">
      <c r="A29" s="19">
        <f>IF('Catálogo'!$A29="","",'Catálogo'!$A29)</f>
      </c>
      <c r="B29" s="19">
        <f>IF('Catálogo'!$A29="","",'Catálogo'!$B29)</f>
      </c>
      <c r="C29" s="19">
        <f>IF('Catálogo'!$A29="","",'Catálogo'!$C29)</f>
      </c>
      <c r="D29" s="16">
        <f>IF('Catálogo'!$A29="","",'Catálogo'!$F29)</f>
      </c>
      <c r="E29" s="17">
        <f>IF('Catálogo'!$A29="","",'Catálogo'!$G29)</f>
      </c>
      <c r="F29" s="17">
        <f>IF('Catálogo'!$A29="","",'Catálogo'!$H29)</f>
      </c>
      <c r="G29" s="17">
        <f>IF('Catálogo'!$A29="","",'Catálogo'!$I29)</f>
      </c>
      <c r="H29" s="16">
        <f>IF('Catálogo'!$A29="","",'Catálogo'!$J29)</f>
      </c>
      <c r="I29" s="19">
        <f>IF('Catálogo'!$A29="","",'Catálogo'!$K29)</f>
      </c>
    </row>
    <row r="30">
      <c r="A30" s="19">
        <f>IF('Catálogo'!$A30="","",'Catálogo'!$A30)</f>
      </c>
      <c r="B30" s="19">
        <f>IF('Catálogo'!$A30="","",'Catálogo'!$B30)</f>
      </c>
      <c r="C30" s="19">
        <f>IF('Catálogo'!$A30="","",'Catálogo'!$C30)</f>
      </c>
      <c r="D30" s="16">
        <f>IF('Catálogo'!$A30="","",'Catálogo'!$F30)</f>
      </c>
      <c r="E30" s="17">
        <f>IF('Catálogo'!$A30="","",'Catálogo'!$G30)</f>
      </c>
      <c r="F30" s="17">
        <f>IF('Catálogo'!$A30="","",'Catálogo'!$H30)</f>
      </c>
      <c r="G30" s="17">
        <f>IF('Catálogo'!$A30="","",'Catálogo'!$I30)</f>
      </c>
      <c r="H30" s="16">
        <f>IF('Catálogo'!$A30="","",'Catálogo'!$J30)</f>
      </c>
      <c r="I30" s="19">
        <f>IF('Catálogo'!$A30="","",'Catálogo'!$K30)</f>
      </c>
    </row>
    <row r="31">
      <c r="A31" s="19">
        <f>IF('Catálogo'!$A31="","",'Catálogo'!$A31)</f>
      </c>
      <c r="B31" s="19">
        <f>IF('Catálogo'!$A31="","",'Catálogo'!$B31)</f>
      </c>
      <c r="C31" s="19">
        <f>IF('Catálogo'!$A31="","",'Catálogo'!$C31)</f>
      </c>
      <c r="D31" s="16">
        <f>IF('Catálogo'!$A31="","",'Catálogo'!$F31)</f>
      </c>
      <c r="E31" s="17">
        <f>IF('Catálogo'!$A31="","",'Catálogo'!$G31)</f>
      </c>
      <c r="F31" s="17">
        <f>IF('Catálogo'!$A31="","",'Catálogo'!$H31)</f>
      </c>
      <c r="G31" s="17">
        <f>IF('Catálogo'!$A31="","",'Catálogo'!$I31)</f>
      </c>
      <c r="H31" s="16">
        <f>IF('Catálogo'!$A31="","",'Catálogo'!$J31)</f>
      </c>
      <c r="I31" s="19">
        <f>IF('Catálogo'!$A31="","",'Catálogo'!$K31)</f>
      </c>
    </row>
    <row r="32">
      <c r="A32" s="19">
        <f>IF('Catálogo'!$A32="","",'Catálogo'!$A32)</f>
      </c>
      <c r="B32" s="19">
        <f>IF('Catálogo'!$A32="","",'Catálogo'!$B32)</f>
      </c>
      <c r="C32" s="19">
        <f>IF('Catálogo'!$A32="","",'Catálogo'!$C32)</f>
      </c>
      <c r="D32" s="16">
        <f>IF('Catálogo'!$A32="","",'Catálogo'!$F32)</f>
      </c>
      <c r="E32" s="17">
        <f>IF('Catálogo'!$A32="","",'Catálogo'!$G32)</f>
      </c>
      <c r="F32" s="17">
        <f>IF('Catálogo'!$A32="","",'Catálogo'!$H32)</f>
      </c>
      <c r="G32" s="17">
        <f>IF('Catálogo'!$A32="","",'Catálogo'!$I32)</f>
      </c>
      <c r="H32" s="16">
        <f>IF('Catálogo'!$A32="","",'Catálogo'!$J32)</f>
      </c>
      <c r="I32" s="19">
        <f>IF('Catálogo'!$A32="","",'Catálogo'!$K32)</f>
      </c>
    </row>
    <row r="33">
      <c r="A33" s="19">
        <f>IF('Catálogo'!$A33="","",'Catálogo'!$A33)</f>
      </c>
      <c r="B33" s="19">
        <f>IF('Catálogo'!$A33="","",'Catálogo'!$B33)</f>
      </c>
      <c r="C33" s="19">
        <f>IF('Catálogo'!$A33="","",'Catálogo'!$C33)</f>
      </c>
      <c r="D33" s="16">
        <f>IF('Catálogo'!$A33="","",'Catálogo'!$F33)</f>
      </c>
      <c r="E33" s="17">
        <f>IF('Catálogo'!$A33="","",'Catálogo'!$G33)</f>
      </c>
      <c r="F33" s="17">
        <f>IF('Catálogo'!$A33="","",'Catálogo'!$H33)</f>
      </c>
      <c r="G33" s="17">
        <f>IF('Catálogo'!$A33="","",'Catálogo'!$I33)</f>
      </c>
      <c r="H33" s="16">
        <f>IF('Catálogo'!$A33="","",'Catálogo'!$J33)</f>
      </c>
      <c r="I33" s="19">
        <f>IF('Catálogo'!$A33="","",'Catálogo'!$K33)</f>
      </c>
    </row>
    <row r="34">
      <c r="A34" s="19">
        <f>IF('Catálogo'!$A34="","",'Catálogo'!$A34)</f>
      </c>
      <c r="B34" s="19">
        <f>IF('Catálogo'!$A34="","",'Catálogo'!$B34)</f>
      </c>
      <c r="C34" s="19">
        <f>IF('Catálogo'!$A34="","",'Catálogo'!$C34)</f>
      </c>
      <c r="D34" s="16">
        <f>IF('Catálogo'!$A34="","",'Catálogo'!$F34)</f>
      </c>
      <c r="E34" s="17">
        <f>IF('Catálogo'!$A34="","",'Catálogo'!$G34)</f>
      </c>
      <c r="F34" s="17">
        <f>IF('Catálogo'!$A34="","",'Catálogo'!$H34)</f>
      </c>
      <c r="G34" s="17">
        <f>IF('Catálogo'!$A34="","",'Catálogo'!$I34)</f>
      </c>
      <c r="H34" s="16">
        <f>IF('Catálogo'!$A34="","",'Catálogo'!$J34)</f>
      </c>
      <c r="I34" s="19">
        <f>IF('Catálogo'!$A34="","",'Catálogo'!$K34)</f>
      </c>
    </row>
    <row r="35">
      <c r="A35" s="19">
        <f>IF('Catálogo'!$A35="","",'Catálogo'!$A35)</f>
      </c>
      <c r="B35" s="19">
        <f>IF('Catálogo'!$A35="","",'Catálogo'!$B35)</f>
      </c>
      <c r="C35" s="19">
        <f>IF('Catálogo'!$A35="","",'Catálogo'!$C35)</f>
      </c>
      <c r="D35" s="16">
        <f>IF('Catálogo'!$A35="","",'Catálogo'!$F35)</f>
      </c>
      <c r="E35" s="17">
        <f>IF('Catálogo'!$A35="","",'Catálogo'!$G35)</f>
      </c>
      <c r="F35" s="17">
        <f>IF('Catálogo'!$A35="","",'Catálogo'!$H35)</f>
      </c>
      <c r="G35" s="17">
        <f>IF('Catálogo'!$A35="","",'Catálogo'!$I35)</f>
      </c>
      <c r="H35" s="16">
        <f>IF('Catálogo'!$A35="","",'Catálogo'!$J35)</f>
      </c>
      <c r="I35" s="19">
        <f>IF('Catálogo'!$A35="","",'Catálogo'!$K35)</f>
      </c>
    </row>
    <row r="36">
      <c r="A36" s="19">
        <f>IF('Catálogo'!$A36="","",'Catálogo'!$A36)</f>
      </c>
      <c r="B36" s="19">
        <f>IF('Catálogo'!$A36="","",'Catálogo'!$B36)</f>
      </c>
      <c r="C36" s="19">
        <f>IF('Catálogo'!$A36="","",'Catálogo'!$C36)</f>
      </c>
      <c r="D36" s="16">
        <f>IF('Catálogo'!$A36="","",'Catálogo'!$F36)</f>
      </c>
      <c r="E36" s="17">
        <f>IF('Catálogo'!$A36="","",'Catálogo'!$G36)</f>
      </c>
      <c r="F36" s="17">
        <f>IF('Catálogo'!$A36="","",'Catálogo'!$H36)</f>
      </c>
      <c r="G36" s="17">
        <f>IF('Catálogo'!$A36="","",'Catálogo'!$I36)</f>
      </c>
      <c r="H36" s="16">
        <f>IF('Catálogo'!$A36="","",'Catálogo'!$J36)</f>
      </c>
      <c r="I36" s="19">
        <f>IF('Catálogo'!$A36="","",'Catálogo'!$K36)</f>
      </c>
    </row>
    <row r="37">
      <c r="A37" s="19">
        <f>IF('Catálogo'!$A37="","",'Catálogo'!$A37)</f>
      </c>
      <c r="B37" s="19">
        <f>IF('Catálogo'!$A37="","",'Catálogo'!$B37)</f>
      </c>
      <c r="C37" s="19">
        <f>IF('Catálogo'!$A37="","",'Catálogo'!$C37)</f>
      </c>
      <c r="D37" s="16">
        <f>IF('Catálogo'!$A37="","",'Catálogo'!$F37)</f>
      </c>
      <c r="E37" s="17">
        <f>IF('Catálogo'!$A37="","",'Catálogo'!$G37)</f>
      </c>
      <c r="F37" s="17">
        <f>IF('Catálogo'!$A37="","",'Catálogo'!$H37)</f>
      </c>
      <c r="G37" s="17">
        <f>IF('Catálogo'!$A37="","",'Catálogo'!$I37)</f>
      </c>
      <c r="H37" s="16">
        <f>IF('Catálogo'!$A37="","",'Catálogo'!$J37)</f>
      </c>
      <c r="I37" s="19">
        <f>IF('Catálogo'!$A37="","",'Catálogo'!$K37)</f>
      </c>
    </row>
    <row r="38">
      <c r="A38" s="19">
        <f>IF('Catálogo'!$A38="","",'Catálogo'!$A38)</f>
      </c>
      <c r="B38" s="19">
        <f>IF('Catálogo'!$A38="","",'Catálogo'!$B38)</f>
      </c>
      <c r="C38" s="19">
        <f>IF('Catálogo'!$A38="","",'Catálogo'!$C38)</f>
      </c>
      <c r="D38" s="16">
        <f>IF('Catálogo'!$A38="","",'Catálogo'!$F38)</f>
      </c>
      <c r="E38" s="17">
        <f>IF('Catálogo'!$A38="","",'Catálogo'!$G38)</f>
      </c>
      <c r="F38" s="17">
        <f>IF('Catálogo'!$A38="","",'Catálogo'!$H38)</f>
      </c>
      <c r="G38" s="17">
        <f>IF('Catálogo'!$A38="","",'Catálogo'!$I38)</f>
      </c>
      <c r="H38" s="16">
        <f>IF('Catálogo'!$A38="","",'Catálogo'!$J38)</f>
      </c>
      <c r="I38" s="19">
        <f>IF('Catálogo'!$A38="","",'Catálogo'!$K38)</f>
      </c>
    </row>
    <row r="39">
      <c r="A39" s="19">
        <f>IF('Catálogo'!$A39="","",'Catálogo'!$A39)</f>
      </c>
      <c r="B39" s="19">
        <f>IF('Catálogo'!$A39="","",'Catálogo'!$B39)</f>
      </c>
      <c r="C39" s="19">
        <f>IF('Catálogo'!$A39="","",'Catálogo'!$C39)</f>
      </c>
      <c r="D39" s="16">
        <f>IF('Catálogo'!$A39="","",'Catálogo'!$F39)</f>
      </c>
      <c r="E39" s="17">
        <f>IF('Catálogo'!$A39="","",'Catálogo'!$G39)</f>
      </c>
      <c r="F39" s="17">
        <f>IF('Catálogo'!$A39="","",'Catálogo'!$H39)</f>
      </c>
      <c r="G39" s="17">
        <f>IF('Catálogo'!$A39="","",'Catálogo'!$I39)</f>
      </c>
      <c r="H39" s="16">
        <f>IF('Catálogo'!$A39="","",'Catálogo'!$J39)</f>
      </c>
      <c r="I39" s="19">
        <f>IF('Catálogo'!$A39="","",'Catálogo'!$K39)</f>
      </c>
    </row>
    <row r="40">
      <c r="A40" s="19">
        <f>IF('Catálogo'!$A40="","",'Catálogo'!$A40)</f>
      </c>
      <c r="B40" s="19">
        <f>IF('Catálogo'!$A40="","",'Catálogo'!$B40)</f>
      </c>
      <c r="C40" s="19">
        <f>IF('Catálogo'!$A40="","",'Catálogo'!$C40)</f>
      </c>
      <c r="D40" s="16">
        <f>IF('Catálogo'!$A40="","",'Catálogo'!$F40)</f>
      </c>
      <c r="E40" s="17">
        <f>IF('Catálogo'!$A40="","",'Catálogo'!$G40)</f>
      </c>
      <c r="F40" s="17">
        <f>IF('Catálogo'!$A40="","",'Catálogo'!$H40)</f>
      </c>
      <c r="G40" s="17">
        <f>IF('Catálogo'!$A40="","",'Catálogo'!$I40)</f>
      </c>
      <c r="H40" s="16">
        <f>IF('Catálogo'!$A40="","",'Catálogo'!$J40)</f>
      </c>
      <c r="I40" s="19">
        <f>IF('Catálogo'!$A40="","",'Catálogo'!$K40)</f>
      </c>
    </row>
    <row r="41">
      <c r="A41" s="19">
        <f>IF('Catálogo'!$A41="","",'Catálogo'!$A41)</f>
      </c>
      <c r="B41" s="19">
        <f>IF('Catálogo'!$A41="","",'Catálogo'!$B41)</f>
      </c>
      <c r="C41" s="19">
        <f>IF('Catálogo'!$A41="","",'Catálogo'!$C41)</f>
      </c>
      <c r="D41" s="16">
        <f>IF('Catálogo'!$A41="","",'Catálogo'!$F41)</f>
      </c>
      <c r="E41" s="17">
        <f>IF('Catálogo'!$A41="","",'Catálogo'!$G41)</f>
      </c>
      <c r="F41" s="17">
        <f>IF('Catálogo'!$A41="","",'Catálogo'!$H41)</f>
      </c>
      <c r="G41" s="17">
        <f>IF('Catálogo'!$A41="","",'Catálogo'!$I41)</f>
      </c>
      <c r="H41" s="16">
        <f>IF('Catálogo'!$A41="","",'Catálogo'!$J41)</f>
      </c>
      <c r="I41" s="19">
        <f>IF('Catálogo'!$A41="","",'Catálogo'!$K41)</f>
      </c>
    </row>
    <row r="42">
      <c r="A42" s="19">
        <f>IF('Catálogo'!$A42="","",'Catálogo'!$A42)</f>
      </c>
      <c r="B42" s="19">
        <f>IF('Catálogo'!$A42="","",'Catálogo'!$B42)</f>
      </c>
      <c r="C42" s="19">
        <f>IF('Catálogo'!$A42="","",'Catálogo'!$C42)</f>
      </c>
      <c r="D42" s="16">
        <f>IF('Catálogo'!$A42="","",'Catálogo'!$F42)</f>
      </c>
      <c r="E42" s="17">
        <f>IF('Catálogo'!$A42="","",'Catálogo'!$G42)</f>
      </c>
      <c r="F42" s="17">
        <f>IF('Catálogo'!$A42="","",'Catálogo'!$H42)</f>
      </c>
      <c r="G42" s="17">
        <f>IF('Catálogo'!$A42="","",'Catálogo'!$I42)</f>
      </c>
      <c r="H42" s="16">
        <f>IF('Catálogo'!$A42="","",'Catálogo'!$J42)</f>
      </c>
      <c r="I42" s="19">
        <f>IF('Catálogo'!$A42="","",'Catálogo'!$K42)</f>
      </c>
    </row>
    <row r="43">
      <c r="A43" s="19">
        <f>IF('Catálogo'!$A43="","",'Catálogo'!$A43)</f>
      </c>
      <c r="B43" s="19">
        <f>IF('Catálogo'!$A43="","",'Catálogo'!$B43)</f>
      </c>
      <c r="C43" s="19">
        <f>IF('Catálogo'!$A43="","",'Catálogo'!$C43)</f>
      </c>
      <c r="D43" s="16">
        <f>IF('Catálogo'!$A43="","",'Catálogo'!$F43)</f>
      </c>
      <c r="E43" s="17">
        <f>IF('Catálogo'!$A43="","",'Catálogo'!$G43)</f>
      </c>
      <c r="F43" s="17">
        <f>IF('Catálogo'!$A43="","",'Catálogo'!$H43)</f>
      </c>
      <c r="G43" s="17">
        <f>IF('Catálogo'!$A43="","",'Catálogo'!$I43)</f>
      </c>
      <c r="H43" s="16">
        <f>IF('Catálogo'!$A43="","",'Catálogo'!$J43)</f>
      </c>
      <c r="I43" s="19">
        <f>IF('Catálogo'!$A43="","",'Catálogo'!$K43)</f>
      </c>
    </row>
    <row r="44">
      <c r="A44" s="19">
        <f>IF('Catálogo'!$A44="","",'Catálogo'!$A44)</f>
      </c>
      <c r="B44" s="19">
        <f>IF('Catálogo'!$A44="","",'Catálogo'!$B44)</f>
      </c>
      <c r="C44" s="19">
        <f>IF('Catálogo'!$A44="","",'Catálogo'!$C44)</f>
      </c>
      <c r="D44" s="16">
        <f>IF('Catálogo'!$A44="","",'Catálogo'!$F44)</f>
      </c>
      <c r="E44" s="17">
        <f>IF('Catálogo'!$A44="","",'Catálogo'!$G44)</f>
      </c>
      <c r="F44" s="17">
        <f>IF('Catálogo'!$A44="","",'Catálogo'!$H44)</f>
      </c>
      <c r="G44" s="17">
        <f>IF('Catálogo'!$A44="","",'Catálogo'!$I44)</f>
      </c>
      <c r="H44" s="16">
        <f>IF('Catálogo'!$A44="","",'Catálogo'!$J44)</f>
      </c>
      <c r="I44" s="19">
        <f>IF('Catálogo'!$A44="","",'Catálogo'!$K44)</f>
      </c>
    </row>
    <row r="45">
      <c r="A45" s="19">
        <f>IF('Catálogo'!$A45="","",'Catálogo'!$A45)</f>
      </c>
      <c r="B45" s="19">
        <f>IF('Catálogo'!$A45="","",'Catálogo'!$B45)</f>
      </c>
      <c r="C45" s="19">
        <f>IF('Catálogo'!$A45="","",'Catálogo'!$C45)</f>
      </c>
      <c r="D45" s="16">
        <f>IF('Catálogo'!$A45="","",'Catálogo'!$F45)</f>
      </c>
      <c r="E45" s="17">
        <f>IF('Catálogo'!$A45="","",'Catálogo'!$G45)</f>
      </c>
      <c r="F45" s="17">
        <f>IF('Catálogo'!$A45="","",'Catálogo'!$H45)</f>
      </c>
      <c r="G45" s="17">
        <f>IF('Catálogo'!$A45="","",'Catálogo'!$I45)</f>
      </c>
      <c r="H45" s="16">
        <f>IF('Catálogo'!$A45="","",'Catálogo'!$J45)</f>
      </c>
      <c r="I45" s="19">
        <f>IF('Catálogo'!$A45="","",'Catálogo'!$K45)</f>
      </c>
    </row>
    <row r="46">
      <c r="A46" s="19">
        <f>IF('Catálogo'!$A46="","",'Catálogo'!$A46)</f>
      </c>
      <c r="B46" s="19">
        <f>IF('Catálogo'!$A46="","",'Catálogo'!$B46)</f>
      </c>
      <c r="C46" s="19">
        <f>IF('Catálogo'!$A46="","",'Catálogo'!$C46)</f>
      </c>
      <c r="D46" s="16">
        <f>IF('Catálogo'!$A46="","",'Catálogo'!$F46)</f>
      </c>
      <c r="E46" s="17">
        <f>IF('Catálogo'!$A46="","",'Catálogo'!$G46)</f>
      </c>
      <c r="F46" s="17">
        <f>IF('Catálogo'!$A46="","",'Catálogo'!$H46)</f>
      </c>
      <c r="G46" s="17">
        <f>IF('Catálogo'!$A46="","",'Catálogo'!$I46)</f>
      </c>
      <c r="H46" s="16">
        <f>IF('Catálogo'!$A46="","",'Catálogo'!$J46)</f>
      </c>
      <c r="I46" s="19">
        <f>IF('Catálogo'!$A46="","",'Catálogo'!$K46)</f>
      </c>
    </row>
    <row r="47">
      <c r="A47" s="19">
        <f>IF('Catálogo'!$A47="","",'Catálogo'!$A47)</f>
      </c>
      <c r="B47" s="19">
        <f>IF('Catálogo'!$A47="","",'Catálogo'!$B47)</f>
      </c>
      <c r="C47" s="19">
        <f>IF('Catálogo'!$A47="","",'Catálogo'!$C47)</f>
      </c>
      <c r="D47" s="16">
        <f>IF('Catálogo'!$A47="","",'Catálogo'!$F47)</f>
      </c>
      <c r="E47" s="17">
        <f>IF('Catálogo'!$A47="","",'Catálogo'!$G47)</f>
      </c>
      <c r="F47" s="17">
        <f>IF('Catálogo'!$A47="","",'Catálogo'!$H47)</f>
      </c>
      <c r="G47" s="17">
        <f>IF('Catálogo'!$A47="","",'Catálogo'!$I47)</f>
      </c>
      <c r="H47" s="16">
        <f>IF('Catálogo'!$A47="","",'Catálogo'!$J47)</f>
      </c>
      <c r="I47" s="19">
        <f>IF('Catálogo'!$A47="","",'Catálogo'!$K47)</f>
      </c>
    </row>
    <row r="48">
      <c r="A48" s="19">
        <f>IF('Catálogo'!$A48="","",'Catálogo'!$A48)</f>
      </c>
      <c r="B48" s="19">
        <f>IF('Catálogo'!$A48="","",'Catálogo'!$B48)</f>
      </c>
      <c r="C48" s="19">
        <f>IF('Catálogo'!$A48="","",'Catálogo'!$C48)</f>
      </c>
      <c r="D48" s="16">
        <f>IF('Catálogo'!$A48="","",'Catálogo'!$F48)</f>
      </c>
      <c r="E48" s="17">
        <f>IF('Catálogo'!$A48="","",'Catálogo'!$G48)</f>
      </c>
      <c r="F48" s="17">
        <f>IF('Catálogo'!$A48="","",'Catálogo'!$H48)</f>
      </c>
      <c r="G48" s="17">
        <f>IF('Catálogo'!$A48="","",'Catálogo'!$I48)</f>
      </c>
      <c r="H48" s="16">
        <f>IF('Catálogo'!$A48="","",'Catálogo'!$J48)</f>
      </c>
      <c r="I48" s="19">
        <f>IF('Catálogo'!$A48="","",'Catálogo'!$K48)</f>
      </c>
    </row>
    <row r="49">
      <c r="A49" s="19">
        <f>IF('Catálogo'!$A49="","",'Catálogo'!$A49)</f>
      </c>
      <c r="B49" s="19">
        <f>IF('Catálogo'!$A49="","",'Catálogo'!$B49)</f>
      </c>
      <c r="C49" s="19">
        <f>IF('Catálogo'!$A49="","",'Catálogo'!$C49)</f>
      </c>
      <c r="D49" s="16">
        <f>IF('Catálogo'!$A49="","",'Catálogo'!$F49)</f>
      </c>
      <c r="E49" s="17">
        <f>IF('Catálogo'!$A49="","",'Catálogo'!$G49)</f>
      </c>
      <c r="F49" s="17">
        <f>IF('Catálogo'!$A49="","",'Catálogo'!$H49)</f>
      </c>
      <c r="G49" s="17">
        <f>IF('Catálogo'!$A49="","",'Catálogo'!$I49)</f>
      </c>
      <c r="H49" s="16">
        <f>IF('Catálogo'!$A49="","",'Catálogo'!$J49)</f>
      </c>
      <c r="I49" s="19">
        <f>IF('Catálogo'!$A49="","",'Catálogo'!$K49)</f>
      </c>
    </row>
    <row r="50">
      <c r="A50" s="19">
        <f>IF('Catálogo'!$A50="","",'Catálogo'!$A50)</f>
      </c>
      <c r="B50" s="19">
        <f>IF('Catálogo'!$A50="","",'Catálogo'!$B50)</f>
      </c>
      <c r="C50" s="19">
        <f>IF('Catálogo'!$A50="","",'Catálogo'!$C50)</f>
      </c>
      <c r="D50" s="16">
        <f>IF('Catálogo'!$A50="","",'Catálogo'!$F50)</f>
      </c>
      <c r="E50" s="17">
        <f>IF('Catálogo'!$A50="","",'Catálogo'!$G50)</f>
      </c>
      <c r="F50" s="17">
        <f>IF('Catálogo'!$A50="","",'Catálogo'!$H50)</f>
      </c>
      <c r="G50" s="17">
        <f>IF('Catálogo'!$A50="","",'Catálogo'!$I50)</f>
      </c>
      <c r="H50" s="16">
        <f>IF('Catálogo'!$A50="","",'Catálogo'!$J50)</f>
      </c>
      <c r="I50" s="19">
        <f>IF('Catálogo'!$A50="","",'Catálogo'!$K50)</f>
      </c>
    </row>
    <row r="51">
      <c r="A51" s="19">
        <f>IF('Catálogo'!$A51="","",'Catálogo'!$A51)</f>
      </c>
      <c r="B51" s="19">
        <f>IF('Catálogo'!$A51="","",'Catálogo'!$B51)</f>
      </c>
      <c r="C51" s="19">
        <f>IF('Catálogo'!$A51="","",'Catálogo'!$C51)</f>
      </c>
      <c r="D51" s="16">
        <f>IF('Catálogo'!$A51="","",'Catálogo'!$F51)</f>
      </c>
      <c r="E51" s="17">
        <f>IF('Catálogo'!$A51="","",'Catálogo'!$G51)</f>
      </c>
      <c r="F51" s="17">
        <f>IF('Catálogo'!$A51="","",'Catálogo'!$H51)</f>
      </c>
      <c r="G51" s="17">
        <f>IF('Catálogo'!$A51="","",'Catálogo'!$I51)</f>
      </c>
      <c r="H51" s="16">
        <f>IF('Catálogo'!$A51="","",'Catálogo'!$J51)</f>
      </c>
      <c r="I51" s="19">
        <f>IF('Catálogo'!$A51="","",'Catálogo'!$K51)</f>
      </c>
    </row>
    <row r="52">
      <c r="A52" s="19">
        <f>IF('Catálogo'!$A52="","",'Catálogo'!$A52)</f>
      </c>
      <c r="B52" s="19">
        <f>IF('Catálogo'!$A52="","",'Catálogo'!$B52)</f>
      </c>
      <c r="C52" s="19">
        <f>IF('Catálogo'!$A52="","",'Catálogo'!$C52)</f>
      </c>
      <c r="D52" s="16">
        <f>IF('Catálogo'!$A52="","",'Catálogo'!$F52)</f>
      </c>
      <c r="E52" s="17">
        <f>IF('Catálogo'!$A52="","",'Catálogo'!$G52)</f>
      </c>
      <c r="F52" s="17">
        <f>IF('Catálogo'!$A52="","",'Catálogo'!$H52)</f>
      </c>
      <c r="G52" s="17">
        <f>IF('Catálogo'!$A52="","",'Catálogo'!$I52)</f>
      </c>
      <c r="H52" s="16">
        <f>IF('Catálogo'!$A52="","",'Catálogo'!$J52)</f>
      </c>
      <c r="I52" s="19">
        <f>IF('Catálogo'!$A52="","",'Catálogo'!$K52)</f>
      </c>
    </row>
    <row r="53">
      <c r="A53" s="19">
        <f>IF('Catálogo'!$A53="","",'Catálogo'!$A53)</f>
      </c>
      <c r="B53" s="19">
        <f>IF('Catálogo'!$A53="","",'Catálogo'!$B53)</f>
      </c>
      <c r="C53" s="19">
        <f>IF('Catálogo'!$A53="","",'Catálogo'!$C53)</f>
      </c>
      <c r="D53" s="16">
        <f>IF('Catálogo'!$A53="","",'Catálogo'!$F53)</f>
      </c>
      <c r="E53" s="17">
        <f>IF('Catálogo'!$A53="","",'Catálogo'!$G53)</f>
      </c>
      <c r="F53" s="17">
        <f>IF('Catálogo'!$A53="","",'Catálogo'!$H53)</f>
      </c>
      <c r="G53" s="17">
        <f>IF('Catálogo'!$A53="","",'Catálogo'!$I53)</f>
      </c>
      <c r="H53" s="16">
        <f>IF('Catálogo'!$A53="","",'Catálogo'!$J53)</f>
      </c>
      <c r="I53" s="19">
        <f>IF('Catálogo'!$A53="","",'Catálogo'!$K53)</f>
      </c>
    </row>
    <row r="54">
      <c r="A54" s="19">
        <f>IF('Catálogo'!$A54="","",'Catálogo'!$A54)</f>
      </c>
      <c r="B54" s="19">
        <f>IF('Catálogo'!$A54="","",'Catálogo'!$B54)</f>
      </c>
      <c r="C54" s="19">
        <f>IF('Catálogo'!$A54="","",'Catálogo'!$C54)</f>
      </c>
      <c r="D54" s="16">
        <f>IF('Catálogo'!$A54="","",'Catálogo'!$F54)</f>
      </c>
      <c r="E54" s="17">
        <f>IF('Catálogo'!$A54="","",'Catálogo'!$G54)</f>
      </c>
      <c r="F54" s="17">
        <f>IF('Catálogo'!$A54="","",'Catálogo'!$H54)</f>
      </c>
      <c r="G54" s="17">
        <f>IF('Catálogo'!$A54="","",'Catálogo'!$I54)</f>
      </c>
      <c r="H54" s="16">
        <f>IF('Catálogo'!$A54="","",'Catálogo'!$J54)</f>
      </c>
      <c r="I54" s="19">
        <f>IF('Catálogo'!$A54="","",'Catálogo'!$K54)</f>
      </c>
    </row>
    <row r="55">
      <c r="A55" s="19">
        <f>IF('Catálogo'!$A55="","",'Catálogo'!$A55)</f>
      </c>
      <c r="B55" s="19">
        <f>IF('Catálogo'!$A55="","",'Catálogo'!$B55)</f>
      </c>
      <c r="C55" s="19">
        <f>IF('Catálogo'!$A55="","",'Catálogo'!$C55)</f>
      </c>
      <c r="D55" s="16">
        <f>IF('Catálogo'!$A55="","",'Catálogo'!$F55)</f>
      </c>
      <c r="E55" s="17">
        <f>IF('Catálogo'!$A55="","",'Catálogo'!$G55)</f>
      </c>
      <c r="F55" s="17">
        <f>IF('Catálogo'!$A55="","",'Catálogo'!$H55)</f>
      </c>
      <c r="G55" s="17">
        <f>IF('Catálogo'!$A55="","",'Catálogo'!$I55)</f>
      </c>
      <c r="H55" s="16">
        <f>IF('Catálogo'!$A55="","",'Catálogo'!$J55)</f>
      </c>
      <c r="I55" s="19">
        <f>IF('Catálogo'!$A55="","",'Catálogo'!$K55)</f>
      </c>
    </row>
    <row r="56">
      <c r="A56" s="19">
        <f>IF('Catálogo'!$A56="","",'Catálogo'!$A56)</f>
      </c>
      <c r="B56" s="19">
        <f>IF('Catálogo'!$A56="","",'Catálogo'!$B56)</f>
      </c>
      <c r="C56" s="19">
        <f>IF('Catálogo'!$A56="","",'Catálogo'!$C56)</f>
      </c>
      <c r="D56" s="16">
        <f>IF('Catálogo'!$A56="","",'Catálogo'!$F56)</f>
      </c>
      <c r="E56" s="17">
        <f>IF('Catálogo'!$A56="","",'Catálogo'!$G56)</f>
      </c>
      <c r="F56" s="17">
        <f>IF('Catálogo'!$A56="","",'Catálogo'!$H56)</f>
      </c>
      <c r="G56" s="17">
        <f>IF('Catálogo'!$A56="","",'Catálogo'!$I56)</f>
      </c>
      <c r="H56" s="16">
        <f>IF('Catálogo'!$A56="","",'Catálogo'!$J56)</f>
      </c>
      <c r="I56" s="19">
        <f>IF('Catálogo'!$A56="","",'Catálogo'!$K56)</f>
      </c>
    </row>
    <row r="57">
      <c r="A57" s="19">
        <f>IF('Catálogo'!$A57="","",'Catálogo'!$A57)</f>
      </c>
      <c r="B57" s="19">
        <f>IF('Catálogo'!$A57="","",'Catálogo'!$B57)</f>
      </c>
      <c r="C57" s="19">
        <f>IF('Catálogo'!$A57="","",'Catálogo'!$C57)</f>
      </c>
      <c r="D57" s="16">
        <f>IF('Catálogo'!$A57="","",'Catálogo'!$F57)</f>
      </c>
      <c r="E57" s="17">
        <f>IF('Catálogo'!$A57="","",'Catálogo'!$G57)</f>
      </c>
      <c r="F57" s="17">
        <f>IF('Catálogo'!$A57="","",'Catálogo'!$H57)</f>
      </c>
      <c r="G57" s="17">
        <f>IF('Catálogo'!$A57="","",'Catálogo'!$I57)</f>
      </c>
      <c r="H57" s="16">
        <f>IF('Catálogo'!$A57="","",'Catálogo'!$J57)</f>
      </c>
      <c r="I57" s="19">
        <f>IF('Catálogo'!$A57="","",'Catálogo'!$K57)</f>
      </c>
    </row>
    <row r="58">
      <c r="A58" s="19">
        <f>IF('Catálogo'!$A58="","",'Catálogo'!$A58)</f>
      </c>
      <c r="B58" s="19">
        <f>IF('Catálogo'!$A58="","",'Catálogo'!$B58)</f>
      </c>
      <c r="C58" s="19">
        <f>IF('Catálogo'!$A58="","",'Catálogo'!$C58)</f>
      </c>
      <c r="D58" s="16">
        <f>IF('Catálogo'!$A58="","",'Catálogo'!$F58)</f>
      </c>
      <c r="E58" s="17">
        <f>IF('Catálogo'!$A58="","",'Catálogo'!$G58)</f>
      </c>
      <c r="F58" s="17">
        <f>IF('Catálogo'!$A58="","",'Catálogo'!$H58)</f>
      </c>
      <c r="G58" s="17">
        <f>IF('Catálogo'!$A58="","",'Catálogo'!$I58)</f>
      </c>
      <c r="H58" s="16">
        <f>IF('Catálogo'!$A58="","",'Catálogo'!$J58)</f>
      </c>
      <c r="I58" s="19">
        <f>IF('Catálogo'!$A58="","",'Catálogo'!$K58)</f>
      </c>
    </row>
    <row r="59">
      <c r="A59" s="19">
        <f>IF('Catálogo'!$A59="","",'Catálogo'!$A59)</f>
      </c>
      <c r="B59" s="19">
        <f>IF('Catálogo'!$A59="","",'Catálogo'!$B59)</f>
      </c>
      <c r="C59" s="19">
        <f>IF('Catálogo'!$A59="","",'Catálogo'!$C59)</f>
      </c>
      <c r="D59" s="16">
        <f>IF('Catálogo'!$A59="","",'Catálogo'!$F59)</f>
      </c>
      <c r="E59" s="17">
        <f>IF('Catálogo'!$A59="","",'Catálogo'!$G59)</f>
      </c>
      <c r="F59" s="17">
        <f>IF('Catálogo'!$A59="","",'Catálogo'!$H59)</f>
      </c>
      <c r="G59" s="17">
        <f>IF('Catálogo'!$A59="","",'Catálogo'!$I59)</f>
      </c>
      <c r="H59" s="16">
        <f>IF('Catálogo'!$A59="","",'Catálogo'!$J59)</f>
      </c>
      <c r="I59" s="19">
        <f>IF('Catálogo'!$A59="","",'Catálogo'!$K59)</f>
      </c>
    </row>
    <row r="60">
      <c r="A60" s="19">
        <f>IF('Catálogo'!$A60="","",'Catálogo'!$A60)</f>
      </c>
      <c r="B60" s="19">
        <f>IF('Catálogo'!$A60="","",'Catálogo'!$B60)</f>
      </c>
      <c r="C60" s="19">
        <f>IF('Catálogo'!$A60="","",'Catálogo'!$C60)</f>
      </c>
      <c r="D60" s="16">
        <f>IF('Catálogo'!$A60="","",'Catálogo'!$F60)</f>
      </c>
      <c r="E60" s="17">
        <f>IF('Catálogo'!$A60="","",'Catálogo'!$G60)</f>
      </c>
      <c r="F60" s="17">
        <f>IF('Catálogo'!$A60="","",'Catálogo'!$H60)</f>
      </c>
      <c r="G60" s="17">
        <f>IF('Catálogo'!$A60="","",'Catálogo'!$I60)</f>
      </c>
      <c r="H60" s="16">
        <f>IF('Catálogo'!$A60="","",'Catálogo'!$J60)</f>
      </c>
      <c r="I60" s="19">
        <f>IF('Catálogo'!$A60="","",'Catálogo'!$K60)</f>
      </c>
    </row>
    <row r="61">
      <c r="A61" s="19">
        <f>IF('Catálogo'!$A61="","",'Catálogo'!$A61)</f>
      </c>
      <c r="B61" s="19">
        <f>IF('Catálogo'!$A61="","",'Catálogo'!$B61)</f>
      </c>
      <c r="C61" s="19">
        <f>IF('Catálogo'!$A61="","",'Catálogo'!$C61)</f>
      </c>
      <c r="D61" s="16">
        <f>IF('Catálogo'!$A61="","",'Catálogo'!$F61)</f>
      </c>
      <c r="E61" s="17">
        <f>IF('Catálogo'!$A61="","",'Catálogo'!$G61)</f>
      </c>
      <c r="F61" s="17">
        <f>IF('Catálogo'!$A61="","",'Catálogo'!$H61)</f>
      </c>
      <c r="G61" s="17">
        <f>IF('Catálogo'!$A61="","",'Catálogo'!$I61)</f>
      </c>
      <c r="H61" s="16">
        <f>IF('Catálogo'!$A61="","",'Catálogo'!$J61)</f>
      </c>
      <c r="I61" s="19">
        <f>IF('Catálogo'!$A61="","",'Catálogo'!$K61)</f>
      </c>
    </row>
    <row r="62">
      <c r="A62" s="19">
        <f>IF('Catálogo'!$A62="","",'Catálogo'!$A62)</f>
      </c>
      <c r="B62" s="19">
        <f>IF('Catálogo'!$A62="","",'Catálogo'!$B62)</f>
      </c>
      <c r="C62" s="19">
        <f>IF('Catálogo'!$A62="","",'Catálogo'!$C62)</f>
      </c>
      <c r="D62" s="16">
        <f>IF('Catálogo'!$A62="","",'Catálogo'!$F62)</f>
      </c>
      <c r="E62" s="17">
        <f>IF('Catálogo'!$A62="","",'Catálogo'!$G62)</f>
      </c>
      <c r="F62" s="17">
        <f>IF('Catálogo'!$A62="","",'Catálogo'!$H62)</f>
      </c>
      <c r="G62" s="17">
        <f>IF('Catálogo'!$A62="","",'Catálogo'!$I62)</f>
      </c>
      <c r="H62" s="16">
        <f>IF('Catálogo'!$A62="","",'Catálogo'!$J62)</f>
      </c>
      <c r="I62" s="19">
        <f>IF('Catálogo'!$A62="","",'Catálogo'!$K62)</f>
      </c>
    </row>
    <row r="63">
      <c r="A63" s="19">
        <f>IF('Catálogo'!$A63="","",'Catálogo'!$A63)</f>
      </c>
      <c r="B63" s="19">
        <f>IF('Catálogo'!$A63="","",'Catálogo'!$B63)</f>
      </c>
      <c r="C63" s="19">
        <f>IF('Catálogo'!$A63="","",'Catálogo'!$C63)</f>
      </c>
      <c r="D63" s="16">
        <f>IF('Catálogo'!$A63="","",'Catálogo'!$F63)</f>
      </c>
      <c r="E63" s="17">
        <f>IF('Catálogo'!$A63="","",'Catálogo'!$G63)</f>
      </c>
      <c r="F63" s="17">
        <f>IF('Catálogo'!$A63="","",'Catálogo'!$H63)</f>
      </c>
      <c r="G63" s="17">
        <f>IF('Catálogo'!$A63="","",'Catálogo'!$I63)</f>
      </c>
      <c r="H63" s="16">
        <f>IF('Catálogo'!$A63="","",'Catálogo'!$J63)</f>
      </c>
      <c r="I63" s="19">
        <f>IF('Catálogo'!$A63="","",'Catálogo'!$K63)</f>
      </c>
    </row>
    <row r="64">
      <c r="A64" s="19">
        <f>IF('Catálogo'!$A64="","",'Catálogo'!$A64)</f>
      </c>
      <c r="B64" s="19">
        <f>IF('Catálogo'!$A64="","",'Catálogo'!$B64)</f>
      </c>
      <c r="C64" s="19">
        <f>IF('Catálogo'!$A64="","",'Catálogo'!$C64)</f>
      </c>
      <c r="D64" s="16">
        <f>IF('Catálogo'!$A64="","",'Catálogo'!$F64)</f>
      </c>
      <c r="E64" s="17">
        <f>IF('Catálogo'!$A64="","",'Catálogo'!$G64)</f>
      </c>
      <c r="F64" s="17">
        <f>IF('Catálogo'!$A64="","",'Catálogo'!$H64)</f>
      </c>
      <c r="G64" s="17">
        <f>IF('Catálogo'!$A64="","",'Catálogo'!$I64)</f>
      </c>
      <c r="H64" s="16">
        <f>IF('Catálogo'!$A64="","",'Catálogo'!$J64)</f>
      </c>
      <c r="I64" s="19">
        <f>IF('Catálogo'!$A64="","",'Catálogo'!$K64)</f>
      </c>
    </row>
    <row r="65">
      <c r="A65" s="19">
        <f>IF('Catálogo'!$A65="","",'Catálogo'!$A65)</f>
      </c>
      <c r="B65" s="19">
        <f>IF('Catálogo'!$A65="","",'Catálogo'!$B65)</f>
      </c>
      <c r="C65" s="19">
        <f>IF('Catálogo'!$A65="","",'Catálogo'!$C65)</f>
      </c>
      <c r="D65" s="16">
        <f>IF('Catálogo'!$A65="","",'Catálogo'!$F65)</f>
      </c>
      <c r="E65" s="17">
        <f>IF('Catálogo'!$A65="","",'Catálogo'!$G65)</f>
      </c>
      <c r="F65" s="17">
        <f>IF('Catálogo'!$A65="","",'Catálogo'!$H65)</f>
      </c>
      <c r="G65" s="17">
        <f>IF('Catálogo'!$A65="","",'Catálogo'!$I65)</f>
      </c>
      <c r="H65" s="16">
        <f>IF('Catálogo'!$A65="","",'Catálogo'!$J65)</f>
      </c>
      <c r="I65" s="19">
        <f>IF('Catálogo'!$A65="","",'Catálogo'!$K65)</f>
      </c>
    </row>
    <row r="66">
      <c r="A66" s="19">
        <f>IF('Catálogo'!$A66="","",'Catálogo'!$A66)</f>
      </c>
      <c r="B66" s="19">
        <f>IF('Catálogo'!$A66="","",'Catálogo'!$B66)</f>
      </c>
      <c r="C66" s="19">
        <f>IF('Catálogo'!$A66="","",'Catálogo'!$C66)</f>
      </c>
      <c r="D66" s="16">
        <f>IF('Catálogo'!$A66="","",'Catálogo'!$F66)</f>
      </c>
      <c r="E66" s="17">
        <f>IF('Catálogo'!$A66="","",'Catálogo'!$G66)</f>
      </c>
      <c r="F66" s="17">
        <f>IF('Catálogo'!$A66="","",'Catálogo'!$H66)</f>
      </c>
      <c r="G66" s="17">
        <f>IF('Catálogo'!$A66="","",'Catálogo'!$I66)</f>
      </c>
      <c r="H66" s="16">
        <f>IF('Catálogo'!$A66="","",'Catálogo'!$J66)</f>
      </c>
      <c r="I66" s="19">
        <f>IF('Catálogo'!$A66="","",'Catálogo'!$K66)</f>
      </c>
    </row>
    <row r="67">
      <c r="A67" s="19">
        <f>IF('Catálogo'!$A67="","",'Catálogo'!$A67)</f>
      </c>
      <c r="B67" s="19">
        <f>IF('Catálogo'!$A67="","",'Catálogo'!$B67)</f>
      </c>
      <c r="C67" s="19">
        <f>IF('Catálogo'!$A67="","",'Catálogo'!$C67)</f>
      </c>
      <c r="D67" s="16">
        <f>IF('Catálogo'!$A67="","",'Catálogo'!$F67)</f>
      </c>
      <c r="E67" s="17">
        <f>IF('Catálogo'!$A67="","",'Catálogo'!$G67)</f>
      </c>
      <c r="F67" s="17">
        <f>IF('Catálogo'!$A67="","",'Catálogo'!$H67)</f>
      </c>
      <c r="G67" s="17">
        <f>IF('Catálogo'!$A67="","",'Catálogo'!$I67)</f>
      </c>
      <c r="H67" s="16">
        <f>IF('Catálogo'!$A67="","",'Catálogo'!$J67)</f>
      </c>
      <c r="I67" s="19">
        <f>IF('Catálogo'!$A67="","",'Catálogo'!$K67)</f>
      </c>
    </row>
    <row r="68">
      <c r="A68" s="19">
        <f>IF('Catálogo'!$A68="","",'Catálogo'!$A68)</f>
      </c>
      <c r="B68" s="19">
        <f>IF('Catálogo'!$A68="","",'Catálogo'!$B68)</f>
      </c>
      <c r="C68" s="19">
        <f>IF('Catálogo'!$A68="","",'Catálogo'!$C68)</f>
      </c>
      <c r="D68" s="16">
        <f>IF('Catálogo'!$A68="","",'Catálogo'!$F68)</f>
      </c>
      <c r="E68" s="17">
        <f>IF('Catálogo'!$A68="","",'Catálogo'!$G68)</f>
      </c>
      <c r="F68" s="17">
        <f>IF('Catálogo'!$A68="","",'Catálogo'!$H68)</f>
      </c>
      <c r="G68" s="17">
        <f>IF('Catálogo'!$A68="","",'Catálogo'!$I68)</f>
      </c>
      <c r="H68" s="16">
        <f>IF('Catálogo'!$A68="","",'Catálogo'!$J68)</f>
      </c>
      <c r="I68" s="19">
        <f>IF('Catálogo'!$A68="","",'Catálogo'!$K68)</f>
      </c>
    </row>
    <row r="69">
      <c r="A69" s="19">
        <f>IF('Catálogo'!$A69="","",'Catálogo'!$A69)</f>
      </c>
      <c r="B69" s="19">
        <f>IF('Catálogo'!$A69="","",'Catálogo'!$B69)</f>
      </c>
      <c r="C69" s="19">
        <f>IF('Catálogo'!$A69="","",'Catálogo'!$C69)</f>
      </c>
      <c r="D69" s="16">
        <f>IF('Catálogo'!$A69="","",'Catálogo'!$F69)</f>
      </c>
      <c r="E69" s="17">
        <f>IF('Catálogo'!$A69="","",'Catálogo'!$G69)</f>
      </c>
      <c r="F69" s="17">
        <f>IF('Catálogo'!$A69="","",'Catálogo'!$H69)</f>
      </c>
      <c r="G69" s="17">
        <f>IF('Catálogo'!$A69="","",'Catálogo'!$I69)</f>
      </c>
      <c r="H69" s="16">
        <f>IF('Catálogo'!$A69="","",'Catálogo'!$J69)</f>
      </c>
      <c r="I69" s="19">
        <f>IF('Catálogo'!$A69="","",'Catálogo'!$K69)</f>
      </c>
    </row>
    <row r="70">
      <c r="A70" s="19">
        <f>IF('Catálogo'!$A70="","",'Catálogo'!$A70)</f>
      </c>
      <c r="B70" s="19">
        <f>IF('Catálogo'!$A70="","",'Catálogo'!$B70)</f>
      </c>
      <c r="C70" s="19">
        <f>IF('Catálogo'!$A70="","",'Catálogo'!$C70)</f>
      </c>
      <c r="D70" s="16">
        <f>IF('Catálogo'!$A70="","",'Catálogo'!$F70)</f>
      </c>
      <c r="E70" s="17">
        <f>IF('Catálogo'!$A70="","",'Catálogo'!$G70)</f>
      </c>
      <c r="F70" s="17">
        <f>IF('Catálogo'!$A70="","",'Catálogo'!$H70)</f>
      </c>
      <c r="G70" s="17">
        <f>IF('Catálogo'!$A70="","",'Catálogo'!$I70)</f>
      </c>
      <c r="H70" s="16">
        <f>IF('Catálogo'!$A70="","",'Catálogo'!$J70)</f>
      </c>
      <c r="I70" s="19">
        <f>IF('Catálogo'!$A70="","",'Catálogo'!$K70)</f>
      </c>
    </row>
    <row r="71">
      <c r="A71" s="19">
        <f>IF('Catálogo'!$A71="","",'Catálogo'!$A71)</f>
      </c>
      <c r="B71" s="19">
        <f>IF('Catálogo'!$A71="","",'Catálogo'!$B71)</f>
      </c>
      <c r="C71" s="19">
        <f>IF('Catálogo'!$A71="","",'Catálogo'!$C71)</f>
      </c>
      <c r="D71" s="16">
        <f>IF('Catálogo'!$A71="","",'Catálogo'!$F71)</f>
      </c>
      <c r="E71" s="17">
        <f>IF('Catálogo'!$A71="","",'Catálogo'!$G71)</f>
      </c>
      <c r="F71" s="17">
        <f>IF('Catálogo'!$A71="","",'Catálogo'!$H71)</f>
      </c>
      <c r="G71" s="17">
        <f>IF('Catálogo'!$A71="","",'Catálogo'!$I71)</f>
      </c>
      <c r="H71" s="16">
        <f>IF('Catálogo'!$A71="","",'Catálogo'!$J71)</f>
      </c>
      <c r="I71" s="19">
        <f>IF('Catálogo'!$A71="","",'Catálogo'!$K71)</f>
      </c>
    </row>
    <row r="72">
      <c r="A72" s="19">
        <f>IF('Catálogo'!$A72="","",'Catálogo'!$A72)</f>
      </c>
      <c r="B72" s="19">
        <f>IF('Catálogo'!$A72="","",'Catálogo'!$B72)</f>
      </c>
      <c r="C72" s="19">
        <f>IF('Catálogo'!$A72="","",'Catálogo'!$C72)</f>
      </c>
      <c r="D72" s="16">
        <f>IF('Catálogo'!$A72="","",'Catálogo'!$F72)</f>
      </c>
      <c r="E72" s="17">
        <f>IF('Catálogo'!$A72="","",'Catálogo'!$G72)</f>
      </c>
      <c r="F72" s="17">
        <f>IF('Catálogo'!$A72="","",'Catálogo'!$H72)</f>
      </c>
      <c r="G72" s="17">
        <f>IF('Catálogo'!$A72="","",'Catálogo'!$I72)</f>
      </c>
      <c r="H72" s="16">
        <f>IF('Catálogo'!$A72="","",'Catálogo'!$J72)</f>
      </c>
      <c r="I72" s="19">
        <f>IF('Catálogo'!$A72="","",'Catálogo'!$K72)</f>
      </c>
    </row>
    <row r="73">
      <c r="A73" s="19">
        <f>IF('Catálogo'!$A73="","",'Catálogo'!$A73)</f>
      </c>
      <c r="B73" s="19">
        <f>IF('Catálogo'!$A73="","",'Catálogo'!$B73)</f>
      </c>
      <c r="C73" s="19">
        <f>IF('Catálogo'!$A73="","",'Catálogo'!$C73)</f>
      </c>
      <c r="D73" s="16">
        <f>IF('Catálogo'!$A73="","",'Catálogo'!$F73)</f>
      </c>
      <c r="E73" s="17">
        <f>IF('Catálogo'!$A73="","",'Catálogo'!$G73)</f>
      </c>
      <c r="F73" s="17">
        <f>IF('Catálogo'!$A73="","",'Catálogo'!$H73)</f>
      </c>
      <c r="G73" s="17">
        <f>IF('Catálogo'!$A73="","",'Catálogo'!$I73)</f>
      </c>
      <c r="H73" s="16">
        <f>IF('Catálogo'!$A73="","",'Catálogo'!$J73)</f>
      </c>
      <c r="I73" s="19">
        <f>IF('Catálogo'!$A73="","",'Catálogo'!$K73)</f>
      </c>
    </row>
    <row r="74">
      <c r="A74" s="19">
        <f>IF('Catálogo'!$A74="","",'Catálogo'!$A74)</f>
      </c>
      <c r="B74" s="19">
        <f>IF('Catálogo'!$A74="","",'Catálogo'!$B74)</f>
      </c>
      <c r="C74" s="19">
        <f>IF('Catálogo'!$A74="","",'Catálogo'!$C74)</f>
      </c>
      <c r="D74" s="16">
        <f>IF('Catálogo'!$A74="","",'Catálogo'!$F74)</f>
      </c>
      <c r="E74" s="17">
        <f>IF('Catálogo'!$A74="","",'Catálogo'!$G74)</f>
      </c>
      <c r="F74" s="17">
        <f>IF('Catálogo'!$A74="","",'Catálogo'!$H74)</f>
      </c>
      <c r="G74" s="17">
        <f>IF('Catálogo'!$A74="","",'Catálogo'!$I74)</f>
      </c>
      <c r="H74" s="16">
        <f>IF('Catálogo'!$A74="","",'Catálogo'!$J74)</f>
      </c>
      <c r="I74" s="19">
        <f>IF('Catálogo'!$A74="","",'Catálogo'!$K74)</f>
      </c>
    </row>
    <row r="75">
      <c r="A75" s="19">
        <f>IF('Catálogo'!$A75="","",'Catálogo'!$A75)</f>
      </c>
      <c r="B75" s="19">
        <f>IF('Catálogo'!$A75="","",'Catálogo'!$B75)</f>
      </c>
      <c r="C75" s="19">
        <f>IF('Catálogo'!$A75="","",'Catálogo'!$C75)</f>
      </c>
      <c r="D75" s="16">
        <f>IF('Catálogo'!$A75="","",'Catálogo'!$F75)</f>
      </c>
      <c r="E75" s="17">
        <f>IF('Catálogo'!$A75="","",'Catálogo'!$G75)</f>
      </c>
      <c r="F75" s="17">
        <f>IF('Catálogo'!$A75="","",'Catálogo'!$H75)</f>
      </c>
      <c r="G75" s="17">
        <f>IF('Catálogo'!$A75="","",'Catálogo'!$I75)</f>
      </c>
      <c r="H75" s="16">
        <f>IF('Catálogo'!$A75="","",'Catálogo'!$J75)</f>
      </c>
      <c r="I75" s="19">
        <f>IF('Catálogo'!$A75="","",'Catálogo'!$K75)</f>
      </c>
    </row>
    <row r="76">
      <c r="A76" s="19">
        <f>IF('Catálogo'!$A76="","",'Catálogo'!$A76)</f>
      </c>
      <c r="B76" s="19">
        <f>IF('Catálogo'!$A76="","",'Catálogo'!$B76)</f>
      </c>
      <c r="C76" s="19">
        <f>IF('Catálogo'!$A76="","",'Catálogo'!$C76)</f>
      </c>
      <c r="D76" s="16">
        <f>IF('Catálogo'!$A76="","",'Catálogo'!$F76)</f>
      </c>
      <c r="E76" s="17">
        <f>IF('Catálogo'!$A76="","",'Catálogo'!$G76)</f>
      </c>
      <c r="F76" s="17">
        <f>IF('Catálogo'!$A76="","",'Catálogo'!$H76)</f>
      </c>
      <c r="G76" s="17">
        <f>IF('Catálogo'!$A76="","",'Catálogo'!$I76)</f>
      </c>
      <c r="H76" s="16">
        <f>IF('Catálogo'!$A76="","",'Catálogo'!$J76)</f>
      </c>
      <c r="I76" s="19">
        <f>IF('Catálogo'!$A76="","",'Catálogo'!$K76)</f>
      </c>
    </row>
    <row r="77">
      <c r="A77" s="19">
        <f>IF('Catálogo'!$A77="","",'Catálogo'!$A77)</f>
      </c>
      <c r="B77" s="19">
        <f>IF('Catálogo'!$A77="","",'Catálogo'!$B77)</f>
      </c>
      <c r="C77" s="19">
        <f>IF('Catálogo'!$A77="","",'Catálogo'!$C77)</f>
      </c>
      <c r="D77" s="16">
        <f>IF('Catálogo'!$A77="","",'Catálogo'!$F77)</f>
      </c>
      <c r="E77" s="17">
        <f>IF('Catálogo'!$A77="","",'Catálogo'!$G77)</f>
      </c>
      <c r="F77" s="17">
        <f>IF('Catálogo'!$A77="","",'Catálogo'!$H77)</f>
      </c>
      <c r="G77" s="17">
        <f>IF('Catálogo'!$A77="","",'Catálogo'!$I77)</f>
      </c>
      <c r="H77" s="16">
        <f>IF('Catálogo'!$A77="","",'Catálogo'!$J77)</f>
      </c>
      <c r="I77" s="19">
        <f>IF('Catálogo'!$A77="","",'Catálogo'!$K77)</f>
      </c>
    </row>
    <row r="78">
      <c r="A78" s="19">
        <f>IF('Catálogo'!$A78="","",'Catálogo'!$A78)</f>
      </c>
      <c r="B78" s="19">
        <f>IF('Catálogo'!$A78="","",'Catálogo'!$B78)</f>
      </c>
      <c r="C78" s="19">
        <f>IF('Catálogo'!$A78="","",'Catálogo'!$C78)</f>
      </c>
      <c r="D78" s="16">
        <f>IF('Catálogo'!$A78="","",'Catálogo'!$F78)</f>
      </c>
      <c r="E78" s="17">
        <f>IF('Catálogo'!$A78="","",'Catálogo'!$G78)</f>
      </c>
      <c r="F78" s="17">
        <f>IF('Catálogo'!$A78="","",'Catálogo'!$H78)</f>
      </c>
      <c r="G78" s="17">
        <f>IF('Catálogo'!$A78="","",'Catálogo'!$I78)</f>
      </c>
      <c r="H78" s="16">
        <f>IF('Catálogo'!$A78="","",'Catálogo'!$J78)</f>
      </c>
      <c r="I78" s="19">
        <f>IF('Catálogo'!$A78="","",'Catálogo'!$K78)</f>
      </c>
    </row>
    <row r="79">
      <c r="A79" s="19">
        <f>IF('Catálogo'!$A79="","",'Catálogo'!$A79)</f>
      </c>
      <c r="B79" s="19">
        <f>IF('Catálogo'!$A79="","",'Catálogo'!$B79)</f>
      </c>
      <c r="C79" s="19">
        <f>IF('Catálogo'!$A79="","",'Catálogo'!$C79)</f>
      </c>
      <c r="D79" s="16">
        <f>IF('Catálogo'!$A79="","",'Catálogo'!$F79)</f>
      </c>
      <c r="E79" s="17">
        <f>IF('Catálogo'!$A79="","",'Catálogo'!$G79)</f>
      </c>
      <c r="F79" s="17">
        <f>IF('Catálogo'!$A79="","",'Catálogo'!$H79)</f>
      </c>
      <c r="G79" s="17">
        <f>IF('Catálogo'!$A79="","",'Catálogo'!$I79)</f>
      </c>
      <c r="H79" s="16">
        <f>IF('Catálogo'!$A79="","",'Catálogo'!$J79)</f>
      </c>
      <c r="I79" s="19">
        <f>IF('Catálogo'!$A79="","",'Catálogo'!$K79)</f>
      </c>
    </row>
    <row r="80">
      <c r="A80" s="19">
        <f>IF('Catálogo'!$A80="","",'Catálogo'!$A80)</f>
      </c>
      <c r="B80" s="19">
        <f>IF('Catálogo'!$A80="","",'Catálogo'!$B80)</f>
      </c>
      <c r="C80" s="19">
        <f>IF('Catálogo'!$A80="","",'Catálogo'!$C80)</f>
      </c>
      <c r="D80" s="16">
        <f>IF('Catálogo'!$A80="","",'Catálogo'!$F80)</f>
      </c>
      <c r="E80" s="17">
        <f>IF('Catálogo'!$A80="","",'Catálogo'!$G80)</f>
      </c>
      <c r="F80" s="17">
        <f>IF('Catálogo'!$A80="","",'Catálogo'!$H80)</f>
      </c>
      <c r="G80" s="17">
        <f>IF('Catálogo'!$A80="","",'Catálogo'!$I80)</f>
      </c>
      <c r="H80" s="16">
        <f>IF('Catálogo'!$A80="","",'Catálogo'!$J80)</f>
      </c>
      <c r="I80" s="19">
        <f>IF('Catálogo'!$A80="","",'Catálogo'!$K80)</f>
      </c>
    </row>
    <row r="81">
      <c r="A81" s="19">
        <f>IF('Catálogo'!$A81="","",'Catálogo'!$A81)</f>
      </c>
      <c r="B81" s="19">
        <f>IF('Catálogo'!$A81="","",'Catálogo'!$B81)</f>
      </c>
      <c r="C81" s="19">
        <f>IF('Catálogo'!$A81="","",'Catálogo'!$C81)</f>
      </c>
      <c r="D81" s="16">
        <f>IF('Catálogo'!$A81="","",'Catálogo'!$F81)</f>
      </c>
      <c r="E81" s="17">
        <f>IF('Catálogo'!$A81="","",'Catálogo'!$G81)</f>
      </c>
      <c r="F81" s="17">
        <f>IF('Catálogo'!$A81="","",'Catálogo'!$H81)</f>
      </c>
      <c r="G81" s="17">
        <f>IF('Catálogo'!$A81="","",'Catálogo'!$I81)</f>
      </c>
      <c r="H81" s="16">
        <f>IF('Catálogo'!$A81="","",'Catálogo'!$J81)</f>
      </c>
      <c r="I81" s="19">
        <f>IF('Catálogo'!$A81="","",'Catálogo'!$K81)</f>
      </c>
    </row>
    <row r="82">
      <c r="A82" s="19">
        <f>IF('Catálogo'!$A82="","",'Catálogo'!$A82)</f>
      </c>
      <c r="B82" s="19">
        <f>IF('Catálogo'!$A82="","",'Catálogo'!$B82)</f>
      </c>
      <c r="C82" s="19">
        <f>IF('Catálogo'!$A82="","",'Catálogo'!$C82)</f>
      </c>
      <c r="D82" s="16">
        <f>IF('Catálogo'!$A82="","",'Catálogo'!$F82)</f>
      </c>
      <c r="E82" s="17">
        <f>IF('Catálogo'!$A82="","",'Catálogo'!$G82)</f>
      </c>
      <c r="F82" s="17">
        <f>IF('Catálogo'!$A82="","",'Catálogo'!$H82)</f>
      </c>
      <c r="G82" s="17">
        <f>IF('Catálogo'!$A82="","",'Catálogo'!$I82)</f>
      </c>
      <c r="H82" s="16">
        <f>IF('Catálogo'!$A82="","",'Catálogo'!$J82)</f>
      </c>
      <c r="I82" s="19">
        <f>IF('Catálogo'!$A82="","",'Catálogo'!$K82)</f>
      </c>
    </row>
    <row r="83">
      <c r="A83" s="19">
        <f>IF('Catálogo'!$A83="","",'Catálogo'!$A83)</f>
      </c>
      <c r="B83" s="19">
        <f>IF('Catálogo'!$A83="","",'Catálogo'!$B83)</f>
      </c>
      <c r="C83" s="19">
        <f>IF('Catálogo'!$A83="","",'Catálogo'!$C83)</f>
      </c>
      <c r="D83" s="16">
        <f>IF('Catálogo'!$A83="","",'Catálogo'!$F83)</f>
      </c>
      <c r="E83" s="17">
        <f>IF('Catálogo'!$A83="","",'Catálogo'!$G83)</f>
      </c>
      <c r="F83" s="17">
        <f>IF('Catálogo'!$A83="","",'Catálogo'!$H83)</f>
      </c>
      <c r="G83" s="17">
        <f>IF('Catálogo'!$A83="","",'Catálogo'!$I83)</f>
      </c>
      <c r="H83" s="16">
        <f>IF('Catálogo'!$A83="","",'Catálogo'!$J83)</f>
      </c>
      <c r="I83" s="19">
        <f>IF('Catálogo'!$A83="","",'Catálogo'!$K83)</f>
      </c>
    </row>
    <row r="84">
      <c r="A84" s="19">
        <f>IF('Catálogo'!$A84="","",'Catálogo'!$A84)</f>
      </c>
      <c r="B84" s="19">
        <f>IF('Catálogo'!$A84="","",'Catálogo'!$B84)</f>
      </c>
      <c r="C84" s="19">
        <f>IF('Catálogo'!$A84="","",'Catálogo'!$C84)</f>
      </c>
      <c r="D84" s="16">
        <f>IF('Catálogo'!$A84="","",'Catálogo'!$F84)</f>
      </c>
      <c r="E84" s="17">
        <f>IF('Catálogo'!$A84="","",'Catálogo'!$G84)</f>
      </c>
      <c r="F84" s="17">
        <f>IF('Catálogo'!$A84="","",'Catálogo'!$H84)</f>
      </c>
      <c r="G84" s="17">
        <f>IF('Catálogo'!$A84="","",'Catálogo'!$I84)</f>
      </c>
      <c r="H84" s="16">
        <f>IF('Catálogo'!$A84="","",'Catálogo'!$J84)</f>
      </c>
      <c r="I84" s="19">
        <f>IF('Catálogo'!$A84="","",'Catálogo'!$K84)</f>
      </c>
    </row>
    <row r="85">
      <c r="A85" s="19">
        <f>IF('Catálogo'!$A85="","",'Catálogo'!$A85)</f>
      </c>
      <c r="B85" s="19">
        <f>IF('Catálogo'!$A85="","",'Catálogo'!$B85)</f>
      </c>
      <c r="C85" s="19">
        <f>IF('Catálogo'!$A85="","",'Catálogo'!$C85)</f>
      </c>
      <c r="D85" s="16">
        <f>IF('Catálogo'!$A85="","",'Catálogo'!$F85)</f>
      </c>
      <c r="E85" s="17">
        <f>IF('Catálogo'!$A85="","",'Catálogo'!$G85)</f>
      </c>
      <c r="F85" s="17">
        <f>IF('Catálogo'!$A85="","",'Catálogo'!$H85)</f>
      </c>
      <c r="G85" s="17">
        <f>IF('Catálogo'!$A85="","",'Catálogo'!$I85)</f>
      </c>
      <c r="H85" s="16">
        <f>IF('Catálogo'!$A85="","",'Catálogo'!$J85)</f>
      </c>
      <c r="I85" s="19">
        <f>IF('Catálogo'!$A85="","",'Catálogo'!$K85)</f>
      </c>
    </row>
    <row r="86">
      <c r="A86" s="19">
        <f>IF('Catálogo'!$A86="","",'Catálogo'!$A86)</f>
      </c>
      <c r="B86" s="19">
        <f>IF('Catálogo'!$A86="","",'Catálogo'!$B86)</f>
      </c>
      <c r="C86" s="19">
        <f>IF('Catálogo'!$A86="","",'Catálogo'!$C86)</f>
      </c>
      <c r="D86" s="16">
        <f>IF('Catálogo'!$A86="","",'Catálogo'!$F86)</f>
      </c>
      <c r="E86" s="17">
        <f>IF('Catálogo'!$A86="","",'Catálogo'!$G86)</f>
      </c>
      <c r="F86" s="17">
        <f>IF('Catálogo'!$A86="","",'Catálogo'!$H86)</f>
      </c>
      <c r="G86" s="17">
        <f>IF('Catálogo'!$A86="","",'Catálogo'!$I86)</f>
      </c>
      <c r="H86" s="16">
        <f>IF('Catálogo'!$A86="","",'Catálogo'!$J86)</f>
      </c>
      <c r="I86" s="19">
        <f>IF('Catálogo'!$A86="","",'Catálogo'!$K86)</f>
      </c>
    </row>
    <row r="87">
      <c r="A87" s="19">
        <f>IF('Catálogo'!$A87="","",'Catálogo'!$A87)</f>
      </c>
      <c r="B87" s="19">
        <f>IF('Catálogo'!$A87="","",'Catálogo'!$B87)</f>
      </c>
      <c r="C87" s="19">
        <f>IF('Catálogo'!$A87="","",'Catálogo'!$C87)</f>
      </c>
      <c r="D87" s="16">
        <f>IF('Catálogo'!$A87="","",'Catálogo'!$F87)</f>
      </c>
      <c r="E87" s="17">
        <f>IF('Catálogo'!$A87="","",'Catálogo'!$G87)</f>
      </c>
      <c r="F87" s="17">
        <f>IF('Catálogo'!$A87="","",'Catálogo'!$H87)</f>
      </c>
      <c r="G87" s="17">
        <f>IF('Catálogo'!$A87="","",'Catálogo'!$I87)</f>
      </c>
      <c r="H87" s="16">
        <f>IF('Catálogo'!$A87="","",'Catálogo'!$J87)</f>
      </c>
      <c r="I87" s="19">
        <f>IF('Catálogo'!$A87="","",'Catálogo'!$K87)</f>
      </c>
    </row>
    <row r="88">
      <c r="A88" s="19">
        <f>IF('Catálogo'!$A88="","",'Catálogo'!$A88)</f>
      </c>
      <c r="B88" s="19">
        <f>IF('Catálogo'!$A88="","",'Catálogo'!$B88)</f>
      </c>
      <c r="C88" s="19">
        <f>IF('Catálogo'!$A88="","",'Catálogo'!$C88)</f>
      </c>
      <c r="D88" s="16">
        <f>IF('Catálogo'!$A88="","",'Catálogo'!$F88)</f>
      </c>
      <c r="E88" s="17">
        <f>IF('Catálogo'!$A88="","",'Catálogo'!$G88)</f>
      </c>
      <c r="F88" s="17">
        <f>IF('Catálogo'!$A88="","",'Catálogo'!$H88)</f>
      </c>
      <c r="G88" s="17">
        <f>IF('Catálogo'!$A88="","",'Catálogo'!$I88)</f>
      </c>
      <c r="H88" s="16">
        <f>IF('Catálogo'!$A88="","",'Catálogo'!$J88)</f>
      </c>
      <c r="I88" s="19">
        <f>IF('Catálogo'!$A88="","",'Catálogo'!$K88)</f>
      </c>
    </row>
    <row r="89">
      <c r="A89" s="19">
        <f>IF('Catálogo'!$A89="","",'Catálogo'!$A89)</f>
      </c>
      <c r="B89" s="19">
        <f>IF('Catálogo'!$A89="","",'Catálogo'!$B89)</f>
      </c>
      <c r="C89" s="19">
        <f>IF('Catálogo'!$A89="","",'Catálogo'!$C89)</f>
      </c>
      <c r="D89" s="16">
        <f>IF('Catálogo'!$A89="","",'Catálogo'!$F89)</f>
      </c>
      <c r="E89" s="17">
        <f>IF('Catálogo'!$A89="","",'Catálogo'!$G89)</f>
      </c>
      <c r="F89" s="17">
        <f>IF('Catálogo'!$A89="","",'Catálogo'!$H89)</f>
      </c>
      <c r="G89" s="17">
        <f>IF('Catálogo'!$A89="","",'Catálogo'!$I89)</f>
      </c>
      <c r="H89" s="16">
        <f>IF('Catálogo'!$A89="","",'Catálogo'!$J89)</f>
      </c>
      <c r="I89" s="19">
        <f>IF('Catálogo'!$A89="","",'Catálogo'!$K89)</f>
      </c>
    </row>
    <row r="90">
      <c r="A90" s="19">
        <f>IF('Catálogo'!$A90="","",'Catálogo'!$A90)</f>
      </c>
      <c r="B90" s="19">
        <f>IF('Catálogo'!$A90="","",'Catálogo'!$B90)</f>
      </c>
      <c r="C90" s="19">
        <f>IF('Catálogo'!$A90="","",'Catálogo'!$C90)</f>
      </c>
      <c r="D90" s="16">
        <f>IF('Catálogo'!$A90="","",'Catálogo'!$F90)</f>
      </c>
      <c r="E90" s="17">
        <f>IF('Catálogo'!$A90="","",'Catálogo'!$G90)</f>
      </c>
      <c r="F90" s="17">
        <f>IF('Catálogo'!$A90="","",'Catálogo'!$H90)</f>
      </c>
      <c r="G90" s="17">
        <f>IF('Catálogo'!$A90="","",'Catálogo'!$I90)</f>
      </c>
      <c r="H90" s="16">
        <f>IF('Catálogo'!$A90="","",'Catálogo'!$J90)</f>
      </c>
      <c r="I90" s="19">
        <f>IF('Catálogo'!$A90="","",'Catálogo'!$K90)</f>
      </c>
    </row>
    <row r="91">
      <c r="A91" s="19">
        <f>IF('Catálogo'!$A91="","",'Catálogo'!$A91)</f>
      </c>
      <c r="B91" s="19">
        <f>IF('Catálogo'!$A91="","",'Catálogo'!$B91)</f>
      </c>
      <c r="C91" s="19">
        <f>IF('Catálogo'!$A91="","",'Catálogo'!$C91)</f>
      </c>
      <c r="D91" s="16">
        <f>IF('Catálogo'!$A91="","",'Catálogo'!$F91)</f>
      </c>
      <c r="E91" s="17">
        <f>IF('Catálogo'!$A91="","",'Catálogo'!$G91)</f>
      </c>
      <c r="F91" s="17">
        <f>IF('Catálogo'!$A91="","",'Catálogo'!$H91)</f>
      </c>
      <c r="G91" s="17">
        <f>IF('Catálogo'!$A91="","",'Catálogo'!$I91)</f>
      </c>
      <c r="H91" s="16">
        <f>IF('Catálogo'!$A91="","",'Catálogo'!$J91)</f>
      </c>
      <c r="I91" s="19">
        <f>IF('Catálogo'!$A91="","",'Catálogo'!$K91)</f>
      </c>
    </row>
    <row r="92">
      <c r="A92" s="19">
        <f>IF('Catálogo'!$A92="","",'Catálogo'!$A92)</f>
      </c>
      <c r="B92" s="19">
        <f>IF('Catálogo'!$A92="","",'Catálogo'!$B92)</f>
      </c>
      <c r="C92" s="19">
        <f>IF('Catálogo'!$A92="","",'Catálogo'!$C92)</f>
      </c>
      <c r="D92" s="16">
        <f>IF('Catálogo'!$A92="","",'Catálogo'!$F92)</f>
      </c>
      <c r="E92" s="17">
        <f>IF('Catálogo'!$A92="","",'Catálogo'!$G92)</f>
      </c>
      <c r="F92" s="17">
        <f>IF('Catálogo'!$A92="","",'Catálogo'!$H92)</f>
      </c>
      <c r="G92" s="17">
        <f>IF('Catálogo'!$A92="","",'Catálogo'!$I92)</f>
      </c>
      <c r="H92" s="16">
        <f>IF('Catálogo'!$A92="","",'Catálogo'!$J92)</f>
      </c>
      <c r="I92" s="19">
        <f>IF('Catálogo'!$A92="","",'Catálogo'!$K92)</f>
      </c>
    </row>
    <row r="93">
      <c r="A93" s="19">
        <f>IF('Catálogo'!$A93="","",'Catálogo'!$A93)</f>
      </c>
      <c r="B93" s="19">
        <f>IF('Catálogo'!$A93="","",'Catálogo'!$B93)</f>
      </c>
      <c r="C93" s="19">
        <f>IF('Catálogo'!$A93="","",'Catálogo'!$C93)</f>
      </c>
      <c r="D93" s="16">
        <f>IF('Catálogo'!$A93="","",'Catálogo'!$F93)</f>
      </c>
      <c r="E93" s="17">
        <f>IF('Catálogo'!$A93="","",'Catálogo'!$G93)</f>
      </c>
      <c r="F93" s="17">
        <f>IF('Catálogo'!$A93="","",'Catálogo'!$H93)</f>
      </c>
      <c r="G93" s="17">
        <f>IF('Catálogo'!$A93="","",'Catálogo'!$I93)</f>
      </c>
      <c r="H93" s="16">
        <f>IF('Catálogo'!$A93="","",'Catálogo'!$J93)</f>
      </c>
      <c r="I93" s="19">
        <f>IF('Catálogo'!$A93="","",'Catálogo'!$K93)</f>
      </c>
    </row>
    <row r="94">
      <c r="A94" s="19">
        <f>IF('Catálogo'!$A94="","",'Catálogo'!$A94)</f>
      </c>
      <c r="B94" s="19">
        <f>IF('Catálogo'!$A94="","",'Catálogo'!$B94)</f>
      </c>
      <c r="C94" s="19">
        <f>IF('Catálogo'!$A94="","",'Catálogo'!$C94)</f>
      </c>
      <c r="D94" s="16">
        <f>IF('Catálogo'!$A94="","",'Catálogo'!$F94)</f>
      </c>
      <c r="E94" s="17">
        <f>IF('Catálogo'!$A94="","",'Catálogo'!$G94)</f>
      </c>
      <c r="F94" s="17">
        <f>IF('Catálogo'!$A94="","",'Catálogo'!$H94)</f>
      </c>
      <c r="G94" s="17">
        <f>IF('Catálogo'!$A94="","",'Catálogo'!$I94)</f>
      </c>
      <c r="H94" s="16">
        <f>IF('Catálogo'!$A94="","",'Catálogo'!$J94)</f>
      </c>
      <c r="I94" s="19">
        <f>IF('Catálogo'!$A94="","",'Catálogo'!$K94)</f>
      </c>
    </row>
    <row r="95">
      <c r="A95" s="19">
        <f>IF('Catálogo'!$A95="","",'Catálogo'!$A95)</f>
      </c>
      <c r="B95" s="19">
        <f>IF('Catálogo'!$A95="","",'Catálogo'!$B95)</f>
      </c>
      <c r="C95" s="19">
        <f>IF('Catálogo'!$A95="","",'Catálogo'!$C95)</f>
      </c>
      <c r="D95" s="16">
        <f>IF('Catálogo'!$A95="","",'Catálogo'!$F95)</f>
      </c>
      <c r="E95" s="17">
        <f>IF('Catálogo'!$A95="","",'Catálogo'!$G95)</f>
      </c>
      <c r="F95" s="17">
        <f>IF('Catálogo'!$A95="","",'Catálogo'!$H95)</f>
      </c>
      <c r="G95" s="17">
        <f>IF('Catálogo'!$A95="","",'Catálogo'!$I95)</f>
      </c>
      <c r="H95" s="16">
        <f>IF('Catálogo'!$A95="","",'Catálogo'!$J95)</f>
      </c>
      <c r="I95" s="19">
        <f>IF('Catálogo'!$A95="","",'Catálogo'!$K95)</f>
      </c>
    </row>
    <row r="96">
      <c r="A96" s="19">
        <f>IF('Catálogo'!$A96="","",'Catálogo'!$A96)</f>
      </c>
      <c r="B96" s="19">
        <f>IF('Catálogo'!$A96="","",'Catálogo'!$B96)</f>
      </c>
      <c r="C96" s="19">
        <f>IF('Catálogo'!$A96="","",'Catálogo'!$C96)</f>
      </c>
      <c r="D96" s="16">
        <f>IF('Catálogo'!$A96="","",'Catálogo'!$F96)</f>
      </c>
      <c r="E96" s="17">
        <f>IF('Catálogo'!$A96="","",'Catálogo'!$G96)</f>
      </c>
      <c r="F96" s="17">
        <f>IF('Catálogo'!$A96="","",'Catálogo'!$H96)</f>
      </c>
      <c r="G96" s="17">
        <f>IF('Catálogo'!$A96="","",'Catálogo'!$I96)</f>
      </c>
      <c r="H96" s="16">
        <f>IF('Catálogo'!$A96="","",'Catálogo'!$J96)</f>
      </c>
      <c r="I96" s="19">
        <f>IF('Catálogo'!$A96="","",'Catálogo'!$K96)</f>
      </c>
    </row>
    <row r="97">
      <c r="A97" s="19">
        <f>IF('Catálogo'!$A97="","",'Catálogo'!$A97)</f>
      </c>
      <c r="B97" s="19">
        <f>IF('Catálogo'!$A97="","",'Catálogo'!$B97)</f>
      </c>
      <c r="C97" s="19">
        <f>IF('Catálogo'!$A97="","",'Catálogo'!$C97)</f>
      </c>
      <c r="D97" s="16">
        <f>IF('Catálogo'!$A97="","",'Catálogo'!$F97)</f>
      </c>
      <c r="E97" s="17">
        <f>IF('Catálogo'!$A97="","",'Catálogo'!$G97)</f>
      </c>
      <c r="F97" s="17">
        <f>IF('Catálogo'!$A97="","",'Catálogo'!$H97)</f>
      </c>
      <c r="G97" s="17">
        <f>IF('Catálogo'!$A97="","",'Catálogo'!$I97)</f>
      </c>
      <c r="H97" s="16">
        <f>IF('Catálogo'!$A97="","",'Catálogo'!$J97)</f>
      </c>
      <c r="I97" s="19">
        <f>IF('Catálogo'!$A97="","",'Catálogo'!$K97)</f>
      </c>
    </row>
    <row r="98">
      <c r="A98" s="19">
        <f>IF('Catálogo'!$A98="","",'Catálogo'!$A98)</f>
      </c>
      <c r="B98" s="19">
        <f>IF('Catálogo'!$A98="","",'Catálogo'!$B98)</f>
      </c>
      <c r="C98" s="19">
        <f>IF('Catálogo'!$A98="","",'Catálogo'!$C98)</f>
      </c>
      <c r="D98" s="16">
        <f>IF('Catálogo'!$A98="","",'Catálogo'!$F98)</f>
      </c>
      <c r="E98" s="17">
        <f>IF('Catálogo'!$A98="","",'Catálogo'!$G98)</f>
      </c>
      <c r="F98" s="17">
        <f>IF('Catálogo'!$A98="","",'Catálogo'!$H98)</f>
      </c>
      <c r="G98" s="17">
        <f>IF('Catálogo'!$A98="","",'Catálogo'!$I98)</f>
      </c>
      <c r="H98" s="16">
        <f>IF('Catálogo'!$A98="","",'Catálogo'!$J98)</f>
      </c>
      <c r="I98" s="19">
        <f>IF('Catálogo'!$A98="","",'Catálogo'!$K98)</f>
      </c>
    </row>
    <row r="99">
      <c r="A99" s="19">
        <f>IF('Catálogo'!$A99="","",'Catálogo'!$A99)</f>
      </c>
      <c r="B99" s="19">
        <f>IF('Catálogo'!$A99="","",'Catálogo'!$B99)</f>
      </c>
      <c r="C99" s="19">
        <f>IF('Catálogo'!$A99="","",'Catálogo'!$C99)</f>
      </c>
      <c r="D99" s="16">
        <f>IF('Catálogo'!$A99="","",'Catálogo'!$F99)</f>
      </c>
      <c r="E99" s="17">
        <f>IF('Catálogo'!$A99="","",'Catálogo'!$G99)</f>
      </c>
      <c r="F99" s="17">
        <f>IF('Catálogo'!$A99="","",'Catálogo'!$H99)</f>
      </c>
      <c r="G99" s="17">
        <f>IF('Catálogo'!$A99="","",'Catálogo'!$I99)</f>
      </c>
      <c r="H99" s="16">
        <f>IF('Catálogo'!$A99="","",'Catálogo'!$J99)</f>
      </c>
      <c r="I99" s="19">
        <f>IF('Catálogo'!$A99="","",'Catálogo'!$K99)</f>
      </c>
    </row>
    <row r="100">
      <c r="A100" s="19">
        <f>IF('Catálogo'!$A100="","",'Catálogo'!$A100)</f>
      </c>
      <c r="B100" s="19">
        <f>IF('Catálogo'!$A100="","",'Catálogo'!$B100)</f>
      </c>
      <c r="C100" s="19">
        <f>IF('Catálogo'!$A100="","",'Catálogo'!$C100)</f>
      </c>
      <c r="D100" s="16">
        <f>IF('Catálogo'!$A100="","",'Catálogo'!$F100)</f>
      </c>
      <c r="E100" s="17">
        <f>IF('Catálogo'!$A100="","",'Catálogo'!$G100)</f>
      </c>
      <c r="F100" s="17">
        <f>IF('Catálogo'!$A100="","",'Catálogo'!$H100)</f>
      </c>
      <c r="G100" s="17">
        <f>IF('Catálogo'!$A100="","",'Catálogo'!$I100)</f>
      </c>
      <c r="H100" s="16">
        <f>IF('Catálogo'!$A100="","",'Catálogo'!$J100)</f>
      </c>
      <c r="I100" s="19">
        <f>IF('Catálogo'!$A100="","",'Catálogo'!$K100)</f>
      </c>
    </row>
    <row r="101">
      <c r="A101" s="19">
        <f>IF('Catálogo'!$A101="","",'Catálogo'!$A101)</f>
      </c>
      <c r="B101" s="19">
        <f>IF('Catálogo'!$A101="","",'Catálogo'!$B101)</f>
      </c>
      <c r="C101" s="19">
        <f>IF('Catálogo'!$A101="","",'Catálogo'!$C101)</f>
      </c>
      <c r="D101" s="16">
        <f>IF('Catálogo'!$A101="","",'Catálogo'!$F101)</f>
      </c>
      <c r="E101" s="17">
        <f>IF('Catálogo'!$A101="","",'Catálogo'!$G101)</f>
      </c>
      <c r="F101" s="17">
        <f>IF('Catálogo'!$A101="","",'Catálogo'!$H101)</f>
      </c>
      <c r="G101" s="17">
        <f>IF('Catálogo'!$A101="","",'Catálogo'!$I101)</f>
      </c>
      <c r="H101" s="16">
        <f>IF('Catálogo'!$A101="","",'Catálogo'!$J101)</f>
      </c>
      <c r="I101" s="19">
        <f>IF('Catálogo'!$A101="","",'Catálogo'!$K101)</f>
      </c>
    </row>
    <row r="102">
      <c r="A102" s="19">
        <f>IF('Catálogo'!$A102="","",'Catálogo'!$A102)</f>
      </c>
      <c r="B102" s="19">
        <f>IF('Catálogo'!$A102="","",'Catálogo'!$B102)</f>
      </c>
      <c r="C102" s="19">
        <f>IF('Catálogo'!$A102="","",'Catálogo'!$C102)</f>
      </c>
      <c r="D102" s="16">
        <f>IF('Catálogo'!$A102="","",'Catálogo'!$F102)</f>
      </c>
      <c r="E102" s="17">
        <f>IF('Catálogo'!$A102="","",'Catálogo'!$G102)</f>
      </c>
      <c r="F102" s="17">
        <f>IF('Catálogo'!$A102="","",'Catálogo'!$H102)</f>
      </c>
      <c r="G102" s="17">
        <f>IF('Catálogo'!$A102="","",'Catálogo'!$I102)</f>
      </c>
      <c r="H102" s="16">
        <f>IF('Catálogo'!$A102="","",'Catálogo'!$J102)</f>
      </c>
      <c r="I102" s="19">
        <f>IF('Catálogo'!$A102="","",'Catálogo'!$K102)</f>
      </c>
    </row>
    <row r="103">
      <c r="A103" s="19">
        <f>IF('Catálogo'!$A103="","",'Catálogo'!$A103)</f>
      </c>
      <c r="B103" s="19">
        <f>IF('Catálogo'!$A103="","",'Catálogo'!$B103)</f>
      </c>
      <c r="C103" s="19">
        <f>IF('Catálogo'!$A103="","",'Catálogo'!$C103)</f>
      </c>
      <c r="D103" s="16">
        <f>IF('Catálogo'!$A103="","",'Catálogo'!$F103)</f>
      </c>
      <c r="E103" s="17">
        <f>IF('Catálogo'!$A103="","",'Catálogo'!$G103)</f>
      </c>
      <c r="F103" s="17">
        <f>IF('Catálogo'!$A103="","",'Catálogo'!$H103)</f>
      </c>
      <c r="G103" s="17">
        <f>IF('Catálogo'!$A103="","",'Catálogo'!$I103)</f>
      </c>
      <c r="H103" s="16">
        <f>IF('Catálogo'!$A103="","",'Catálogo'!$J103)</f>
      </c>
      <c r="I103" s="19">
        <f>IF('Catálogo'!$A103="","",'Catálogo'!$K103)</f>
      </c>
    </row>
    <row r="104">
      <c r="A104" s="19">
        <f>IF('Catálogo'!$A104="","",'Catálogo'!$A104)</f>
      </c>
      <c r="B104" s="19">
        <f>IF('Catálogo'!$A104="","",'Catálogo'!$B104)</f>
      </c>
      <c r="C104" s="19">
        <f>IF('Catálogo'!$A104="","",'Catálogo'!$C104)</f>
      </c>
      <c r="D104" s="16">
        <f>IF('Catálogo'!$A104="","",'Catálogo'!$F104)</f>
      </c>
      <c r="E104" s="17">
        <f>IF('Catálogo'!$A104="","",'Catálogo'!$G104)</f>
      </c>
      <c r="F104" s="17">
        <f>IF('Catálogo'!$A104="","",'Catálogo'!$H104)</f>
      </c>
      <c r="G104" s="17">
        <f>IF('Catálogo'!$A104="","",'Catálogo'!$I104)</f>
      </c>
      <c r="H104" s="16">
        <f>IF('Catálogo'!$A104="","",'Catálogo'!$J104)</f>
      </c>
      <c r="I104" s="19">
        <f>IF('Catálogo'!$A104="","",'Catálogo'!$K104)</f>
      </c>
    </row>
    <row r="105">
      <c r="A105" s="19">
        <f>IF('Catálogo'!$A105="","",'Catálogo'!$A105)</f>
      </c>
      <c r="B105" s="19">
        <f>IF('Catálogo'!$A105="","",'Catálogo'!$B105)</f>
      </c>
      <c r="C105" s="19">
        <f>IF('Catálogo'!$A105="","",'Catálogo'!$C105)</f>
      </c>
      <c r="D105" s="16">
        <f>IF('Catálogo'!$A105="","",'Catálogo'!$F105)</f>
      </c>
      <c r="E105" s="17">
        <f>IF('Catálogo'!$A105="","",'Catálogo'!$G105)</f>
      </c>
      <c r="F105" s="17">
        <f>IF('Catálogo'!$A105="","",'Catálogo'!$H105)</f>
      </c>
      <c r="G105" s="17">
        <f>IF('Catálogo'!$A105="","",'Catálogo'!$I105)</f>
      </c>
      <c r="H105" s="16">
        <f>IF('Catálogo'!$A105="","",'Catálogo'!$J105)</f>
      </c>
      <c r="I105" s="19">
        <f>IF('Catálogo'!$A105="","",'Catálogo'!$K105)</f>
      </c>
    </row>
    <row r="106">
      <c r="A106" s="19">
        <f>IF('Catálogo'!$A106="","",'Catálogo'!$A106)</f>
      </c>
      <c r="B106" s="19">
        <f>IF('Catálogo'!$A106="","",'Catálogo'!$B106)</f>
      </c>
      <c r="C106" s="19">
        <f>IF('Catálogo'!$A106="","",'Catálogo'!$C106)</f>
      </c>
      <c r="D106" s="16">
        <f>IF('Catálogo'!$A106="","",'Catálogo'!$F106)</f>
      </c>
      <c r="E106" s="17">
        <f>IF('Catálogo'!$A106="","",'Catálogo'!$G106)</f>
      </c>
      <c r="F106" s="17">
        <f>IF('Catálogo'!$A106="","",'Catálogo'!$H106)</f>
      </c>
      <c r="G106" s="17">
        <f>IF('Catálogo'!$A106="","",'Catálogo'!$I106)</f>
      </c>
      <c r="H106" s="16">
        <f>IF('Catálogo'!$A106="","",'Catálogo'!$J106)</f>
      </c>
      <c r="I106" s="19">
        <f>IF('Catálogo'!$A106="","",'Catálogo'!$K106)</f>
      </c>
    </row>
    <row r="107">
      <c r="A107" s="19">
        <f>IF('Catálogo'!$A107="","",'Catálogo'!$A107)</f>
      </c>
      <c r="B107" s="19">
        <f>IF('Catálogo'!$A107="","",'Catálogo'!$B107)</f>
      </c>
      <c r="C107" s="19">
        <f>IF('Catálogo'!$A107="","",'Catálogo'!$C107)</f>
      </c>
      <c r="D107" s="16">
        <f>IF('Catálogo'!$A107="","",'Catálogo'!$F107)</f>
      </c>
      <c r="E107" s="17">
        <f>IF('Catálogo'!$A107="","",'Catálogo'!$G107)</f>
      </c>
      <c r="F107" s="17">
        <f>IF('Catálogo'!$A107="","",'Catálogo'!$H107)</f>
      </c>
      <c r="G107" s="17">
        <f>IF('Catálogo'!$A107="","",'Catálogo'!$I107)</f>
      </c>
      <c r="H107" s="16">
        <f>IF('Catálogo'!$A107="","",'Catálogo'!$J107)</f>
      </c>
      <c r="I107" s="19">
        <f>IF('Catálogo'!$A107="","",'Catálogo'!$K107)</f>
      </c>
    </row>
    <row r="108">
      <c r="A108" s="19">
        <f>IF('Catálogo'!$A108="","",'Catálogo'!$A108)</f>
      </c>
      <c r="B108" s="19">
        <f>IF('Catálogo'!$A108="","",'Catálogo'!$B108)</f>
      </c>
      <c r="C108" s="19">
        <f>IF('Catálogo'!$A108="","",'Catálogo'!$C108)</f>
      </c>
      <c r="D108" s="16">
        <f>IF('Catálogo'!$A108="","",'Catálogo'!$F108)</f>
      </c>
      <c r="E108" s="17">
        <f>IF('Catálogo'!$A108="","",'Catálogo'!$G108)</f>
      </c>
      <c r="F108" s="17">
        <f>IF('Catálogo'!$A108="","",'Catálogo'!$H108)</f>
      </c>
      <c r="G108" s="17">
        <f>IF('Catálogo'!$A108="","",'Catálogo'!$I108)</f>
      </c>
      <c r="H108" s="16">
        <f>IF('Catálogo'!$A108="","",'Catálogo'!$J108)</f>
      </c>
      <c r="I108" s="19">
        <f>IF('Catálogo'!$A108="","",'Catálogo'!$K108)</f>
      </c>
    </row>
    <row r="109">
      <c r="A109" s="19">
        <f>IF('Catálogo'!$A109="","",'Catálogo'!$A109)</f>
      </c>
      <c r="B109" s="19">
        <f>IF('Catálogo'!$A109="","",'Catálogo'!$B109)</f>
      </c>
      <c r="C109" s="19">
        <f>IF('Catálogo'!$A109="","",'Catálogo'!$C109)</f>
      </c>
      <c r="D109" s="16">
        <f>IF('Catálogo'!$A109="","",'Catálogo'!$F109)</f>
      </c>
      <c r="E109" s="17">
        <f>IF('Catálogo'!$A109="","",'Catálogo'!$G109)</f>
      </c>
      <c r="F109" s="17">
        <f>IF('Catálogo'!$A109="","",'Catálogo'!$H109)</f>
      </c>
      <c r="G109" s="17">
        <f>IF('Catálogo'!$A109="","",'Catálogo'!$I109)</f>
      </c>
      <c r="H109" s="16">
        <f>IF('Catálogo'!$A109="","",'Catálogo'!$J109)</f>
      </c>
      <c r="I109" s="19">
        <f>IF('Catálogo'!$A109="","",'Catálogo'!$K109)</f>
      </c>
    </row>
    <row r="110">
      <c r="A110" s="19">
        <f>IF('Catálogo'!$A110="","",'Catálogo'!$A110)</f>
      </c>
      <c r="B110" s="19">
        <f>IF('Catálogo'!$A110="","",'Catálogo'!$B110)</f>
      </c>
      <c r="C110" s="19">
        <f>IF('Catálogo'!$A110="","",'Catálogo'!$C110)</f>
      </c>
      <c r="D110" s="16">
        <f>IF('Catálogo'!$A110="","",'Catálogo'!$F110)</f>
      </c>
      <c r="E110" s="17">
        <f>IF('Catálogo'!$A110="","",'Catálogo'!$G110)</f>
      </c>
      <c r="F110" s="17">
        <f>IF('Catálogo'!$A110="","",'Catálogo'!$H110)</f>
      </c>
      <c r="G110" s="17">
        <f>IF('Catálogo'!$A110="","",'Catálogo'!$I110)</f>
      </c>
      <c r="H110" s="16">
        <f>IF('Catálogo'!$A110="","",'Catálogo'!$J110)</f>
      </c>
      <c r="I110" s="19">
        <f>IF('Catálogo'!$A110="","",'Catálogo'!$K110)</f>
      </c>
    </row>
    <row r="111">
      <c r="A111" s="19">
        <f>IF('Catálogo'!$A111="","",'Catálogo'!$A111)</f>
      </c>
      <c r="B111" s="19">
        <f>IF('Catálogo'!$A111="","",'Catálogo'!$B111)</f>
      </c>
      <c r="C111" s="19">
        <f>IF('Catálogo'!$A111="","",'Catálogo'!$C111)</f>
      </c>
      <c r="D111" s="16">
        <f>IF('Catálogo'!$A111="","",'Catálogo'!$F111)</f>
      </c>
      <c r="E111" s="17">
        <f>IF('Catálogo'!$A111="","",'Catálogo'!$G111)</f>
      </c>
      <c r="F111" s="17">
        <f>IF('Catálogo'!$A111="","",'Catálogo'!$H111)</f>
      </c>
      <c r="G111" s="17">
        <f>IF('Catálogo'!$A111="","",'Catálogo'!$I111)</f>
      </c>
      <c r="H111" s="16">
        <f>IF('Catálogo'!$A111="","",'Catálogo'!$J111)</f>
      </c>
      <c r="I111" s="19">
        <f>IF('Catálogo'!$A111="","",'Catálogo'!$K111)</f>
      </c>
    </row>
    <row r="112">
      <c r="A112" s="19">
        <f>IF('Catálogo'!$A112="","",'Catálogo'!$A112)</f>
      </c>
      <c r="B112" s="19">
        <f>IF('Catálogo'!$A112="","",'Catálogo'!$B112)</f>
      </c>
      <c r="C112" s="19">
        <f>IF('Catálogo'!$A112="","",'Catálogo'!$C112)</f>
      </c>
      <c r="D112" s="16">
        <f>IF('Catálogo'!$A112="","",'Catálogo'!$F112)</f>
      </c>
      <c r="E112" s="17">
        <f>IF('Catálogo'!$A112="","",'Catálogo'!$G112)</f>
      </c>
      <c r="F112" s="17">
        <f>IF('Catálogo'!$A112="","",'Catálogo'!$H112)</f>
      </c>
      <c r="G112" s="17">
        <f>IF('Catálogo'!$A112="","",'Catálogo'!$I112)</f>
      </c>
      <c r="H112" s="16">
        <f>IF('Catálogo'!$A112="","",'Catálogo'!$J112)</f>
      </c>
      <c r="I112" s="19">
        <f>IF('Catálogo'!$A112="","",'Catálogo'!$K112)</f>
      </c>
    </row>
    <row r="113">
      <c r="A113" s="19">
        <f>IF('Catálogo'!$A113="","",'Catálogo'!$A113)</f>
      </c>
      <c r="B113" s="19">
        <f>IF('Catálogo'!$A113="","",'Catálogo'!$B113)</f>
      </c>
      <c r="C113" s="19">
        <f>IF('Catálogo'!$A113="","",'Catálogo'!$C113)</f>
      </c>
      <c r="D113" s="16">
        <f>IF('Catálogo'!$A113="","",'Catálogo'!$F113)</f>
      </c>
      <c r="E113" s="17">
        <f>IF('Catálogo'!$A113="","",'Catálogo'!$G113)</f>
      </c>
      <c r="F113" s="17">
        <f>IF('Catálogo'!$A113="","",'Catálogo'!$H113)</f>
      </c>
      <c r="G113" s="17">
        <f>IF('Catálogo'!$A113="","",'Catálogo'!$I113)</f>
      </c>
      <c r="H113" s="16">
        <f>IF('Catálogo'!$A113="","",'Catálogo'!$J113)</f>
      </c>
      <c r="I113" s="19">
        <f>IF('Catálogo'!$A113="","",'Catálogo'!$K113)</f>
      </c>
    </row>
    <row r="114">
      <c r="A114" s="19">
        <f>IF('Catálogo'!$A114="","",'Catálogo'!$A114)</f>
      </c>
      <c r="B114" s="19">
        <f>IF('Catálogo'!$A114="","",'Catálogo'!$B114)</f>
      </c>
      <c r="C114" s="19">
        <f>IF('Catálogo'!$A114="","",'Catálogo'!$C114)</f>
      </c>
      <c r="D114" s="16">
        <f>IF('Catálogo'!$A114="","",'Catálogo'!$F114)</f>
      </c>
      <c r="E114" s="17">
        <f>IF('Catálogo'!$A114="","",'Catálogo'!$G114)</f>
      </c>
      <c r="F114" s="17">
        <f>IF('Catálogo'!$A114="","",'Catálogo'!$H114)</f>
      </c>
      <c r="G114" s="17">
        <f>IF('Catálogo'!$A114="","",'Catálogo'!$I114)</f>
      </c>
      <c r="H114" s="16">
        <f>IF('Catálogo'!$A114="","",'Catálogo'!$J114)</f>
      </c>
      <c r="I114" s="19">
        <f>IF('Catálogo'!$A114="","",'Catálogo'!$K114)</f>
      </c>
    </row>
    <row r="115">
      <c r="A115" s="19">
        <f>IF('Catálogo'!$A115="","",'Catálogo'!$A115)</f>
      </c>
      <c r="B115" s="19">
        <f>IF('Catálogo'!$A115="","",'Catálogo'!$B115)</f>
      </c>
      <c r="C115" s="19">
        <f>IF('Catálogo'!$A115="","",'Catálogo'!$C115)</f>
      </c>
      <c r="D115" s="16">
        <f>IF('Catálogo'!$A115="","",'Catálogo'!$F115)</f>
      </c>
      <c r="E115" s="17">
        <f>IF('Catálogo'!$A115="","",'Catálogo'!$G115)</f>
      </c>
      <c r="F115" s="17">
        <f>IF('Catálogo'!$A115="","",'Catálogo'!$H115)</f>
      </c>
      <c r="G115" s="17">
        <f>IF('Catálogo'!$A115="","",'Catálogo'!$I115)</f>
      </c>
      <c r="H115" s="16">
        <f>IF('Catálogo'!$A115="","",'Catálogo'!$J115)</f>
      </c>
      <c r="I115" s="19">
        <f>IF('Catálogo'!$A115="","",'Catálogo'!$K115)</f>
      </c>
    </row>
    <row r="116">
      <c r="A116" s="19">
        <f>IF('Catálogo'!$A116="","",'Catálogo'!$A116)</f>
      </c>
      <c r="B116" s="19">
        <f>IF('Catálogo'!$A116="","",'Catálogo'!$B116)</f>
      </c>
      <c r="C116" s="19">
        <f>IF('Catálogo'!$A116="","",'Catálogo'!$C116)</f>
      </c>
      <c r="D116" s="16">
        <f>IF('Catálogo'!$A116="","",'Catálogo'!$F116)</f>
      </c>
      <c r="E116" s="17">
        <f>IF('Catálogo'!$A116="","",'Catálogo'!$G116)</f>
      </c>
      <c r="F116" s="17">
        <f>IF('Catálogo'!$A116="","",'Catálogo'!$H116)</f>
      </c>
      <c r="G116" s="17">
        <f>IF('Catálogo'!$A116="","",'Catálogo'!$I116)</f>
      </c>
      <c r="H116" s="16">
        <f>IF('Catálogo'!$A116="","",'Catálogo'!$J116)</f>
      </c>
      <c r="I116" s="19">
        <f>IF('Catálogo'!$A116="","",'Catálogo'!$K116)</f>
      </c>
    </row>
    <row r="117">
      <c r="A117" s="19">
        <f>IF('Catálogo'!$A117="","",'Catálogo'!$A117)</f>
      </c>
      <c r="B117" s="19">
        <f>IF('Catálogo'!$A117="","",'Catálogo'!$B117)</f>
      </c>
      <c r="C117" s="19">
        <f>IF('Catálogo'!$A117="","",'Catálogo'!$C117)</f>
      </c>
      <c r="D117" s="16">
        <f>IF('Catálogo'!$A117="","",'Catálogo'!$F117)</f>
      </c>
      <c r="E117" s="17">
        <f>IF('Catálogo'!$A117="","",'Catálogo'!$G117)</f>
      </c>
      <c r="F117" s="17">
        <f>IF('Catálogo'!$A117="","",'Catálogo'!$H117)</f>
      </c>
      <c r="G117" s="17">
        <f>IF('Catálogo'!$A117="","",'Catálogo'!$I117)</f>
      </c>
      <c r="H117" s="16">
        <f>IF('Catálogo'!$A117="","",'Catálogo'!$J117)</f>
      </c>
      <c r="I117" s="19">
        <f>IF('Catálogo'!$A117="","",'Catálogo'!$K117)</f>
      </c>
    </row>
    <row r="118">
      <c r="A118" s="19">
        <f>IF('Catálogo'!$A118="","",'Catálogo'!$A118)</f>
      </c>
      <c r="B118" s="19">
        <f>IF('Catálogo'!$A118="","",'Catálogo'!$B118)</f>
      </c>
      <c r="C118" s="19">
        <f>IF('Catálogo'!$A118="","",'Catálogo'!$C118)</f>
      </c>
      <c r="D118" s="16">
        <f>IF('Catálogo'!$A118="","",'Catálogo'!$F118)</f>
      </c>
      <c r="E118" s="17">
        <f>IF('Catálogo'!$A118="","",'Catálogo'!$G118)</f>
      </c>
      <c r="F118" s="17">
        <f>IF('Catálogo'!$A118="","",'Catálogo'!$H118)</f>
      </c>
      <c r="G118" s="17">
        <f>IF('Catálogo'!$A118="","",'Catálogo'!$I118)</f>
      </c>
      <c r="H118" s="16">
        <f>IF('Catálogo'!$A118="","",'Catálogo'!$J118)</f>
      </c>
      <c r="I118" s="19">
        <f>IF('Catálogo'!$A118="","",'Catálogo'!$K118)</f>
      </c>
    </row>
    <row r="119">
      <c r="A119" s="19">
        <f>IF('Catálogo'!$A119="","",'Catálogo'!$A119)</f>
      </c>
      <c r="B119" s="19">
        <f>IF('Catálogo'!$A119="","",'Catálogo'!$B119)</f>
      </c>
      <c r="C119" s="19">
        <f>IF('Catálogo'!$A119="","",'Catálogo'!$C119)</f>
      </c>
      <c r="D119" s="16">
        <f>IF('Catálogo'!$A119="","",'Catálogo'!$F119)</f>
      </c>
      <c r="E119" s="17">
        <f>IF('Catálogo'!$A119="","",'Catálogo'!$G119)</f>
      </c>
      <c r="F119" s="17">
        <f>IF('Catálogo'!$A119="","",'Catálogo'!$H119)</f>
      </c>
      <c r="G119" s="17">
        <f>IF('Catálogo'!$A119="","",'Catálogo'!$I119)</f>
      </c>
      <c r="H119" s="16">
        <f>IF('Catálogo'!$A119="","",'Catálogo'!$J119)</f>
      </c>
      <c r="I119" s="19">
        <f>IF('Catálogo'!$A119="","",'Catálogo'!$K119)</f>
      </c>
    </row>
    <row r="120">
      <c r="A120" s="19">
        <f>IF('Catálogo'!$A120="","",'Catálogo'!$A120)</f>
      </c>
      <c r="B120" s="19">
        <f>IF('Catálogo'!$A120="","",'Catálogo'!$B120)</f>
      </c>
      <c r="C120" s="19">
        <f>IF('Catálogo'!$A120="","",'Catálogo'!$C120)</f>
      </c>
      <c r="D120" s="16">
        <f>IF('Catálogo'!$A120="","",'Catálogo'!$F120)</f>
      </c>
      <c r="E120" s="17">
        <f>IF('Catálogo'!$A120="","",'Catálogo'!$G120)</f>
      </c>
      <c r="F120" s="17">
        <f>IF('Catálogo'!$A120="","",'Catálogo'!$H120)</f>
      </c>
      <c r="G120" s="17">
        <f>IF('Catálogo'!$A120="","",'Catálogo'!$I120)</f>
      </c>
      <c r="H120" s="16">
        <f>IF('Catálogo'!$A120="","",'Catálogo'!$J120)</f>
      </c>
      <c r="I120" s="19">
        <f>IF('Catálogo'!$A120="","",'Catálogo'!$K120)</f>
      </c>
    </row>
    <row r="121">
      <c r="A121" s="19">
        <f>IF('Catálogo'!$A121="","",'Catálogo'!$A121)</f>
      </c>
      <c r="B121" s="19">
        <f>IF('Catálogo'!$A121="","",'Catálogo'!$B121)</f>
      </c>
      <c r="C121" s="19">
        <f>IF('Catálogo'!$A121="","",'Catálogo'!$C121)</f>
      </c>
      <c r="D121" s="16">
        <f>IF('Catálogo'!$A121="","",'Catálogo'!$F121)</f>
      </c>
      <c r="E121" s="17">
        <f>IF('Catálogo'!$A121="","",'Catálogo'!$G121)</f>
      </c>
      <c r="F121" s="17">
        <f>IF('Catálogo'!$A121="","",'Catálogo'!$H121)</f>
      </c>
      <c r="G121" s="17">
        <f>IF('Catálogo'!$A121="","",'Catálogo'!$I121)</f>
      </c>
      <c r="H121" s="16">
        <f>IF('Catálogo'!$A121="","",'Catálogo'!$J121)</f>
      </c>
      <c r="I121" s="19">
        <f>IF('Catálogo'!$A121="","",'Catálogo'!$K121)</f>
      </c>
    </row>
    <row r="122">
      <c r="A122" s="19">
        <f>IF('Catálogo'!$A122="","",'Catálogo'!$A122)</f>
      </c>
      <c r="B122" s="19">
        <f>IF('Catálogo'!$A122="","",'Catálogo'!$B122)</f>
      </c>
      <c r="C122" s="19">
        <f>IF('Catálogo'!$A122="","",'Catálogo'!$C122)</f>
      </c>
      <c r="D122" s="16">
        <f>IF('Catálogo'!$A122="","",'Catálogo'!$F122)</f>
      </c>
      <c r="E122" s="17">
        <f>IF('Catálogo'!$A122="","",'Catálogo'!$G122)</f>
      </c>
      <c r="F122" s="17">
        <f>IF('Catálogo'!$A122="","",'Catálogo'!$H122)</f>
      </c>
      <c r="G122" s="17">
        <f>IF('Catálogo'!$A122="","",'Catálogo'!$I122)</f>
      </c>
      <c r="H122" s="16">
        <f>IF('Catálogo'!$A122="","",'Catálogo'!$J122)</f>
      </c>
      <c r="I122" s="19">
        <f>IF('Catálogo'!$A122="","",'Catálogo'!$K122)</f>
      </c>
    </row>
    <row r="123">
      <c r="A123" s="19">
        <f>IF('Catálogo'!$A123="","",'Catálogo'!$A123)</f>
      </c>
      <c r="B123" s="19">
        <f>IF('Catálogo'!$A123="","",'Catálogo'!$B123)</f>
      </c>
      <c r="C123" s="19">
        <f>IF('Catálogo'!$A123="","",'Catálogo'!$C123)</f>
      </c>
      <c r="D123" s="16">
        <f>IF('Catálogo'!$A123="","",'Catálogo'!$F123)</f>
      </c>
      <c r="E123" s="17">
        <f>IF('Catálogo'!$A123="","",'Catálogo'!$G123)</f>
      </c>
      <c r="F123" s="17">
        <f>IF('Catálogo'!$A123="","",'Catálogo'!$H123)</f>
      </c>
      <c r="G123" s="17">
        <f>IF('Catálogo'!$A123="","",'Catálogo'!$I123)</f>
      </c>
      <c r="H123" s="16">
        <f>IF('Catálogo'!$A123="","",'Catálogo'!$J123)</f>
      </c>
      <c r="I123" s="19">
        <f>IF('Catálogo'!$A123="","",'Catálogo'!$K123)</f>
      </c>
    </row>
    <row r="124">
      <c r="A124" s="19">
        <f>IF('Catálogo'!$A124="","",'Catálogo'!$A124)</f>
      </c>
      <c r="B124" s="19">
        <f>IF('Catálogo'!$A124="","",'Catálogo'!$B124)</f>
      </c>
      <c r="C124" s="19">
        <f>IF('Catálogo'!$A124="","",'Catálogo'!$C124)</f>
      </c>
      <c r="D124" s="16">
        <f>IF('Catálogo'!$A124="","",'Catálogo'!$F124)</f>
      </c>
      <c r="E124" s="17">
        <f>IF('Catálogo'!$A124="","",'Catálogo'!$G124)</f>
      </c>
      <c r="F124" s="17">
        <f>IF('Catálogo'!$A124="","",'Catálogo'!$H124)</f>
      </c>
      <c r="G124" s="17">
        <f>IF('Catálogo'!$A124="","",'Catálogo'!$I124)</f>
      </c>
      <c r="H124" s="16">
        <f>IF('Catálogo'!$A124="","",'Catálogo'!$J124)</f>
      </c>
      <c r="I124" s="19">
        <f>IF('Catálogo'!$A124="","",'Catálogo'!$K124)</f>
      </c>
    </row>
    <row r="125">
      <c r="A125" s="19">
        <f>IF('Catálogo'!$A125="","",'Catálogo'!$A125)</f>
      </c>
      <c r="B125" s="19">
        <f>IF('Catálogo'!$A125="","",'Catálogo'!$B125)</f>
      </c>
      <c r="C125" s="19">
        <f>IF('Catálogo'!$A125="","",'Catálogo'!$C125)</f>
      </c>
      <c r="D125" s="16">
        <f>IF('Catálogo'!$A125="","",'Catálogo'!$F125)</f>
      </c>
      <c r="E125" s="17">
        <f>IF('Catálogo'!$A125="","",'Catálogo'!$G125)</f>
      </c>
      <c r="F125" s="17">
        <f>IF('Catálogo'!$A125="","",'Catálogo'!$H125)</f>
      </c>
      <c r="G125" s="17">
        <f>IF('Catálogo'!$A125="","",'Catálogo'!$I125)</f>
      </c>
      <c r="H125" s="16">
        <f>IF('Catálogo'!$A125="","",'Catálogo'!$J125)</f>
      </c>
      <c r="I125" s="19">
        <f>IF('Catálogo'!$A125="","",'Catálogo'!$K125)</f>
      </c>
    </row>
    <row r="126">
      <c r="A126" s="19">
        <f>IF('Catálogo'!$A126="","",'Catálogo'!$A126)</f>
      </c>
      <c r="B126" s="19">
        <f>IF('Catálogo'!$A126="","",'Catálogo'!$B126)</f>
      </c>
      <c r="C126" s="19">
        <f>IF('Catálogo'!$A126="","",'Catálogo'!$C126)</f>
      </c>
      <c r="D126" s="16">
        <f>IF('Catálogo'!$A126="","",'Catálogo'!$F126)</f>
      </c>
      <c r="E126" s="17">
        <f>IF('Catálogo'!$A126="","",'Catálogo'!$G126)</f>
      </c>
      <c r="F126" s="17">
        <f>IF('Catálogo'!$A126="","",'Catálogo'!$H126)</f>
      </c>
      <c r="G126" s="17">
        <f>IF('Catálogo'!$A126="","",'Catálogo'!$I126)</f>
      </c>
      <c r="H126" s="16">
        <f>IF('Catálogo'!$A126="","",'Catálogo'!$J126)</f>
      </c>
      <c r="I126" s="19">
        <f>IF('Catálogo'!$A126="","",'Catálogo'!$K126)</f>
      </c>
    </row>
    <row r="127">
      <c r="A127" s="19">
        <f>IF('Catálogo'!$A127="","",'Catálogo'!$A127)</f>
      </c>
      <c r="B127" s="19">
        <f>IF('Catálogo'!$A127="","",'Catálogo'!$B127)</f>
      </c>
      <c r="C127" s="19">
        <f>IF('Catálogo'!$A127="","",'Catálogo'!$C127)</f>
      </c>
      <c r="D127" s="16">
        <f>IF('Catálogo'!$A127="","",'Catálogo'!$F127)</f>
      </c>
      <c r="E127" s="17">
        <f>IF('Catálogo'!$A127="","",'Catálogo'!$G127)</f>
      </c>
      <c r="F127" s="17">
        <f>IF('Catálogo'!$A127="","",'Catálogo'!$H127)</f>
      </c>
      <c r="G127" s="17">
        <f>IF('Catálogo'!$A127="","",'Catálogo'!$I127)</f>
      </c>
      <c r="H127" s="16">
        <f>IF('Catálogo'!$A127="","",'Catálogo'!$J127)</f>
      </c>
      <c r="I127" s="19">
        <f>IF('Catálogo'!$A127="","",'Catálogo'!$K127)</f>
      </c>
    </row>
    <row r="128">
      <c r="A128" s="19">
        <f>IF('Catálogo'!$A128="","",'Catálogo'!$A128)</f>
      </c>
      <c r="B128" s="19">
        <f>IF('Catálogo'!$A128="","",'Catálogo'!$B128)</f>
      </c>
      <c r="C128" s="19">
        <f>IF('Catálogo'!$A128="","",'Catálogo'!$C128)</f>
      </c>
      <c r="D128" s="16">
        <f>IF('Catálogo'!$A128="","",'Catálogo'!$F128)</f>
      </c>
      <c r="E128" s="17">
        <f>IF('Catálogo'!$A128="","",'Catálogo'!$G128)</f>
      </c>
      <c r="F128" s="17">
        <f>IF('Catálogo'!$A128="","",'Catálogo'!$H128)</f>
      </c>
      <c r="G128" s="17">
        <f>IF('Catálogo'!$A128="","",'Catálogo'!$I128)</f>
      </c>
      <c r="H128" s="16">
        <f>IF('Catálogo'!$A128="","",'Catálogo'!$J128)</f>
      </c>
      <c r="I128" s="19">
        <f>IF('Catálogo'!$A128="","",'Catálogo'!$K128)</f>
      </c>
    </row>
    <row r="129">
      <c r="A129" s="19">
        <f>IF('Catálogo'!$A129="","",'Catálogo'!$A129)</f>
      </c>
      <c r="B129" s="19">
        <f>IF('Catálogo'!$A129="","",'Catálogo'!$B129)</f>
      </c>
      <c r="C129" s="19">
        <f>IF('Catálogo'!$A129="","",'Catálogo'!$C129)</f>
      </c>
      <c r="D129" s="16">
        <f>IF('Catálogo'!$A129="","",'Catálogo'!$F129)</f>
      </c>
      <c r="E129" s="17">
        <f>IF('Catálogo'!$A129="","",'Catálogo'!$G129)</f>
      </c>
      <c r="F129" s="17">
        <f>IF('Catálogo'!$A129="","",'Catálogo'!$H129)</f>
      </c>
      <c r="G129" s="17">
        <f>IF('Catálogo'!$A129="","",'Catálogo'!$I129)</f>
      </c>
      <c r="H129" s="16">
        <f>IF('Catálogo'!$A129="","",'Catálogo'!$J129)</f>
      </c>
      <c r="I129" s="19">
        <f>IF('Catálogo'!$A129="","",'Catálogo'!$K129)</f>
      </c>
    </row>
    <row r="130">
      <c r="A130" s="19">
        <f>IF('Catálogo'!$A130="","",'Catálogo'!$A130)</f>
      </c>
      <c r="B130" s="19">
        <f>IF('Catálogo'!$A130="","",'Catálogo'!$B130)</f>
      </c>
      <c r="C130" s="19">
        <f>IF('Catálogo'!$A130="","",'Catálogo'!$C130)</f>
      </c>
      <c r="D130" s="16">
        <f>IF('Catálogo'!$A130="","",'Catálogo'!$F130)</f>
      </c>
      <c r="E130" s="17">
        <f>IF('Catálogo'!$A130="","",'Catálogo'!$G130)</f>
      </c>
      <c r="F130" s="17">
        <f>IF('Catálogo'!$A130="","",'Catálogo'!$H130)</f>
      </c>
      <c r="G130" s="17">
        <f>IF('Catálogo'!$A130="","",'Catálogo'!$I130)</f>
      </c>
      <c r="H130" s="16">
        <f>IF('Catálogo'!$A130="","",'Catálogo'!$J130)</f>
      </c>
      <c r="I130" s="19">
        <f>IF('Catálogo'!$A130="","",'Catálogo'!$K130)</f>
      </c>
    </row>
    <row r="131">
      <c r="A131" s="19">
        <f>IF('Catálogo'!$A131="","",'Catálogo'!$A131)</f>
      </c>
      <c r="B131" s="19">
        <f>IF('Catálogo'!$A131="","",'Catálogo'!$B131)</f>
      </c>
      <c r="C131" s="19">
        <f>IF('Catálogo'!$A131="","",'Catálogo'!$C131)</f>
      </c>
      <c r="D131" s="16">
        <f>IF('Catálogo'!$A131="","",'Catálogo'!$F131)</f>
      </c>
      <c r="E131" s="17">
        <f>IF('Catálogo'!$A131="","",'Catálogo'!$G131)</f>
      </c>
      <c r="F131" s="17">
        <f>IF('Catálogo'!$A131="","",'Catálogo'!$H131)</f>
      </c>
      <c r="G131" s="17">
        <f>IF('Catálogo'!$A131="","",'Catálogo'!$I131)</f>
      </c>
      <c r="H131" s="16">
        <f>IF('Catálogo'!$A131="","",'Catálogo'!$J131)</f>
      </c>
      <c r="I131" s="19">
        <f>IF('Catálogo'!$A131="","",'Catálogo'!$K131)</f>
      </c>
    </row>
    <row r="132">
      <c r="A132" s="19">
        <f>IF('Catálogo'!$A132="","",'Catálogo'!$A132)</f>
      </c>
      <c r="B132" s="19">
        <f>IF('Catálogo'!$A132="","",'Catálogo'!$B132)</f>
      </c>
      <c r="C132" s="19">
        <f>IF('Catálogo'!$A132="","",'Catálogo'!$C132)</f>
      </c>
      <c r="D132" s="16">
        <f>IF('Catálogo'!$A132="","",'Catálogo'!$F132)</f>
      </c>
      <c r="E132" s="17">
        <f>IF('Catálogo'!$A132="","",'Catálogo'!$G132)</f>
      </c>
      <c r="F132" s="17">
        <f>IF('Catálogo'!$A132="","",'Catálogo'!$H132)</f>
      </c>
      <c r="G132" s="17">
        <f>IF('Catálogo'!$A132="","",'Catálogo'!$I132)</f>
      </c>
      <c r="H132" s="16">
        <f>IF('Catálogo'!$A132="","",'Catálogo'!$J132)</f>
      </c>
      <c r="I132" s="19">
        <f>IF('Catálogo'!$A132="","",'Catálogo'!$K132)</f>
      </c>
    </row>
    <row r="133">
      <c r="A133" s="19">
        <f>IF('Catálogo'!$A133="","",'Catálogo'!$A133)</f>
      </c>
      <c r="B133" s="19">
        <f>IF('Catálogo'!$A133="","",'Catálogo'!$B133)</f>
      </c>
      <c r="C133" s="19">
        <f>IF('Catálogo'!$A133="","",'Catálogo'!$C133)</f>
      </c>
      <c r="D133" s="16">
        <f>IF('Catálogo'!$A133="","",'Catálogo'!$F133)</f>
      </c>
      <c r="E133" s="17">
        <f>IF('Catálogo'!$A133="","",'Catálogo'!$G133)</f>
      </c>
      <c r="F133" s="17">
        <f>IF('Catálogo'!$A133="","",'Catálogo'!$H133)</f>
      </c>
      <c r="G133" s="17">
        <f>IF('Catálogo'!$A133="","",'Catálogo'!$I133)</f>
      </c>
      <c r="H133" s="16">
        <f>IF('Catálogo'!$A133="","",'Catálogo'!$J133)</f>
      </c>
      <c r="I133" s="19">
        <f>IF('Catálogo'!$A133="","",'Catálogo'!$K133)</f>
      </c>
    </row>
    <row r="134">
      <c r="A134" s="19">
        <f>IF('Catálogo'!$A134="","",'Catálogo'!$A134)</f>
      </c>
      <c r="B134" s="19">
        <f>IF('Catálogo'!$A134="","",'Catálogo'!$B134)</f>
      </c>
      <c r="C134" s="19">
        <f>IF('Catálogo'!$A134="","",'Catálogo'!$C134)</f>
      </c>
      <c r="D134" s="16">
        <f>IF('Catálogo'!$A134="","",'Catálogo'!$F134)</f>
      </c>
      <c r="E134" s="17">
        <f>IF('Catálogo'!$A134="","",'Catálogo'!$G134)</f>
      </c>
      <c r="F134" s="17">
        <f>IF('Catálogo'!$A134="","",'Catálogo'!$H134)</f>
      </c>
      <c r="G134" s="17">
        <f>IF('Catálogo'!$A134="","",'Catálogo'!$I134)</f>
      </c>
      <c r="H134" s="16">
        <f>IF('Catálogo'!$A134="","",'Catálogo'!$J134)</f>
      </c>
      <c r="I134" s="19">
        <f>IF('Catálogo'!$A134="","",'Catálogo'!$K134)</f>
      </c>
    </row>
    <row r="135">
      <c r="A135" s="19">
        <f>IF('Catálogo'!$A135="","",'Catálogo'!$A135)</f>
      </c>
      <c r="B135" s="19">
        <f>IF('Catálogo'!$A135="","",'Catálogo'!$B135)</f>
      </c>
      <c r="C135" s="19">
        <f>IF('Catálogo'!$A135="","",'Catálogo'!$C135)</f>
      </c>
      <c r="D135" s="16">
        <f>IF('Catálogo'!$A135="","",'Catálogo'!$F135)</f>
      </c>
      <c r="E135" s="17">
        <f>IF('Catálogo'!$A135="","",'Catálogo'!$G135)</f>
      </c>
      <c r="F135" s="17">
        <f>IF('Catálogo'!$A135="","",'Catálogo'!$H135)</f>
      </c>
      <c r="G135" s="17">
        <f>IF('Catálogo'!$A135="","",'Catálogo'!$I135)</f>
      </c>
      <c r="H135" s="16">
        <f>IF('Catálogo'!$A135="","",'Catálogo'!$J135)</f>
      </c>
      <c r="I135" s="19">
        <f>IF('Catálogo'!$A135="","",'Catálogo'!$K135)</f>
      </c>
    </row>
    <row r="136">
      <c r="A136" s="19">
        <f>IF('Catálogo'!$A136="","",'Catálogo'!$A136)</f>
      </c>
      <c r="B136" s="19">
        <f>IF('Catálogo'!$A136="","",'Catálogo'!$B136)</f>
      </c>
      <c r="C136" s="19">
        <f>IF('Catálogo'!$A136="","",'Catálogo'!$C136)</f>
      </c>
      <c r="D136" s="16">
        <f>IF('Catálogo'!$A136="","",'Catálogo'!$F136)</f>
      </c>
      <c r="E136" s="17">
        <f>IF('Catálogo'!$A136="","",'Catálogo'!$G136)</f>
      </c>
      <c r="F136" s="17">
        <f>IF('Catálogo'!$A136="","",'Catálogo'!$H136)</f>
      </c>
      <c r="G136" s="17">
        <f>IF('Catálogo'!$A136="","",'Catálogo'!$I136)</f>
      </c>
      <c r="H136" s="16">
        <f>IF('Catálogo'!$A136="","",'Catálogo'!$J136)</f>
      </c>
      <c r="I136" s="19">
        <f>IF('Catálogo'!$A136="","",'Catálogo'!$K136)</f>
      </c>
    </row>
    <row r="137">
      <c r="A137" s="19">
        <f>IF('Catálogo'!$A137="","",'Catálogo'!$A137)</f>
      </c>
      <c r="B137" s="19">
        <f>IF('Catálogo'!$A137="","",'Catálogo'!$B137)</f>
      </c>
      <c r="C137" s="19">
        <f>IF('Catálogo'!$A137="","",'Catálogo'!$C137)</f>
      </c>
      <c r="D137" s="16">
        <f>IF('Catálogo'!$A137="","",'Catálogo'!$F137)</f>
      </c>
      <c r="E137" s="17">
        <f>IF('Catálogo'!$A137="","",'Catálogo'!$G137)</f>
      </c>
      <c r="F137" s="17">
        <f>IF('Catálogo'!$A137="","",'Catálogo'!$H137)</f>
      </c>
      <c r="G137" s="17">
        <f>IF('Catálogo'!$A137="","",'Catálogo'!$I137)</f>
      </c>
      <c r="H137" s="16">
        <f>IF('Catálogo'!$A137="","",'Catálogo'!$J137)</f>
      </c>
      <c r="I137" s="19">
        <f>IF('Catálogo'!$A137="","",'Catálogo'!$K137)</f>
      </c>
    </row>
    <row r="138">
      <c r="A138" s="19">
        <f>IF('Catálogo'!$A138="","",'Catálogo'!$A138)</f>
      </c>
      <c r="B138" s="19">
        <f>IF('Catálogo'!$A138="","",'Catálogo'!$B138)</f>
      </c>
      <c r="C138" s="19">
        <f>IF('Catálogo'!$A138="","",'Catálogo'!$C138)</f>
      </c>
      <c r="D138" s="16">
        <f>IF('Catálogo'!$A138="","",'Catálogo'!$F138)</f>
      </c>
      <c r="E138" s="17">
        <f>IF('Catálogo'!$A138="","",'Catálogo'!$G138)</f>
      </c>
      <c r="F138" s="17">
        <f>IF('Catálogo'!$A138="","",'Catálogo'!$H138)</f>
      </c>
      <c r="G138" s="17">
        <f>IF('Catálogo'!$A138="","",'Catálogo'!$I138)</f>
      </c>
      <c r="H138" s="16">
        <f>IF('Catálogo'!$A138="","",'Catálogo'!$J138)</f>
      </c>
      <c r="I138" s="19">
        <f>IF('Catálogo'!$A138="","",'Catálogo'!$K138)</f>
      </c>
    </row>
    <row r="139">
      <c r="A139" s="19">
        <f>IF('Catálogo'!$A139="","",'Catálogo'!$A139)</f>
      </c>
      <c r="B139" s="19">
        <f>IF('Catálogo'!$A139="","",'Catálogo'!$B139)</f>
      </c>
      <c r="C139" s="19">
        <f>IF('Catálogo'!$A139="","",'Catálogo'!$C139)</f>
      </c>
      <c r="D139" s="16">
        <f>IF('Catálogo'!$A139="","",'Catálogo'!$F139)</f>
      </c>
      <c r="E139" s="17">
        <f>IF('Catálogo'!$A139="","",'Catálogo'!$G139)</f>
      </c>
      <c r="F139" s="17">
        <f>IF('Catálogo'!$A139="","",'Catálogo'!$H139)</f>
      </c>
      <c r="G139" s="17">
        <f>IF('Catálogo'!$A139="","",'Catálogo'!$I139)</f>
      </c>
      <c r="H139" s="16">
        <f>IF('Catálogo'!$A139="","",'Catálogo'!$J139)</f>
      </c>
      <c r="I139" s="19">
        <f>IF('Catálogo'!$A139="","",'Catálogo'!$K139)</f>
      </c>
    </row>
    <row r="140">
      <c r="A140" s="19">
        <f>IF('Catálogo'!$A140="","",'Catálogo'!$A140)</f>
      </c>
      <c r="B140" s="19">
        <f>IF('Catálogo'!$A140="","",'Catálogo'!$B140)</f>
      </c>
      <c r="C140" s="19">
        <f>IF('Catálogo'!$A140="","",'Catálogo'!$C140)</f>
      </c>
      <c r="D140" s="16">
        <f>IF('Catálogo'!$A140="","",'Catálogo'!$F140)</f>
      </c>
      <c r="E140" s="17">
        <f>IF('Catálogo'!$A140="","",'Catálogo'!$G140)</f>
      </c>
      <c r="F140" s="17">
        <f>IF('Catálogo'!$A140="","",'Catálogo'!$H140)</f>
      </c>
      <c r="G140" s="17">
        <f>IF('Catálogo'!$A140="","",'Catálogo'!$I140)</f>
      </c>
      <c r="H140" s="16">
        <f>IF('Catálogo'!$A140="","",'Catálogo'!$J140)</f>
      </c>
      <c r="I140" s="19">
        <f>IF('Catálogo'!$A140="","",'Catálogo'!$K140)</f>
      </c>
    </row>
    <row r="141">
      <c r="A141" s="19">
        <f>IF('Catálogo'!$A141="","",'Catálogo'!$A141)</f>
      </c>
      <c r="B141" s="19">
        <f>IF('Catálogo'!$A141="","",'Catálogo'!$B141)</f>
      </c>
      <c r="C141" s="19">
        <f>IF('Catálogo'!$A141="","",'Catálogo'!$C141)</f>
      </c>
      <c r="D141" s="16">
        <f>IF('Catálogo'!$A141="","",'Catálogo'!$F141)</f>
      </c>
      <c r="E141" s="17">
        <f>IF('Catálogo'!$A141="","",'Catálogo'!$G141)</f>
      </c>
      <c r="F141" s="17">
        <f>IF('Catálogo'!$A141="","",'Catálogo'!$H141)</f>
      </c>
      <c r="G141" s="17">
        <f>IF('Catálogo'!$A141="","",'Catálogo'!$I141)</f>
      </c>
      <c r="H141" s="16">
        <f>IF('Catálogo'!$A141="","",'Catálogo'!$J141)</f>
      </c>
      <c r="I141" s="19">
        <f>IF('Catálogo'!$A141="","",'Catálogo'!$K141)</f>
      </c>
    </row>
    <row r="142">
      <c r="A142" s="19">
        <f>IF('Catálogo'!$A142="","",'Catálogo'!$A142)</f>
      </c>
      <c r="B142" s="19">
        <f>IF('Catálogo'!$A142="","",'Catálogo'!$B142)</f>
      </c>
      <c r="C142" s="19">
        <f>IF('Catálogo'!$A142="","",'Catálogo'!$C142)</f>
      </c>
      <c r="D142" s="16">
        <f>IF('Catálogo'!$A142="","",'Catálogo'!$F142)</f>
      </c>
      <c r="E142" s="17">
        <f>IF('Catálogo'!$A142="","",'Catálogo'!$G142)</f>
      </c>
      <c r="F142" s="17">
        <f>IF('Catálogo'!$A142="","",'Catálogo'!$H142)</f>
      </c>
      <c r="G142" s="17">
        <f>IF('Catálogo'!$A142="","",'Catálogo'!$I142)</f>
      </c>
      <c r="H142" s="16">
        <f>IF('Catálogo'!$A142="","",'Catálogo'!$J142)</f>
      </c>
      <c r="I142" s="19">
        <f>IF('Catálogo'!$A142="","",'Catálogo'!$K142)</f>
      </c>
    </row>
    <row r="143">
      <c r="A143" s="19">
        <f>IF('Catálogo'!$A143="","",'Catálogo'!$A143)</f>
      </c>
      <c r="B143" s="19">
        <f>IF('Catálogo'!$A143="","",'Catálogo'!$B143)</f>
      </c>
      <c r="C143" s="19">
        <f>IF('Catálogo'!$A143="","",'Catálogo'!$C143)</f>
      </c>
      <c r="D143" s="16">
        <f>IF('Catálogo'!$A143="","",'Catálogo'!$F143)</f>
      </c>
      <c r="E143" s="17">
        <f>IF('Catálogo'!$A143="","",'Catálogo'!$G143)</f>
      </c>
      <c r="F143" s="17">
        <f>IF('Catálogo'!$A143="","",'Catálogo'!$H143)</f>
      </c>
      <c r="G143" s="17">
        <f>IF('Catálogo'!$A143="","",'Catálogo'!$I143)</f>
      </c>
      <c r="H143" s="16">
        <f>IF('Catálogo'!$A143="","",'Catálogo'!$J143)</f>
      </c>
      <c r="I143" s="19">
        <f>IF('Catálogo'!$A143="","",'Catálogo'!$K143)</f>
      </c>
    </row>
    <row r="144">
      <c r="A144" s="19">
        <f>IF('Catálogo'!$A144="","",'Catálogo'!$A144)</f>
      </c>
      <c r="B144" s="19">
        <f>IF('Catálogo'!$A144="","",'Catálogo'!$B144)</f>
      </c>
      <c r="C144" s="19">
        <f>IF('Catálogo'!$A144="","",'Catálogo'!$C144)</f>
      </c>
      <c r="D144" s="16">
        <f>IF('Catálogo'!$A144="","",'Catálogo'!$F144)</f>
      </c>
      <c r="E144" s="17">
        <f>IF('Catálogo'!$A144="","",'Catálogo'!$G144)</f>
      </c>
      <c r="F144" s="17">
        <f>IF('Catálogo'!$A144="","",'Catálogo'!$H144)</f>
      </c>
      <c r="G144" s="17">
        <f>IF('Catálogo'!$A144="","",'Catálogo'!$I144)</f>
      </c>
      <c r="H144" s="16">
        <f>IF('Catálogo'!$A144="","",'Catálogo'!$J144)</f>
      </c>
      <c r="I144" s="19">
        <f>IF('Catálogo'!$A144="","",'Catálogo'!$K144)</f>
      </c>
    </row>
    <row r="145">
      <c r="A145" s="19">
        <f>IF('Catálogo'!$A145="","",'Catálogo'!$A145)</f>
      </c>
      <c r="B145" s="19">
        <f>IF('Catálogo'!$A145="","",'Catálogo'!$B145)</f>
      </c>
      <c r="C145" s="19">
        <f>IF('Catálogo'!$A145="","",'Catálogo'!$C145)</f>
      </c>
      <c r="D145" s="16">
        <f>IF('Catálogo'!$A145="","",'Catálogo'!$F145)</f>
      </c>
      <c r="E145" s="17">
        <f>IF('Catálogo'!$A145="","",'Catálogo'!$G145)</f>
      </c>
      <c r="F145" s="17">
        <f>IF('Catálogo'!$A145="","",'Catálogo'!$H145)</f>
      </c>
      <c r="G145" s="17">
        <f>IF('Catálogo'!$A145="","",'Catálogo'!$I145)</f>
      </c>
      <c r="H145" s="16">
        <f>IF('Catálogo'!$A145="","",'Catálogo'!$J145)</f>
      </c>
      <c r="I145" s="19">
        <f>IF('Catálogo'!$A145="","",'Catálogo'!$K145)</f>
      </c>
    </row>
    <row r="146">
      <c r="A146" s="19">
        <f>IF('Catálogo'!$A146="","",'Catálogo'!$A146)</f>
      </c>
      <c r="B146" s="19">
        <f>IF('Catálogo'!$A146="","",'Catálogo'!$B146)</f>
      </c>
      <c r="C146" s="19">
        <f>IF('Catálogo'!$A146="","",'Catálogo'!$C146)</f>
      </c>
      <c r="D146" s="16">
        <f>IF('Catálogo'!$A146="","",'Catálogo'!$F146)</f>
      </c>
      <c r="E146" s="17">
        <f>IF('Catálogo'!$A146="","",'Catálogo'!$G146)</f>
      </c>
      <c r="F146" s="17">
        <f>IF('Catálogo'!$A146="","",'Catálogo'!$H146)</f>
      </c>
      <c r="G146" s="17">
        <f>IF('Catálogo'!$A146="","",'Catálogo'!$I146)</f>
      </c>
      <c r="H146" s="16">
        <f>IF('Catálogo'!$A146="","",'Catálogo'!$J146)</f>
      </c>
      <c r="I146" s="19">
        <f>IF('Catálogo'!$A146="","",'Catálogo'!$K146)</f>
      </c>
    </row>
    <row r="147">
      <c r="A147" s="19">
        <f>IF('Catálogo'!$A147="","",'Catálogo'!$A147)</f>
      </c>
      <c r="B147" s="19">
        <f>IF('Catálogo'!$A147="","",'Catálogo'!$B147)</f>
      </c>
      <c r="C147" s="19">
        <f>IF('Catálogo'!$A147="","",'Catálogo'!$C147)</f>
      </c>
      <c r="D147" s="16">
        <f>IF('Catálogo'!$A147="","",'Catálogo'!$F147)</f>
      </c>
      <c r="E147" s="17">
        <f>IF('Catálogo'!$A147="","",'Catálogo'!$G147)</f>
      </c>
      <c r="F147" s="17">
        <f>IF('Catálogo'!$A147="","",'Catálogo'!$H147)</f>
      </c>
      <c r="G147" s="17">
        <f>IF('Catálogo'!$A147="","",'Catálogo'!$I147)</f>
      </c>
      <c r="H147" s="16">
        <f>IF('Catálogo'!$A147="","",'Catálogo'!$J147)</f>
      </c>
      <c r="I147" s="19">
        <f>IF('Catálogo'!$A147="","",'Catálogo'!$K147)</f>
      </c>
    </row>
    <row r="148">
      <c r="A148" s="19">
        <f>IF('Catálogo'!$A148="","",'Catálogo'!$A148)</f>
      </c>
      <c r="B148" s="19">
        <f>IF('Catálogo'!$A148="","",'Catálogo'!$B148)</f>
      </c>
      <c r="C148" s="19">
        <f>IF('Catálogo'!$A148="","",'Catálogo'!$C148)</f>
      </c>
      <c r="D148" s="16">
        <f>IF('Catálogo'!$A148="","",'Catálogo'!$F148)</f>
      </c>
      <c r="E148" s="17">
        <f>IF('Catálogo'!$A148="","",'Catálogo'!$G148)</f>
      </c>
      <c r="F148" s="17">
        <f>IF('Catálogo'!$A148="","",'Catálogo'!$H148)</f>
      </c>
      <c r="G148" s="17">
        <f>IF('Catálogo'!$A148="","",'Catálogo'!$I148)</f>
      </c>
      <c r="H148" s="16">
        <f>IF('Catálogo'!$A148="","",'Catálogo'!$J148)</f>
      </c>
      <c r="I148" s="19">
        <f>IF('Catálogo'!$A148="","",'Catálogo'!$K148)</f>
      </c>
    </row>
    <row r="149">
      <c r="A149" s="19">
        <f>IF('Catálogo'!$A149="","",'Catálogo'!$A149)</f>
      </c>
      <c r="B149" s="19">
        <f>IF('Catálogo'!$A149="","",'Catálogo'!$B149)</f>
      </c>
      <c r="C149" s="19">
        <f>IF('Catálogo'!$A149="","",'Catálogo'!$C149)</f>
      </c>
      <c r="D149" s="16">
        <f>IF('Catálogo'!$A149="","",'Catálogo'!$F149)</f>
      </c>
      <c r="E149" s="17">
        <f>IF('Catálogo'!$A149="","",'Catálogo'!$G149)</f>
      </c>
      <c r="F149" s="17">
        <f>IF('Catálogo'!$A149="","",'Catálogo'!$H149)</f>
      </c>
      <c r="G149" s="17">
        <f>IF('Catálogo'!$A149="","",'Catálogo'!$I149)</f>
      </c>
      <c r="H149" s="16">
        <f>IF('Catálogo'!$A149="","",'Catálogo'!$J149)</f>
      </c>
      <c r="I149" s="19">
        <f>IF('Catálogo'!$A149="","",'Catálogo'!$K149)</f>
      </c>
    </row>
    <row r="150">
      <c r="A150" s="19">
        <f>IF('Catálogo'!$A150="","",'Catálogo'!$A150)</f>
      </c>
      <c r="B150" s="19">
        <f>IF('Catálogo'!$A150="","",'Catálogo'!$B150)</f>
      </c>
      <c r="C150" s="19">
        <f>IF('Catálogo'!$A150="","",'Catálogo'!$C150)</f>
      </c>
      <c r="D150" s="16">
        <f>IF('Catálogo'!$A150="","",'Catálogo'!$F150)</f>
      </c>
      <c r="E150" s="17">
        <f>IF('Catálogo'!$A150="","",'Catálogo'!$G150)</f>
      </c>
      <c r="F150" s="17">
        <f>IF('Catálogo'!$A150="","",'Catálogo'!$H150)</f>
      </c>
      <c r="G150" s="17">
        <f>IF('Catálogo'!$A150="","",'Catálogo'!$I150)</f>
      </c>
      <c r="H150" s="16">
        <f>IF('Catálogo'!$A150="","",'Catálogo'!$J150)</f>
      </c>
      <c r="I150" s="19">
        <f>IF('Catálogo'!$A150="","",'Catálogo'!$K150)</f>
      </c>
    </row>
    <row r="151">
      <c r="A151" s="19">
        <f>IF('Catálogo'!$A151="","",'Catálogo'!$A151)</f>
      </c>
      <c r="B151" s="19">
        <f>IF('Catálogo'!$A151="","",'Catálogo'!$B151)</f>
      </c>
      <c r="C151" s="19">
        <f>IF('Catálogo'!$A151="","",'Catálogo'!$C151)</f>
      </c>
      <c r="D151" s="16">
        <f>IF('Catálogo'!$A151="","",'Catálogo'!$F151)</f>
      </c>
      <c r="E151" s="17">
        <f>IF('Catálogo'!$A151="","",'Catálogo'!$G151)</f>
      </c>
      <c r="F151" s="17">
        <f>IF('Catálogo'!$A151="","",'Catálogo'!$H151)</f>
      </c>
      <c r="G151" s="17">
        <f>IF('Catálogo'!$A151="","",'Catálogo'!$I151)</f>
      </c>
      <c r="H151" s="16">
        <f>IF('Catálogo'!$A151="","",'Catálogo'!$J151)</f>
      </c>
      <c r="I151" s="19">
        <f>IF('Catálogo'!$A151="","",'Catálogo'!$K151)</f>
      </c>
    </row>
    <row r="152">
      <c r="A152" s="19">
        <f>IF('Catálogo'!$A152="","",'Catálogo'!$A152)</f>
      </c>
      <c r="B152" s="19">
        <f>IF('Catálogo'!$A152="","",'Catálogo'!$B152)</f>
      </c>
      <c r="C152" s="19">
        <f>IF('Catálogo'!$A152="","",'Catálogo'!$C152)</f>
      </c>
      <c r="D152" s="16">
        <f>IF('Catálogo'!$A152="","",'Catálogo'!$F152)</f>
      </c>
      <c r="E152" s="17">
        <f>IF('Catálogo'!$A152="","",'Catálogo'!$G152)</f>
      </c>
      <c r="F152" s="17">
        <f>IF('Catálogo'!$A152="","",'Catálogo'!$H152)</f>
      </c>
      <c r="G152" s="17">
        <f>IF('Catálogo'!$A152="","",'Catálogo'!$I152)</f>
      </c>
      <c r="H152" s="16">
        <f>IF('Catálogo'!$A152="","",'Catálogo'!$J152)</f>
      </c>
      <c r="I152" s="19">
        <f>IF('Catálogo'!$A152="","",'Catálogo'!$K152)</f>
      </c>
    </row>
    <row r="153">
      <c r="A153" s="19">
        <f>IF('Catálogo'!$A153="","",'Catálogo'!$A153)</f>
      </c>
      <c r="B153" s="19">
        <f>IF('Catálogo'!$A153="","",'Catálogo'!$B153)</f>
      </c>
      <c r="C153" s="19">
        <f>IF('Catálogo'!$A153="","",'Catálogo'!$C153)</f>
      </c>
      <c r="D153" s="16">
        <f>IF('Catálogo'!$A153="","",'Catálogo'!$F153)</f>
      </c>
      <c r="E153" s="17">
        <f>IF('Catálogo'!$A153="","",'Catálogo'!$G153)</f>
      </c>
      <c r="F153" s="17">
        <f>IF('Catálogo'!$A153="","",'Catálogo'!$H153)</f>
      </c>
      <c r="G153" s="17">
        <f>IF('Catálogo'!$A153="","",'Catálogo'!$I153)</f>
      </c>
      <c r="H153" s="16">
        <f>IF('Catálogo'!$A153="","",'Catálogo'!$J153)</f>
      </c>
      <c r="I153" s="19">
        <f>IF('Catálogo'!$A153="","",'Catálogo'!$K153)</f>
      </c>
    </row>
    <row r="154">
      <c r="A154" s="19">
        <f>IF('Catálogo'!$A154="","",'Catálogo'!$A154)</f>
      </c>
      <c r="B154" s="19">
        <f>IF('Catálogo'!$A154="","",'Catálogo'!$B154)</f>
      </c>
      <c r="C154" s="19">
        <f>IF('Catálogo'!$A154="","",'Catálogo'!$C154)</f>
      </c>
      <c r="D154" s="16">
        <f>IF('Catálogo'!$A154="","",'Catálogo'!$F154)</f>
      </c>
      <c r="E154" s="17">
        <f>IF('Catálogo'!$A154="","",'Catálogo'!$G154)</f>
      </c>
      <c r="F154" s="17">
        <f>IF('Catálogo'!$A154="","",'Catálogo'!$H154)</f>
      </c>
      <c r="G154" s="17">
        <f>IF('Catálogo'!$A154="","",'Catálogo'!$I154)</f>
      </c>
      <c r="H154" s="16">
        <f>IF('Catálogo'!$A154="","",'Catálogo'!$J154)</f>
      </c>
      <c r="I154" s="19">
        <f>IF('Catálogo'!$A154="","",'Catálogo'!$K154)</f>
      </c>
    </row>
    <row r="155">
      <c r="A155" s="19">
        <f>IF('Catálogo'!$A155="","",'Catálogo'!$A155)</f>
      </c>
      <c r="B155" s="19">
        <f>IF('Catálogo'!$A155="","",'Catálogo'!$B155)</f>
      </c>
      <c r="C155" s="19">
        <f>IF('Catálogo'!$A155="","",'Catálogo'!$C155)</f>
      </c>
      <c r="D155" s="16">
        <f>IF('Catálogo'!$A155="","",'Catálogo'!$F155)</f>
      </c>
      <c r="E155" s="17">
        <f>IF('Catálogo'!$A155="","",'Catálogo'!$G155)</f>
      </c>
      <c r="F155" s="17">
        <f>IF('Catálogo'!$A155="","",'Catálogo'!$H155)</f>
      </c>
      <c r="G155" s="17">
        <f>IF('Catálogo'!$A155="","",'Catálogo'!$I155)</f>
      </c>
      <c r="H155" s="16">
        <f>IF('Catálogo'!$A155="","",'Catálogo'!$J155)</f>
      </c>
      <c r="I155" s="19">
        <f>IF('Catálogo'!$A155="","",'Catálogo'!$K155)</f>
      </c>
    </row>
    <row r="156">
      <c r="A156" s="19">
        <f>IF('Catálogo'!$A156="","",'Catálogo'!$A156)</f>
      </c>
      <c r="B156" s="19">
        <f>IF('Catálogo'!$A156="","",'Catálogo'!$B156)</f>
      </c>
      <c r="C156" s="19">
        <f>IF('Catálogo'!$A156="","",'Catálogo'!$C156)</f>
      </c>
      <c r="D156" s="16">
        <f>IF('Catálogo'!$A156="","",'Catálogo'!$F156)</f>
      </c>
      <c r="E156" s="17">
        <f>IF('Catálogo'!$A156="","",'Catálogo'!$G156)</f>
      </c>
      <c r="F156" s="17">
        <f>IF('Catálogo'!$A156="","",'Catálogo'!$H156)</f>
      </c>
      <c r="G156" s="17">
        <f>IF('Catálogo'!$A156="","",'Catálogo'!$I156)</f>
      </c>
      <c r="H156" s="16">
        <f>IF('Catálogo'!$A156="","",'Catálogo'!$J156)</f>
      </c>
      <c r="I156" s="19">
        <f>IF('Catálogo'!$A156="","",'Catálogo'!$K156)</f>
      </c>
    </row>
    <row r="157">
      <c r="A157" s="19">
        <f>IF('Catálogo'!$A157="","",'Catálogo'!$A157)</f>
      </c>
      <c r="B157" s="19">
        <f>IF('Catálogo'!$A157="","",'Catálogo'!$B157)</f>
      </c>
      <c r="C157" s="19">
        <f>IF('Catálogo'!$A157="","",'Catálogo'!$C157)</f>
      </c>
      <c r="D157" s="16">
        <f>IF('Catálogo'!$A157="","",'Catálogo'!$F157)</f>
      </c>
      <c r="E157" s="17">
        <f>IF('Catálogo'!$A157="","",'Catálogo'!$G157)</f>
      </c>
      <c r="F157" s="17">
        <f>IF('Catálogo'!$A157="","",'Catálogo'!$H157)</f>
      </c>
      <c r="G157" s="17">
        <f>IF('Catálogo'!$A157="","",'Catálogo'!$I157)</f>
      </c>
      <c r="H157" s="16">
        <f>IF('Catálogo'!$A157="","",'Catálogo'!$J157)</f>
      </c>
      <c r="I157" s="19">
        <f>IF('Catálogo'!$A157="","",'Catálogo'!$K157)</f>
      </c>
    </row>
    <row r="158">
      <c r="A158" s="19">
        <f>IF('Catálogo'!$A158="","",'Catálogo'!$A158)</f>
      </c>
      <c r="B158" s="19">
        <f>IF('Catálogo'!$A158="","",'Catálogo'!$B158)</f>
      </c>
      <c r="C158" s="19">
        <f>IF('Catálogo'!$A158="","",'Catálogo'!$C158)</f>
      </c>
      <c r="D158" s="16">
        <f>IF('Catálogo'!$A158="","",'Catálogo'!$F158)</f>
      </c>
      <c r="E158" s="17">
        <f>IF('Catálogo'!$A158="","",'Catálogo'!$G158)</f>
      </c>
      <c r="F158" s="17">
        <f>IF('Catálogo'!$A158="","",'Catálogo'!$H158)</f>
      </c>
      <c r="G158" s="17">
        <f>IF('Catálogo'!$A158="","",'Catálogo'!$I158)</f>
      </c>
      <c r="H158" s="16">
        <f>IF('Catálogo'!$A158="","",'Catálogo'!$J158)</f>
      </c>
      <c r="I158" s="19">
        <f>IF('Catálogo'!$A158="","",'Catálogo'!$K158)</f>
      </c>
    </row>
    <row r="159">
      <c r="A159" s="19">
        <f>IF('Catálogo'!$A159="","",'Catálogo'!$A159)</f>
      </c>
      <c r="B159" s="19">
        <f>IF('Catálogo'!$A159="","",'Catálogo'!$B159)</f>
      </c>
      <c r="C159" s="19">
        <f>IF('Catálogo'!$A159="","",'Catálogo'!$C159)</f>
      </c>
      <c r="D159" s="16">
        <f>IF('Catálogo'!$A159="","",'Catálogo'!$F159)</f>
      </c>
      <c r="E159" s="17">
        <f>IF('Catálogo'!$A159="","",'Catálogo'!$G159)</f>
      </c>
      <c r="F159" s="17">
        <f>IF('Catálogo'!$A159="","",'Catálogo'!$H159)</f>
      </c>
      <c r="G159" s="17">
        <f>IF('Catálogo'!$A159="","",'Catálogo'!$I159)</f>
      </c>
      <c r="H159" s="16">
        <f>IF('Catálogo'!$A159="","",'Catálogo'!$J159)</f>
      </c>
      <c r="I159" s="19">
        <f>IF('Catálogo'!$A159="","",'Catálogo'!$K159)</f>
      </c>
    </row>
    <row r="160">
      <c r="A160" s="19">
        <f>IF('Catálogo'!$A160="","",'Catálogo'!$A160)</f>
      </c>
      <c r="B160" s="19">
        <f>IF('Catálogo'!$A160="","",'Catálogo'!$B160)</f>
      </c>
      <c r="C160" s="19">
        <f>IF('Catálogo'!$A160="","",'Catálogo'!$C160)</f>
      </c>
      <c r="D160" s="16">
        <f>IF('Catálogo'!$A160="","",'Catálogo'!$F160)</f>
      </c>
      <c r="E160" s="17">
        <f>IF('Catálogo'!$A160="","",'Catálogo'!$G160)</f>
      </c>
      <c r="F160" s="17">
        <f>IF('Catálogo'!$A160="","",'Catálogo'!$H160)</f>
      </c>
      <c r="G160" s="17">
        <f>IF('Catálogo'!$A160="","",'Catálogo'!$I160)</f>
      </c>
      <c r="H160" s="16">
        <f>IF('Catálogo'!$A160="","",'Catálogo'!$J160)</f>
      </c>
      <c r="I160" s="19">
        <f>IF('Catálogo'!$A160="","",'Catálogo'!$K160)</f>
      </c>
    </row>
    <row r="161">
      <c r="A161" s="19">
        <f>IF('Catálogo'!$A161="","",'Catálogo'!$A161)</f>
      </c>
      <c r="B161" s="19">
        <f>IF('Catálogo'!$A161="","",'Catálogo'!$B161)</f>
      </c>
      <c r="C161" s="19">
        <f>IF('Catálogo'!$A161="","",'Catálogo'!$C161)</f>
      </c>
      <c r="D161" s="16">
        <f>IF('Catálogo'!$A161="","",'Catálogo'!$F161)</f>
      </c>
      <c r="E161" s="17">
        <f>IF('Catálogo'!$A161="","",'Catálogo'!$G161)</f>
      </c>
      <c r="F161" s="17">
        <f>IF('Catálogo'!$A161="","",'Catálogo'!$H161)</f>
      </c>
      <c r="G161" s="17">
        <f>IF('Catálogo'!$A161="","",'Catálogo'!$I161)</f>
      </c>
      <c r="H161" s="16">
        <f>IF('Catálogo'!$A161="","",'Catálogo'!$J161)</f>
      </c>
      <c r="I161" s="19">
        <f>IF('Catálogo'!$A161="","",'Catálogo'!$K161)</f>
      </c>
    </row>
    <row r="162">
      <c r="A162" s="19">
        <f>IF('Catálogo'!$A162="","",'Catálogo'!$A162)</f>
      </c>
      <c r="B162" s="19">
        <f>IF('Catálogo'!$A162="","",'Catálogo'!$B162)</f>
      </c>
      <c r="C162" s="19">
        <f>IF('Catálogo'!$A162="","",'Catálogo'!$C162)</f>
      </c>
      <c r="D162" s="16">
        <f>IF('Catálogo'!$A162="","",'Catálogo'!$F162)</f>
      </c>
      <c r="E162" s="17">
        <f>IF('Catálogo'!$A162="","",'Catálogo'!$G162)</f>
      </c>
      <c r="F162" s="17">
        <f>IF('Catálogo'!$A162="","",'Catálogo'!$H162)</f>
      </c>
      <c r="G162" s="17">
        <f>IF('Catálogo'!$A162="","",'Catálogo'!$I162)</f>
      </c>
      <c r="H162" s="16">
        <f>IF('Catálogo'!$A162="","",'Catálogo'!$J162)</f>
      </c>
      <c r="I162" s="19">
        <f>IF('Catálogo'!$A162="","",'Catálogo'!$K162)</f>
      </c>
    </row>
    <row r="163">
      <c r="A163" s="19">
        <f>IF('Catálogo'!$A163="","",'Catálogo'!$A163)</f>
      </c>
      <c r="B163" s="19">
        <f>IF('Catálogo'!$A163="","",'Catálogo'!$B163)</f>
      </c>
      <c r="C163" s="19">
        <f>IF('Catálogo'!$A163="","",'Catálogo'!$C163)</f>
      </c>
      <c r="D163" s="16">
        <f>IF('Catálogo'!$A163="","",'Catálogo'!$F163)</f>
      </c>
      <c r="E163" s="17">
        <f>IF('Catálogo'!$A163="","",'Catálogo'!$G163)</f>
      </c>
      <c r="F163" s="17">
        <f>IF('Catálogo'!$A163="","",'Catálogo'!$H163)</f>
      </c>
      <c r="G163" s="17">
        <f>IF('Catálogo'!$A163="","",'Catálogo'!$I163)</f>
      </c>
      <c r="H163" s="16">
        <f>IF('Catálogo'!$A163="","",'Catálogo'!$J163)</f>
      </c>
      <c r="I163" s="19">
        <f>IF('Catálogo'!$A163="","",'Catálogo'!$K163)</f>
      </c>
    </row>
    <row r="164">
      <c r="A164" s="19">
        <f>IF('Catálogo'!$A164="","",'Catálogo'!$A164)</f>
      </c>
      <c r="B164" s="19">
        <f>IF('Catálogo'!$A164="","",'Catálogo'!$B164)</f>
      </c>
      <c r="C164" s="19">
        <f>IF('Catálogo'!$A164="","",'Catálogo'!$C164)</f>
      </c>
      <c r="D164" s="16">
        <f>IF('Catálogo'!$A164="","",'Catálogo'!$F164)</f>
      </c>
      <c r="E164" s="17">
        <f>IF('Catálogo'!$A164="","",'Catálogo'!$G164)</f>
      </c>
      <c r="F164" s="17">
        <f>IF('Catálogo'!$A164="","",'Catálogo'!$H164)</f>
      </c>
      <c r="G164" s="17">
        <f>IF('Catálogo'!$A164="","",'Catálogo'!$I164)</f>
      </c>
      <c r="H164" s="16">
        <f>IF('Catálogo'!$A164="","",'Catálogo'!$J164)</f>
      </c>
      <c r="I164" s="19">
        <f>IF('Catálogo'!$A164="","",'Catálogo'!$K164)</f>
      </c>
    </row>
    <row r="165">
      <c r="A165" s="19">
        <f>IF('Catálogo'!$A165="","",'Catálogo'!$A165)</f>
      </c>
      <c r="B165" s="19">
        <f>IF('Catálogo'!$A165="","",'Catálogo'!$B165)</f>
      </c>
      <c r="C165" s="19">
        <f>IF('Catálogo'!$A165="","",'Catálogo'!$C165)</f>
      </c>
      <c r="D165" s="16">
        <f>IF('Catálogo'!$A165="","",'Catálogo'!$F165)</f>
      </c>
      <c r="E165" s="17">
        <f>IF('Catálogo'!$A165="","",'Catálogo'!$G165)</f>
      </c>
      <c r="F165" s="17">
        <f>IF('Catálogo'!$A165="","",'Catálogo'!$H165)</f>
      </c>
      <c r="G165" s="17">
        <f>IF('Catálogo'!$A165="","",'Catálogo'!$I165)</f>
      </c>
      <c r="H165" s="16">
        <f>IF('Catálogo'!$A165="","",'Catálogo'!$J165)</f>
      </c>
      <c r="I165" s="19">
        <f>IF('Catálogo'!$A165="","",'Catálogo'!$K165)</f>
      </c>
    </row>
    <row r="166">
      <c r="A166" s="19">
        <f>IF('Catálogo'!$A166="","",'Catálogo'!$A166)</f>
      </c>
      <c r="B166" s="19">
        <f>IF('Catálogo'!$A166="","",'Catálogo'!$B166)</f>
      </c>
      <c r="C166" s="19">
        <f>IF('Catálogo'!$A166="","",'Catálogo'!$C166)</f>
      </c>
      <c r="D166" s="16">
        <f>IF('Catálogo'!$A166="","",'Catálogo'!$F166)</f>
      </c>
      <c r="E166" s="17">
        <f>IF('Catálogo'!$A166="","",'Catálogo'!$G166)</f>
      </c>
      <c r="F166" s="17">
        <f>IF('Catálogo'!$A166="","",'Catálogo'!$H166)</f>
      </c>
      <c r="G166" s="17">
        <f>IF('Catálogo'!$A166="","",'Catálogo'!$I166)</f>
      </c>
      <c r="H166" s="16">
        <f>IF('Catálogo'!$A166="","",'Catálogo'!$J166)</f>
      </c>
      <c r="I166" s="19">
        <f>IF('Catálogo'!$A166="","",'Catálogo'!$K166)</f>
      </c>
    </row>
    <row r="167">
      <c r="A167" s="19">
        <f>IF('Catálogo'!$A167="","",'Catálogo'!$A167)</f>
      </c>
      <c r="B167" s="19">
        <f>IF('Catálogo'!$A167="","",'Catálogo'!$B167)</f>
      </c>
      <c r="C167" s="19">
        <f>IF('Catálogo'!$A167="","",'Catálogo'!$C167)</f>
      </c>
      <c r="D167" s="16">
        <f>IF('Catálogo'!$A167="","",'Catálogo'!$F167)</f>
      </c>
      <c r="E167" s="17">
        <f>IF('Catálogo'!$A167="","",'Catálogo'!$G167)</f>
      </c>
      <c r="F167" s="17">
        <f>IF('Catálogo'!$A167="","",'Catálogo'!$H167)</f>
      </c>
      <c r="G167" s="17">
        <f>IF('Catálogo'!$A167="","",'Catálogo'!$I167)</f>
      </c>
      <c r="H167" s="16">
        <f>IF('Catálogo'!$A167="","",'Catálogo'!$J167)</f>
      </c>
      <c r="I167" s="19">
        <f>IF('Catálogo'!$A167="","",'Catálogo'!$K167)</f>
      </c>
    </row>
    <row r="168">
      <c r="A168" s="19">
        <f>IF('Catálogo'!$A168="","",'Catálogo'!$A168)</f>
      </c>
      <c r="B168" s="19">
        <f>IF('Catálogo'!$A168="","",'Catálogo'!$B168)</f>
      </c>
      <c r="C168" s="19">
        <f>IF('Catálogo'!$A168="","",'Catálogo'!$C168)</f>
      </c>
      <c r="D168" s="16">
        <f>IF('Catálogo'!$A168="","",'Catálogo'!$F168)</f>
      </c>
      <c r="E168" s="17">
        <f>IF('Catálogo'!$A168="","",'Catálogo'!$G168)</f>
      </c>
      <c r="F168" s="17">
        <f>IF('Catálogo'!$A168="","",'Catálogo'!$H168)</f>
      </c>
      <c r="G168" s="17">
        <f>IF('Catálogo'!$A168="","",'Catálogo'!$I168)</f>
      </c>
      <c r="H168" s="16">
        <f>IF('Catálogo'!$A168="","",'Catálogo'!$J168)</f>
      </c>
      <c r="I168" s="19">
        <f>IF('Catálogo'!$A168="","",'Catálogo'!$K168)</f>
      </c>
    </row>
    <row r="169">
      <c r="A169" s="19">
        <f>IF('Catálogo'!$A169="","",'Catálogo'!$A169)</f>
      </c>
      <c r="B169" s="19">
        <f>IF('Catálogo'!$A169="","",'Catálogo'!$B169)</f>
      </c>
      <c r="C169" s="19">
        <f>IF('Catálogo'!$A169="","",'Catálogo'!$C169)</f>
      </c>
      <c r="D169" s="16">
        <f>IF('Catálogo'!$A169="","",'Catálogo'!$F169)</f>
      </c>
      <c r="E169" s="17">
        <f>IF('Catálogo'!$A169="","",'Catálogo'!$G169)</f>
      </c>
      <c r="F169" s="17">
        <f>IF('Catálogo'!$A169="","",'Catálogo'!$H169)</f>
      </c>
      <c r="G169" s="17">
        <f>IF('Catálogo'!$A169="","",'Catálogo'!$I169)</f>
      </c>
      <c r="H169" s="16">
        <f>IF('Catálogo'!$A169="","",'Catálogo'!$J169)</f>
      </c>
      <c r="I169" s="19">
        <f>IF('Catálogo'!$A169="","",'Catálogo'!$K169)</f>
      </c>
    </row>
    <row r="170">
      <c r="A170" s="19">
        <f>IF('Catálogo'!$A170="","",'Catálogo'!$A170)</f>
      </c>
      <c r="B170" s="19">
        <f>IF('Catálogo'!$A170="","",'Catálogo'!$B170)</f>
      </c>
      <c r="C170" s="19">
        <f>IF('Catálogo'!$A170="","",'Catálogo'!$C170)</f>
      </c>
      <c r="D170" s="16">
        <f>IF('Catálogo'!$A170="","",'Catálogo'!$F170)</f>
      </c>
      <c r="E170" s="17">
        <f>IF('Catálogo'!$A170="","",'Catálogo'!$G170)</f>
      </c>
      <c r="F170" s="17">
        <f>IF('Catálogo'!$A170="","",'Catálogo'!$H170)</f>
      </c>
      <c r="G170" s="17">
        <f>IF('Catálogo'!$A170="","",'Catálogo'!$I170)</f>
      </c>
      <c r="H170" s="16">
        <f>IF('Catálogo'!$A170="","",'Catálogo'!$J170)</f>
      </c>
      <c r="I170" s="19">
        <f>IF('Catálogo'!$A170="","",'Catálogo'!$K170)</f>
      </c>
    </row>
    <row r="171">
      <c r="A171" s="19">
        <f>IF('Catálogo'!$A171="","",'Catálogo'!$A171)</f>
      </c>
      <c r="B171" s="19">
        <f>IF('Catálogo'!$A171="","",'Catálogo'!$B171)</f>
      </c>
      <c r="C171" s="19">
        <f>IF('Catálogo'!$A171="","",'Catálogo'!$C171)</f>
      </c>
      <c r="D171" s="16">
        <f>IF('Catálogo'!$A171="","",'Catálogo'!$F171)</f>
      </c>
      <c r="E171" s="17">
        <f>IF('Catálogo'!$A171="","",'Catálogo'!$G171)</f>
      </c>
      <c r="F171" s="17">
        <f>IF('Catálogo'!$A171="","",'Catálogo'!$H171)</f>
      </c>
      <c r="G171" s="17">
        <f>IF('Catálogo'!$A171="","",'Catálogo'!$I171)</f>
      </c>
      <c r="H171" s="16">
        <f>IF('Catálogo'!$A171="","",'Catálogo'!$J171)</f>
      </c>
      <c r="I171" s="19">
        <f>IF('Catálogo'!$A171="","",'Catálogo'!$K171)</f>
      </c>
    </row>
    <row r="172">
      <c r="A172" s="19">
        <f>IF('Catálogo'!$A172="","",'Catálogo'!$A172)</f>
      </c>
      <c r="B172" s="19">
        <f>IF('Catálogo'!$A172="","",'Catálogo'!$B172)</f>
      </c>
      <c r="C172" s="19">
        <f>IF('Catálogo'!$A172="","",'Catálogo'!$C172)</f>
      </c>
      <c r="D172" s="16">
        <f>IF('Catálogo'!$A172="","",'Catálogo'!$F172)</f>
      </c>
      <c r="E172" s="17">
        <f>IF('Catálogo'!$A172="","",'Catálogo'!$G172)</f>
      </c>
      <c r="F172" s="17">
        <f>IF('Catálogo'!$A172="","",'Catálogo'!$H172)</f>
      </c>
      <c r="G172" s="17">
        <f>IF('Catálogo'!$A172="","",'Catálogo'!$I172)</f>
      </c>
      <c r="H172" s="16">
        <f>IF('Catálogo'!$A172="","",'Catálogo'!$J172)</f>
      </c>
      <c r="I172" s="19">
        <f>IF('Catálogo'!$A172="","",'Catálogo'!$K172)</f>
      </c>
    </row>
    <row r="173">
      <c r="A173" s="19">
        <f>IF('Catálogo'!$A173="","",'Catálogo'!$A173)</f>
      </c>
      <c r="B173" s="19">
        <f>IF('Catálogo'!$A173="","",'Catálogo'!$B173)</f>
      </c>
      <c r="C173" s="19">
        <f>IF('Catálogo'!$A173="","",'Catálogo'!$C173)</f>
      </c>
      <c r="D173" s="16">
        <f>IF('Catálogo'!$A173="","",'Catálogo'!$F173)</f>
      </c>
      <c r="E173" s="17">
        <f>IF('Catálogo'!$A173="","",'Catálogo'!$G173)</f>
      </c>
      <c r="F173" s="17">
        <f>IF('Catálogo'!$A173="","",'Catálogo'!$H173)</f>
      </c>
      <c r="G173" s="17">
        <f>IF('Catálogo'!$A173="","",'Catálogo'!$I173)</f>
      </c>
      <c r="H173" s="16">
        <f>IF('Catálogo'!$A173="","",'Catálogo'!$J173)</f>
      </c>
      <c r="I173" s="19">
        <f>IF('Catálogo'!$A173="","",'Catálogo'!$K173)</f>
      </c>
    </row>
    <row r="174">
      <c r="A174" s="19">
        <f>IF('Catálogo'!$A174="","",'Catálogo'!$A174)</f>
      </c>
      <c r="B174" s="19">
        <f>IF('Catálogo'!$A174="","",'Catálogo'!$B174)</f>
      </c>
      <c r="C174" s="19">
        <f>IF('Catálogo'!$A174="","",'Catálogo'!$C174)</f>
      </c>
      <c r="D174" s="16">
        <f>IF('Catálogo'!$A174="","",'Catálogo'!$F174)</f>
      </c>
      <c r="E174" s="17">
        <f>IF('Catálogo'!$A174="","",'Catálogo'!$G174)</f>
      </c>
      <c r="F174" s="17">
        <f>IF('Catálogo'!$A174="","",'Catálogo'!$H174)</f>
      </c>
      <c r="G174" s="17">
        <f>IF('Catálogo'!$A174="","",'Catálogo'!$I174)</f>
      </c>
      <c r="H174" s="16">
        <f>IF('Catálogo'!$A174="","",'Catálogo'!$J174)</f>
      </c>
      <c r="I174" s="19">
        <f>IF('Catálogo'!$A174="","",'Catálogo'!$K174)</f>
      </c>
    </row>
    <row r="175">
      <c r="A175" s="19">
        <f>IF('Catálogo'!$A175="","",'Catálogo'!$A175)</f>
      </c>
      <c r="B175" s="19">
        <f>IF('Catálogo'!$A175="","",'Catálogo'!$B175)</f>
      </c>
      <c r="C175" s="19">
        <f>IF('Catálogo'!$A175="","",'Catálogo'!$C175)</f>
      </c>
      <c r="D175" s="16">
        <f>IF('Catálogo'!$A175="","",'Catálogo'!$F175)</f>
      </c>
      <c r="E175" s="17">
        <f>IF('Catálogo'!$A175="","",'Catálogo'!$G175)</f>
      </c>
      <c r="F175" s="17">
        <f>IF('Catálogo'!$A175="","",'Catálogo'!$H175)</f>
      </c>
      <c r="G175" s="17">
        <f>IF('Catálogo'!$A175="","",'Catálogo'!$I175)</f>
      </c>
      <c r="H175" s="16">
        <f>IF('Catálogo'!$A175="","",'Catálogo'!$J175)</f>
      </c>
      <c r="I175" s="19">
        <f>IF('Catálogo'!$A175="","",'Catálogo'!$K175)</f>
      </c>
    </row>
    <row r="176">
      <c r="A176" s="19">
        <f>IF('Catálogo'!$A176="","",'Catálogo'!$A176)</f>
      </c>
      <c r="B176" s="19">
        <f>IF('Catálogo'!$A176="","",'Catálogo'!$B176)</f>
      </c>
      <c r="C176" s="19">
        <f>IF('Catálogo'!$A176="","",'Catálogo'!$C176)</f>
      </c>
      <c r="D176" s="16">
        <f>IF('Catálogo'!$A176="","",'Catálogo'!$F176)</f>
      </c>
      <c r="E176" s="17">
        <f>IF('Catálogo'!$A176="","",'Catálogo'!$G176)</f>
      </c>
      <c r="F176" s="17">
        <f>IF('Catálogo'!$A176="","",'Catálogo'!$H176)</f>
      </c>
      <c r="G176" s="17">
        <f>IF('Catálogo'!$A176="","",'Catálogo'!$I176)</f>
      </c>
      <c r="H176" s="16">
        <f>IF('Catálogo'!$A176="","",'Catálogo'!$J176)</f>
      </c>
      <c r="I176" s="19">
        <f>IF('Catálogo'!$A176="","",'Catálogo'!$K176)</f>
      </c>
    </row>
    <row r="177">
      <c r="A177" s="19">
        <f>IF('Catálogo'!$A177="","",'Catálogo'!$A177)</f>
      </c>
      <c r="B177" s="19">
        <f>IF('Catálogo'!$A177="","",'Catálogo'!$B177)</f>
      </c>
      <c r="C177" s="19">
        <f>IF('Catálogo'!$A177="","",'Catálogo'!$C177)</f>
      </c>
      <c r="D177" s="16">
        <f>IF('Catálogo'!$A177="","",'Catálogo'!$F177)</f>
      </c>
      <c r="E177" s="17">
        <f>IF('Catálogo'!$A177="","",'Catálogo'!$G177)</f>
      </c>
      <c r="F177" s="17">
        <f>IF('Catálogo'!$A177="","",'Catálogo'!$H177)</f>
      </c>
      <c r="G177" s="17">
        <f>IF('Catálogo'!$A177="","",'Catálogo'!$I177)</f>
      </c>
      <c r="H177" s="16">
        <f>IF('Catálogo'!$A177="","",'Catálogo'!$J177)</f>
      </c>
      <c r="I177" s="19">
        <f>IF('Catálogo'!$A177="","",'Catálogo'!$K177)</f>
      </c>
    </row>
    <row r="178">
      <c r="A178" s="19">
        <f>IF('Catálogo'!$A178="","",'Catálogo'!$A178)</f>
      </c>
      <c r="B178" s="19">
        <f>IF('Catálogo'!$A178="","",'Catálogo'!$B178)</f>
      </c>
      <c r="C178" s="19">
        <f>IF('Catálogo'!$A178="","",'Catálogo'!$C178)</f>
      </c>
      <c r="D178" s="16">
        <f>IF('Catálogo'!$A178="","",'Catálogo'!$F178)</f>
      </c>
      <c r="E178" s="17">
        <f>IF('Catálogo'!$A178="","",'Catálogo'!$G178)</f>
      </c>
      <c r="F178" s="17">
        <f>IF('Catálogo'!$A178="","",'Catálogo'!$H178)</f>
      </c>
      <c r="G178" s="17">
        <f>IF('Catálogo'!$A178="","",'Catálogo'!$I178)</f>
      </c>
      <c r="H178" s="16">
        <f>IF('Catálogo'!$A178="","",'Catálogo'!$J178)</f>
      </c>
      <c r="I178" s="19">
        <f>IF('Catálogo'!$A178="","",'Catálogo'!$K178)</f>
      </c>
    </row>
    <row r="179">
      <c r="A179" s="19">
        <f>IF('Catálogo'!$A179="","",'Catálogo'!$A179)</f>
      </c>
      <c r="B179" s="19">
        <f>IF('Catálogo'!$A179="","",'Catálogo'!$B179)</f>
      </c>
      <c r="C179" s="19">
        <f>IF('Catálogo'!$A179="","",'Catálogo'!$C179)</f>
      </c>
      <c r="D179" s="16">
        <f>IF('Catálogo'!$A179="","",'Catálogo'!$F179)</f>
      </c>
      <c r="E179" s="17">
        <f>IF('Catálogo'!$A179="","",'Catálogo'!$G179)</f>
      </c>
      <c r="F179" s="17">
        <f>IF('Catálogo'!$A179="","",'Catálogo'!$H179)</f>
      </c>
      <c r="G179" s="17">
        <f>IF('Catálogo'!$A179="","",'Catálogo'!$I179)</f>
      </c>
      <c r="H179" s="16">
        <f>IF('Catálogo'!$A179="","",'Catálogo'!$J179)</f>
      </c>
      <c r="I179" s="19">
        <f>IF('Catálogo'!$A179="","",'Catálogo'!$K179)</f>
      </c>
    </row>
    <row r="180">
      <c r="A180" s="19">
        <f>IF('Catálogo'!$A180="","",'Catálogo'!$A180)</f>
      </c>
      <c r="B180" s="19">
        <f>IF('Catálogo'!$A180="","",'Catálogo'!$B180)</f>
      </c>
      <c r="C180" s="19">
        <f>IF('Catálogo'!$A180="","",'Catálogo'!$C180)</f>
      </c>
      <c r="D180" s="16">
        <f>IF('Catálogo'!$A180="","",'Catálogo'!$F180)</f>
      </c>
      <c r="E180" s="17">
        <f>IF('Catálogo'!$A180="","",'Catálogo'!$G180)</f>
      </c>
      <c r="F180" s="17">
        <f>IF('Catálogo'!$A180="","",'Catálogo'!$H180)</f>
      </c>
      <c r="G180" s="17">
        <f>IF('Catálogo'!$A180="","",'Catálogo'!$I180)</f>
      </c>
      <c r="H180" s="16">
        <f>IF('Catálogo'!$A180="","",'Catálogo'!$J180)</f>
      </c>
      <c r="I180" s="19">
        <f>IF('Catálogo'!$A180="","",'Catálogo'!$K180)</f>
      </c>
    </row>
    <row r="181">
      <c r="A181" s="19">
        <f>IF('Catálogo'!$A181="","",'Catálogo'!$A181)</f>
      </c>
      <c r="B181" s="19">
        <f>IF('Catálogo'!$A181="","",'Catálogo'!$B181)</f>
      </c>
      <c r="C181" s="19">
        <f>IF('Catálogo'!$A181="","",'Catálogo'!$C181)</f>
      </c>
      <c r="D181" s="16">
        <f>IF('Catálogo'!$A181="","",'Catálogo'!$F181)</f>
      </c>
      <c r="E181" s="17">
        <f>IF('Catálogo'!$A181="","",'Catálogo'!$G181)</f>
      </c>
      <c r="F181" s="17">
        <f>IF('Catálogo'!$A181="","",'Catálogo'!$H181)</f>
      </c>
      <c r="G181" s="17">
        <f>IF('Catálogo'!$A181="","",'Catálogo'!$I181)</f>
      </c>
      <c r="H181" s="16">
        <f>IF('Catálogo'!$A181="","",'Catálogo'!$J181)</f>
      </c>
      <c r="I181" s="19">
        <f>IF('Catálogo'!$A181="","",'Catálogo'!$K181)</f>
      </c>
    </row>
    <row r="182">
      <c r="A182" s="19">
        <f>IF('Catálogo'!$A182="","",'Catálogo'!$A182)</f>
      </c>
      <c r="B182" s="19">
        <f>IF('Catálogo'!$A182="","",'Catálogo'!$B182)</f>
      </c>
      <c r="C182" s="19">
        <f>IF('Catálogo'!$A182="","",'Catálogo'!$C182)</f>
      </c>
      <c r="D182" s="16">
        <f>IF('Catálogo'!$A182="","",'Catálogo'!$F182)</f>
      </c>
      <c r="E182" s="17">
        <f>IF('Catálogo'!$A182="","",'Catálogo'!$G182)</f>
      </c>
      <c r="F182" s="17">
        <f>IF('Catálogo'!$A182="","",'Catálogo'!$H182)</f>
      </c>
      <c r="G182" s="17">
        <f>IF('Catálogo'!$A182="","",'Catálogo'!$I182)</f>
      </c>
      <c r="H182" s="16">
        <f>IF('Catálogo'!$A182="","",'Catálogo'!$J182)</f>
      </c>
      <c r="I182" s="19">
        <f>IF('Catálogo'!$A182="","",'Catálogo'!$K182)</f>
      </c>
    </row>
    <row r="183">
      <c r="A183" s="19">
        <f>IF('Catálogo'!$A183="","",'Catálogo'!$A183)</f>
      </c>
      <c r="B183" s="19">
        <f>IF('Catálogo'!$A183="","",'Catálogo'!$B183)</f>
      </c>
      <c r="C183" s="19">
        <f>IF('Catálogo'!$A183="","",'Catálogo'!$C183)</f>
      </c>
      <c r="D183" s="16">
        <f>IF('Catálogo'!$A183="","",'Catálogo'!$F183)</f>
      </c>
      <c r="E183" s="17">
        <f>IF('Catálogo'!$A183="","",'Catálogo'!$G183)</f>
      </c>
      <c r="F183" s="17">
        <f>IF('Catálogo'!$A183="","",'Catálogo'!$H183)</f>
      </c>
      <c r="G183" s="17">
        <f>IF('Catálogo'!$A183="","",'Catálogo'!$I183)</f>
      </c>
      <c r="H183" s="16">
        <f>IF('Catálogo'!$A183="","",'Catálogo'!$J183)</f>
      </c>
      <c r="I183" s="19">
        <f>IF('Catálogo'!$A183="","",'Catálogo'!$K183)</f>
      </c>
    </row>
    <row r="184">
      <c r="A184" s="19">
        <f>IF('Catálogo'!$A184="","",'Catálogo'!$A184)</f>
      </c>
      <c r="B184" s="19">
        <f>IF('Catálogo'!$A184="","",'Catálogo'!$B184)</f>
      </c>
      <c r="C184" s="19">
        <f>IF('Catálogo'!$A184="","",'Catálogo'!$C184)</f>
      </c>
      <c r="D184" s="16">
        <f>IF('Catálogo'!$A184="","",'Catálogo'!$F184)</f>
      </c>
      <c r="E184" s="17">
        <f>IF('Catálogo'!$A184="","",'Catálogo'!$G184)</f>
      </c>
      <c r="F184" s="17">
        <f>IF('Catálogo'!$A184="","",'Catálogo'!$H184)</f>
      </c>
      <c r="G184" s="17">
        <f>IF('Catálogo'!$A184="","",'Catálogo'!$I184)</f>
      </c>
      <c r="H184" s="16">
        <f>IF('Catálogo'!$A184="","",'Catálogo'!$J184)</f>
      </c>
      <c r="I184" s="19">
        <f>IF('Catálogo'!$A184="","",'Catálogo'!$K184)</f>
      </c>
    </row>
    <row r="185">
      <c r="A185" s="19">
        <f>IF('Catálogo'!$A185="","",'Catálogo'!$A185)</f>
      </c>
      <c r="B185" s="19">
        <f>IF('Catálogo'!$A185="","",'Catálogo'!$B185)</f>
      </c>
      <c r="C185" s="19">
        <f>IF('Catálogo'!$A185="","",'Catálogo'!$C185)</f>
      </c>
      <c r="D185" s="16">
        <f>IF('Catálogo'!$A185="","",'Catálogo'!$F185)</f>
      </c>
      <c r="E185" s="17">
        <f>IF('Catálogo'!$A185="","",'Catálogo'!$G185)</f>
      </c>
      <c r="F185" s="17">
        <f>IF('Catálogo'!$A185="","",'Catálogo'!$H185)</f>
      </c>
      <c r="G185" s="17">
        <f>IF('Catálogo'!$A185="","",'Catálogo'!$I185)</f>
      </c>
      <c r="H185" s="16">
        <f>IF('Catálogo'!$A185="","",'Catálogo'!$J185)</f>
      </c>
      <c r="I185" s="19">
        <f>IF('Catálogo'!$A185="","",'Catálogo'!$K185)</f>
      </c>
    </row>
    <row r="186">
      <c r="A186" s="19">
        <f>IF('Catálogo'!$A186="","",'Catálogo'!$A186)</f>
      </c>
      <c r="B186" s="19">
        <f>IF('Catálogo'!$A186="","",'Catálogo'!$B186)</f>
      </c>
      <c r="C186" s="19">
        <f>IF('Catálogo'!$A186="","",'Catálogo'!$C186)</f>
      </c>
      <c r="D186" s="16">
        <f>IF('Catálogo'!$A186="","",'Catálogo'!$F186)</f>
      </c>
      <c r="E186" s="17">
        <f>IF('Catálogo'!$A186="","",'Catálogo'!$G186)</f>
      </c>
      <c r="F186" s="17">
        <f>IF('Catálogo'!$A186="","",'Catálogo'!$H186)</f>
      </c>
      <c r="G186" s="17">
        <f>IF('Catálogo'!$A186="","",'Catálogo'!$I186)</f>
      </c>
      <c r="H186" s="16">
        <f>IF('Catálogo'!$A186="","",'Catálogo'!$J186)</f>
      </c>
      <c r="I186" s="19">
        <f>IF('Catálogo'!$A186="","",'Catálogo'!$K186)</f>
      </c>
    </row>
    <row r="187">
      <c r="A187" s="19">
        <f>IF('Catálogo'!$A187="","",'Catálogo'!$A187)</f>
      </c>
      <c r="B187" s="19">
        <f>IF('Catálogo'!$A187="","",'Catálogo'!$B187)</f>
      </c>
      <c r="C187" s="19">
        <f>IF('Catálogo'!$A187="","",'Catálogo'!$C187)</f>
      </c>
      <c r="D187" s="16">
        <f>IF('Catálogo'!$A187="","",'Catálogo'!$F187)</f>
      </c>
      <c r="E187" s="17">
        <f>IF('Catálogo'!$A187="","",'Catálogo'!$G187)</f>
      </c>
      <c r="F187" s="17">
        <f>IF('Catálogo'!$A187="","",'Catálogo'!$H187)</f>
      </c>
      <c r="G187" s="17">
        <f>IF('Catálogo'!$A187="","",'Catálogo'!$I187)</f>
      </c>
      <c r="H187" s="16">
        <f>IF('Catálogo'!$A187="","",'Catálogo'!$J187)</f>
      </c>
      <c r="I187" s="19">
        <f>IF('Catálogo'!$A187="","",'Catálogo'!$K187)</f>
      </c>
    </row>
    <row r="188">
      <c r="A188" s="19">
        <f>IF('Catálogo'!$A188="","",'Catálogo'!$A188)</f>
      </c>
      <c r="B188" s="19">
        <f>IF('Catálogo'!$A188="","",'Catálogo'!$B188)</f>
      </c>
      <c r="C188" s="19">
        <f>IF('Catálogo'!$A188="","",'Catálogo'!$C188)</f>
      </c>
      <c r="D188" s="16">
        <f>IF('Catálogo'!$A188="","",'Catálogo'!$F188)</f>
      </c>
      <c r="E188" s="17">
        <f>IF('Catálogo'!$A188="","",'Catálogo'!$G188)</f>
      </c>
      <c r="F188" s="17">
        <f>IF('Catálogo'!$A188="","",'Catálogo'!$H188)</f>
      </c>
      <c r="G188" s="17">
        <f>IF('Catálogo'!$A188="","",'Catálogo'!$I188)</f>
      </c>
      <c r="H188" s="16">
        <f>IF('Catálogo'!$A188="","",'Catálogo'!$J188)</f>
      </c>
      <c r="I188" s="19">
        <f>IF('Catálogo'!$A188="","",'Catálogo'!$K188)</f>
      </c>
    </row>
    <row r="189">
      <c r="A189" s="19">
        <f>IF('Catálogo'!$A189="","",'Catálogo'!$A189)</f>
      </c>
      <c r="B189" s="19">
        <f>IF('Catálogo'!$A189="","",'Catálogo'!$B189)</f>
      </c>
      <c r="C189" s="19">
        <f>IF('Catálogo'!$A189="","",'Catálogo'!$C189)</f>
      </c>
      <c r="D189" s="16">
        <f>IF('Catálogo'!$A189="","",'Catálogo'!$F189)</f>
      </c>
      <c r="E189" s="17">
        <f>IF('Catálogo'!$A189="","",'Catálogo'!$G189)</f>
      </c>
      <c r="F189" s="17">
        <f>IF('Catálogo'!$A189="","",'Catálogo'!$H189)</f>
      </c>
      <c r="G189" s="17">
        <f>IF('Catálogo'!$A189="","",'Catálogo'!$I189)</f>
      </c>
      <c r="H189" s="16">
        <f>IF('Catálogo'!$A189="","",'Catálogo'!$J189)</f>
      </c>
      <c r="I189" s="19">
        <f>IF('Catálogo'!$A189="","",'Catálogo'!$K189)</f>
      </c>
    </row>
    <row r="190">
      <c r="A190" s="19">
        <f>IF('Catálogo'!$A190="","",'Catálogo'!$A190)</f>
      </c>
      <c r="B190" s="19">
        <f>IF('Catálogo'!$A190="","",'Catálogo'!$B190)</f>
      </c>
      <c r="C190" s="19">
        <f>IF('Catálogo'!$A190="","",'Catálogo'!$C190)</f>
      </c>
      <c r="D190" s="16">
        <f>IF('Catálogo'!$A190="","",'Catálogo'!$F190)</f>
      </c>
      <c r="E190" s="17">
        <f>IF('Catálogo'!$A190="","",'Catálogo'!$G190)</f>
      </c>
      <c r="F190" s="17">
        <f>IF('Catálogo'!$A190="","",'Catálogo'!$H190)</f>
      </c>
      <c r="G190" s="17">
        <f>IF('Catálogo'!$A190="","",'Catálogo'!$I190)</f>
      </c>
      <c r="H190" s="16">
        <f>IF('Catálogo'!$A190="","",'Catálogo'!$J190)</f>
      </c>
      <c r="I190" s="19">
        <f>IF('Catálogo'!$A190="","",'Catálogo'!$K190)</f>
      </c>
    </row>
    <row r="191">
      <c r="A191" s="19">
        <f>IF('Catálogo'!$A191="","",'Catálogo'!$A191)</f>
      </c>
      <c r="B191" s="19">
        <f>IF('Catálogo'!$A191="","",'Catálogo'!$B191)</f>
      </c>
      <c r="C191" s="19">
        <f>IF('Catálogo'!$A191="","",'Catálogo'!$C191)</f>
      </c>
      <c r="D191" s="16">
        <f>IF('Catálogo'!$A191="","",'Catálogo'!$F191)</f>
      </c>
      <c r="E191" s="17">
        <f>IF('Catálogo'!$A191="","",'Catálogo'!$G191)</f>
      </c>
      <c r="F191" s="17">
        <f>IF('Catálogo'!$A191="","",'Catálogo'!$H191)</f>
      </c>
      <c r="G191" s="17">
        <f>IF('Catálogo'!$A191="","",'Catálogo'!$I191)</f>
      </c>
      <c r="H191" s="16">
        <f>IF('Catálogo'!$A191="","",'Catálogo'!$J191)</f>
      </c>
      <c r="I191" s="19">
        <f>IF('Catálogo'!$A191="","",'Catálogo'!$K191)</f>
      </c>
    </row>
    <row r="192">
      <c r="A192" s="19">
        <f>IF('Catálogo'!$A192="","",'Catálogo'!$A192)</f>
      </c>
      <c r="B192" s="19">
        <f>IF('Catálogo'!$A192="","",'Catálogo'!$B192)</f>
      </c>
      <c r="C192" s="19">
        <f>IF('Catálogo'!$A192="","",'Catálogo'!$C192)</f>
      </c>
      <c r="D192" s="16">
        <f>IF('Catálogo'!$A192="","",'Catálogo'!$F192)</f>
      </c>
      <c r="E192" s="17">
        <f>IF('Catálogo'!$A192="","",'Catálogo'!$G192)</f>
      </c>
      <c r="F192" s="17">
        <f>IF('Catálogo'!$A192="","",'Catálogo'!$H192)</f>
      </c>
      <c r="G192" s="17">
        <f>IF('Catálogo'!$A192="","",'Catálogo'!$I192)</f>
      </c>
      <c r="H192" s="16">
        <f>IF('Catálogo'!$A192="","",'Catálogo'!$J192)</f>
      </c>
      <c r="I192" s="19">
        <f>IF('Catálogo'!$A192="","",'Catálogo'!$K192)</f>
      </c>
    </row>
    <row r="193">
      <c r="A193" s="19">
        <f>IF('Catálogo'!$A193="","",'Catálogo'!$A193)</f>
      </c>
      <c r="B193" s="19">
        <f>IF('Catálogo'!$A193="","",'Catálogo'!$B193)</f>
      </c>
      <c r="C193" s="19">
        <f>IF('Catálogo'!$A193="","",'Catálogo'!$C193)</f>
      </c>
      <c r="D193" s="16">
        <f>IF('Catálogo'!$A193="","",'Catálogo'!$F193)</f>
      </c>
      <c r="E193" s="17">
        <f>IF('Catálogo'!$A193="","",'Catálogo'!$G193)</f>
      </c>
      <c r="F193" s="17">
        <f>IF('Catálogo'!$A193="","",'Catálogo'!$H193)</f>
      </c>
      <c r="G193" s="17">
        <f>IF('Catálogo'!$A193="","",'Catálogo'!$I193)</f>
      </c>
      <c r="H193" s="16">
        <f>IF('Catálogo'!$A193="","",'Catálogo'!$J193)</f>
      </c>
      <c r="I193" s="19">
        <f>IF('Catálogo'!$A193="","",'Catálogo'!$K193)</f>
      </c>
    </row>
    <row r="194">
      <c r="A194" s="19">
        <f>IF('Catálogo'!$A194="","",'Catálogo'!$A194)</f>
      </c>
      <c r="B194" s="19">
        <f>IF('Catálogo'!$A194="","",'Catálogo'!$B194)</f>
      </c>
      <c r="C194" s="19">
        <f>IF('Catálogo'!$A194="","",'Catálogo'!$C194)</f>
      </c>
      <c r="D194" s="16">
        <f>IF('Catálogo'!$A194="","",'Catálogo'!$F194)</f>
      </c>
      <c r="E194" s="17">
        <f>IF('Catálogo'!$A194="","",'Catálogo'!$G194)</f>
      </c>
      <c r="F194" s="17">
        <f>IF('Catálogo'!$A194="","",'Catálogo'!$H194)</f>
      </c>
      <c r="G194" s="17">
        <f>IF('Catálogo'!$A194="","",'Catálogo'!$I194)</f>
      </c>
      <c r="H194" s="16">
        <f>IF('Catálogo'!$A194="","",'Catálogo'!$J194)</f>
      </c>
      <c r="I194" s="19">
        <f>IF('Catálogo'!$A194="","",'Catálogo'!$K194)</f>
      </c>
    </row>
    <row r="195">
      <c r="A195" s="19">
        <f>IF('Catálogo'!$A195="","",'Catálogo'!$A195)</f>
      </c>
      <c r="B195" s="19">
        <f>IF('Catálogo'!$A195="","",'Catálogo'!$B195)</f>
      </c>
      <c r="C195" s="19">
        <f>IF('Catálogo'!$A195="","",'Catálogo'!$C195)</f>
      </c>
      <c r="D195" s="16">
        <f>IF('Catálogo'!$A195="","",'Catálogo'!$F195)</f>
      </c>
      <c r="E195" s="17">
        <f>IF('Catálogo'!$A195="","",'Catálogo'!$G195)</f>
      </c>
      <c r="F195" s="17">
        <f>IF('Catálogo'!$A195="","",'Catálogo'!$H195)</f>
      </c>
      <c r="G195" s="17">
        <f>IF('Catálogo'!$A195="","",'Catálogo'!$I195)</f>
      </c>
      <c r="H195" s="16">
        <f>IF('Catálogo'!$A195="","",'Catálogo'!$J195)</f>
      </c>
      <c r="I195" s="19">
        <f>IF('Catálogo'!$A195="","",'Catálogo'!$K195)</f>
      </c>
    </row>
    <row r="196">
      <c r="A196" s="19">
        <f>IF('Catálogo'!$A196="","",'Catálogo'!$A196)</f>
      </c>
      <c r="B196" s="19">
        <f>IF('Catálogo'!$A196="","",'Catálogo'!$B196)</f>
      </c>
      <c r="C196" s="19">
        <f>IF('Catálogo'!$A196="","",'Catálogo'!$C196)</f>
      </c>
      <c r="D196" s="16">
        <f>IF('Catálogo'!$A196="","",'Catálogo'!$F196)</f>
      </c>
      <c r="E196" s="17">
        <f>IF('Catálogo'!$A196="","",'Catálogo'!$G196)</f>
      </c>
      <c r="F196" s="17">
        <f>IF('Catálogo'!$A196="","",'Catálogo'!$H196)</f>
      </c>
      <c r="G196" s="17">
        <f>IF('Catálogo'!$A196="","",'Catálogo'!$I196)</f>
      </c>
      <c r="H196" s="16">
        <f>IF('Catálogo'!$A196="","",'Catálogo'!$J196)</f>
      </c>
      <c r="I196" s="19">
        <f>IF('Catálogo'!$A196="","",'Catálogo'!$K196)</f>
      </c>
    </row>
    <row r="197">
      <c r="A197" s="19">
        <f>IF('Catálogo'!$A197="","",'Catálogo'!$A197)</f>
      </c>
      <c r="B197" s="19">
        <f>IF('Catálogo'!$A197="","",'Catálogo'!$B197)</f>
      </c>
      <c r="C197" s="19">
        <f>IF('Catálogo'!$A197="","",'Catálogo'!$C197)</f>
      </c>
      <c r="D197" s="16">
        <f>IF('Catálogo'!$A197="","",'Catálogo'!$F197)</f>
      </c>
      <c r="E197" s="17">
        <f>IF('Catálogo'!$A197="","",'Catálogo'!$G197)</f>
      </c>
      <c r="F197" s="17">
        <f>IF('Catálogo'!$A197="","",'Catálogo'!$H197)</f>
      </c>
      <c r="G197" s="17">
        <f>IF('Catálogo'!$A197="","",'Catálogo'!$I197)</f>
      </c>
      <c r="H197" s="16">
        <f>IF('Catálogo'!$A197="","",'Catálogo'!$J197)</f>
      </c>
      <c r="I197" s="19">
        <f>IF('Catálogo'!$A197="","",'Catálogo'!$K197)</f>
      </c>
    </row>
    <row r="198">
      <c r="A198" s="19">
        <f>IF('Catálogo'!$A198="","",'Catálogo'!$A198)</f>
      </c>
      <c r="B198" s="19">
        <f>IF('Catálogo'!$A198="","",'Catálogo'!$B198)</f>
      </c>
      <c r="C198" s="19">
        <f>IF('Catálogo'!$A198="","",'Catálogo'!$C198)</f>
      </c>
      <c r="D198" s="16">
        <f>IF('Catálogo'!$A198="","",'Catálogo'!$F198)</f>
      </c>
      <c r="E198" s="17">
        <f>IF('Catálogo'!$A198="","",'Catálogo'!$G198)</f>
      </c>
      <c r="F198" s="17">
        <f>IF('Catálogo'!$A198="","",'Catálogo'!$H198)</f>
      </c>
      <c r="G198" s="17">
        <f>IF('Catálogo'!$A198="","",'Catálogo'!$I198)</f>
      </c>
      <c r="H198" s="16">
        <f>IF('Catálogo'!$A198="","",'Catálogo'!$J198)</f>
      </c>
      <c r="I198" s="19">
        <f>IF('Catálogo'!$A198="","",'Catálogo'!$K198)</f>
      </c>
    </row>
    <row r="199">
      <c r="A199" s="19">
        <f>IF('Catálogo'!$A199="","",'Catálogo'!$A199)</f>
      </c>
      <c r="B199" s="19">
        <f>IF('Catálogo'!$A199="","",'Catálogo'!$B199)</f>
      </c>
      <c r="C199" s="19">
        <f>IF('Catálogo'!$A199="","",'Catálogo'!$C199)</f>
      </c>
      <c r="D199" s="16">
        <f>IF('Catálogo'!$A199="","",'Catálogo'!$F199)</f>
      </c>
      <c r="E199" s="17">
        <f>IF('Catálogo'!$A199="","",'Catálogo'!$G199)</f>
      </c>
      <c r="F199" s="17">
        <f>IF('Catálogo'!$A199="","",'Catálogo'!$H199)</f>
      </c>
      <c r="G199" s="17">
        <f>IF('Catálogo'!$A199="","",'Catálogo'!$I199)</f>
      </c>
      <c r="H199" s="16">
        <f>IF('Catálogo'!$A199="","",'Catálogo'!$J199)</f>
      </c>
      <c r="I199" s="19">
        <f>IF('Catálogo'!$A199="","",'Catálogo'!$K199)</f>
      </c>
    </row>
    <row r="200">
      <c r="A200" s="19">
        <f>IF('Catálogo'!$A200="","",'Catálogo'!$A200)</f>
      </c>
      <c r="B200" s="19">
        <f>IF('Catálogo'!$A200="","",'Catálogo'!$B200)</f>
      </c>
      <c r="C200" s="19">
        <f>IF('Catálogo'!$A200="","",'Catálogo'!$C200)</f>
      </c>
      <c r="D200" s="16">
        <f>IF('Catálogo'!$A200="","",'Catálogo'!$F200)</f>
      </c>
      <c r="E200" s="17">
        <f>IF('Catálogo'!$A200="","",'Catálogo'!$G200)</f>
      </c>
      <c r="F200" s="17">
        <f>IF('Catálogo'!$A200="","",'Catálogo'!$H200)</f>
      </c>
      <c r="G200" s="17">
        <f>IF('Catálogo'!$A200="","",'Catálogo'!$I200)</f>
      </c>
      <c r="H200" s="16">
        <f>IF('Catálogo'!$A200="","",'Catálogo'!$J200)</f>
      </c>
      <c r="I200" s="19">
        <f>IF('Catálogo'!$A200="","",'Catálogo'!$K200)</f>
      </c>
    </row>
    <row r="201">
      <c r="A201" s="19">
        <f>IF('Catálogo'!$A201="","",'Catálogo'!$A201)</f>
      </c>
      <c r="B201" s="19">
        <f>IF('Catálogo'!$A201="","",'Catálogo'!$B201)</f>
      </c>
      <c r="C201" s="19">
        <f>IF('Catálogo'!$A201="","",'Catálogo'!$C201)</f>
      </c>
      <c r="D201" s="16">
        <f>IF('Catálogo'!$A201="","",'Catálogo'!$F201)</f>
      </c>
      <c r="E201" s="17">
        <f>IF('Catálogo'!$A201="","",'Catálogo'!$G201)</f>
      </c>
      <c r="F201" s="17">
        <f>IF('Catálogo'!$A201="","",'Catálogo'!$H201)</f>
      </c>
      <c r="G201" s="17">
        <f>IF('Catálogo'!$A201="","",'Catálogo'!$I201)</f>
      </c>
      <c r="H201" s="16">
        <f>IF('Catálogo'!$A201="","",'Catálogo'!$J201)</f>
      </c>
      <c r="I201" s="19">
        <f>IF('Catálogo'!$A201="","",'Catálogo'!$K201)</f>
      </c>
    </row>
  </sheetData>
  <pageMargins left="0.5" right="0.5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1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10.00" customWidth="1"/>
    <col min="2" max="2" width="24.00" customWidth="1"/>
    <col min="3" max="3" width="18.00" customWidth="1"/>
    <col min="4" max="4" width="16.00" customWidth="1"/>
    <col min="5" max="5" width="26.00" customWidth="1"/>
    <col min="6" max="6" width="28.00" customWidth="1"/>
    <col min="7" max="7" width="14.00" customWidth="1"/>
    <col min="8" max="8" width="26.00" customWidth="1"/>
  </cols>
  <sheetData>
    <row r="1">
      <c r="A1" s="1" t="inlineStr">
        <is>
          <t xml:space="preserve">ID</t>
        </is>
      </c>
      <c r="B1" s="1" t="inlineStr">
        <is>
          <t xml:space="preserve">Nombre</t>
        </is>
      </c>
      <c r="C1" s="1" t="inlineStr">
        <is>
          <t xml:space="preserve">Documento / NIT</t>
        </is>
      </c>
      <c r="D1" s="1" t="inlineStr">
        <is>
          <t xml:space="preserve">Teléfono</t>
        </is>
      </c>
      <c r="E1" s="1" t="inlineStr">
        <is>
          <t xml:space="preserve">Correo</t>
        </is>
      </c>
      <c r="F1" s="1" t="inlineStr">
        <is>
          <t xml:space="preserve">Dirección</t>
        </is>
      </c>
      <c r="G1" s="1" t="inlineStr">
        <is>
          <t xml:space="preserve">Ciudad</t>
        </is>
      </c>
      <c r="H1" s="1" t="inlineStr">
        <is>
          <t xml:space="preserve">Notas</t>
        </is>
      </c>
    </row>
    <row r="2">
      <c r="A2" s="19">
        <f>IF($B2="","","CLI-"&amp;TEXT(ROW()-1,"000"))</f>
      </c>
      <c r="B2" s="20"/>
      <c r="C2" s="20"/>
      <c r="D2" s="20"/>
      <c r="E2" s="20"/>
      <c r="F2" s="20"/>
      <c r="G2" s="20"/>
      <c r="H2" s="20"/>
    </row>
    <row r="3">
      <c r="A3" s="19">
        <f>IF($B3="","","CLI-"&amp;TEXT(ROW()-1,"000"))</f>
      </c>
      <c r="B3" s="20"/>
      <c r="C3" s="20"/>
      <c r="D3" s="20"/>
      <c r="E3" s="20"/>
      <c r="F3" s="20"/>
      <c r="G3" s="20"/>
      <c r="H3" s="20"/>
    </row>
    <row r="4">
      <c r="A4" s="19">
        <f>IF($B4="","","CLI-"&amp;TEXT(ROW()-1,"000"))</f>
      </c>
      <c r="B4" s="20"/>
      <c r="C4" s="20"/>
      <c r="D4" s="20"/>
      <c r="E4" s="20"/>
      <c r="F4" s="20"/>
      <c r="G4" s="20"/>
      <c r="H4" s="20"/>
    </row>
    <row r="5">
      <c r="A5" s="19">
        <f>IF($B5="","","CLI-"&amp;TEXT(ROW()-1,"000"))</f>
      </c>
      <c r="B5" s="20"/>
      <c r="C5" s="20"/>
      <c r="D5" s="20"/>
      <c r="E5" s="20"/>
      <c r="F5" s="20"/>
      <c r="G5" s="20"/>
      <c r="H5" s="20"/>
    </row>
    <row r="6">
      <c r="A6" s="19">
        <f>IF($B6="","","CLI-"&amp;TEXT(ROW()-1,"000"))</f>
      </c>
      <c r="B6" s="20"/>
      <c r="C6" s="20"/>
      <c r="D6" s="20"/>
      <c r="E6" s="20"/>
      <c r="F6" s="20"/>
      <c r="G6" s="20"/>
      <c r="H6" s="20"/>
    </row>
    <row r="7">
      <c r="A7" s="19">
        <f>IF($B7="","","CLI-"&amp;TEXT(ROW()-1,"000"))</f>
      </c>
      <c r="B7" s="20"/>
      <c r="C7" s="20"/>
      <c r="D7" s="20"/>
      <c r="E7" s="20"/>
      <c r="F7" s="20"/>
      <c r="G7" s="20"/>
      <c r="H7" s="20"/>
    </row>
    <row r="8">
      <c r="A8" s="19">
        <f>IF($B8="","","CLI-"&amp;TEXT(ROW()-1,"000"))</f>
      </c>
      <c r="B8" s="20"/>
      <c r="C8" s="20"/>
      <c r="D8" s="20"/>
      <c r="E8" s="20"/>
      <c r="F8" s="20"/>
      <c r="G8" s="20"/>
      <c r="H8" s="20"/>
    </row>
    <row r="9">
      <c r="A9" s="19">
        <f>IF($B9="","","CLI-"&amp;TEXT(ROW()-1,"000"))</f>
      </c>
      <c r="B9" s="20"/>
      <c r="C9" s="20"/>
      <c r="D9" s="20"/>
      <c r="E9" s="20"/>
      <c r="F9" s="20"/>
      <c r="G9" s="20"/>
      <c r="H9" s="20"/>
    </row>
    <row r="10">
      <c r="A10" s="19">
        <f>IF($B10="","","CLI-"&amp;TEXT(ROW()-1,"000"))</f>
      </c>
      <c r="B10" s="20"/>
      <c r="C10" s="20"/>
      <c r="D10" s="20"/>
      <c r="E10" s="20"/>
      <c r="F10" s="20"/>
      <c r="G10" s="20"/>
      <c r="H10" s="20"/>
    </row>
    <row r="11">
      <c r="A11" s="19">
        <f>IF($B11="","","CLI-"&amp;TEXT(ROW()-1,"000"))</f>
      </c>
      <c r="B11" s="20"/>
      <c r="C11" s="20"/>
      <c r="D11" s="20"/>
      <c r="E11" s="20"/>
      <c r="F11" s="20"/>
      <c r="G11" s="20"/>
      <c r="H11" s="20"/>
    </row>
    <row r="12">
      <c r="A12" s="19">
        <f>IF($B12="","","CLI-"&amp;TEXT(ROW()-1,"000"))</f>
      </c>
      <c r="B12" s="20"/>
      <c r="C12" s="20"/>
      <c r="D12" s="20"/>
      <c r="E12" s="20"/>
      <c r="F12" s="20"/>
      <c r="G12" s="20"/>
      <c r="H12" s="20"/>
    </row>
    <row r="13">
      <c r="A13" s="19">
        <f>IF($B13="","","CLI-"&amp;TEXT(ROW()-1,"000"))</f>
      </c>
      <c r="B13" s="20"/>
      <c r="C13" s="20"/>
      <c r="D13" s="20"/>
      <c r="E13" s="20"/>
      <c r="F13" s="20"/>
      <c r="G13" s="20"/>
      <c r="H13" s="20"/>
    </row>
    <row r="14">
      <c r="A14" s="19">
        <f>IF($B14="","","CLI-"&amp;TEXT(ROW()-1,"000"))</f>
      </c>
      <c r="B14" s="20"/>
      <c r="C14" s="20"/>
      <c r="D14" s="20"/>
      <c r="E14" s="20"/>
      <c r="F14" s="20"/>
      <c r="G14" s="20"/>
      <c r="H14" s="20"/>
    </row>
    <row r="15">
      <c r="A15" s="19">
        <f>IF($B15="","","CLI-"&amp;TEXT(ROW()-1,"000"))</f>
      </c>
      <c r="B15" s="20"/>
      <c r="C15" s="20"/>
      <c r="D15" s="20"/>
      <c r="E15" s="20"/>
      <c r="F15" s="20"/>
      <c r="G15" s="20"/>
      <c r="H15" s="20"/>
    </row>
    <row r="16">
      <c r="A16" s="19">
        <f>IF($B16="","","CLI-"&amp;TEXT(ROW()-1,"000"))</f>
      </c>
      <c r="B16" s="20"/>
      <c r="C16" s="20"/>
      <c r="D16" s="20"/>
      <c r="E16" s="20"/>
      <c r="F16" s="20"/>
      <c r="G16" s="20"/>
      <c r="H16" s="20"/>
    </row>
    <row r="17">
      <c r="A17" s="19">
        <f>IF($B17="","","CLI-"&amp;TEXT(ROW()-1,"000"))</f>
      </c>
      <c r="B17" s="20"/>
      <c r="C17" s="20"/>
      <c r="D17" s="20"/>
      <c r="E17" s="20"/>
      <c r="F17" s="20"/>
      <c r="G17" s="20"/>
      <c r="H17" s="20"/>
    </row>
    <row r="18">
      <c r="A18" s="19">
        <f>IF($B18="","","CLI-"&amp;TEXT(ROW()-1,"000"))</f>
      </c>
      <c r="B18" s="20"/>
      <c r="C18" s="20"/>
      <c r="D18" s="20"/>
      <c r="E18" s="20"/>
      <c r="F18" s="20"/>
      <c r="G18" s="20"/>
      <c r="H18" s="20"/>
    </row>
    <row r="19">
      <c r="A19" s="19">
        <f>IF($B19="","","CLI-"&amp;TEXT(ROW()-1,"000"))</f>
      </c>
      <c r="B19" s="20"/>
      <c r="C19" s="20"/>
      <c r="D19" s="20"/>
      <c r="E19" s="20"/>
      <c r="F19" s="20"/>
      <c r="G19" s="20"/>
      <c r="H19" s="20"/>
    </row>
    <row r="20">
      <c r="A20" s="19">
        <f>IF($B20="","","CLI-"&amp;TEXT(ROW()-1,"000"))</f>
      </c>
      <c r="B20" s="20"/>
      <c r="C20" s="20"/>
      <c r="D20" s="20"/>
      <c r="E20" s="20"/>
      <c r="F20" s="20"/>
      <c r="G20" s="20"/>
      <c r="H20" s="20"/>
    </row>
    <row r="21">
      <c r="A21" s="19">
        <f>IF($B21="","","CLI-"&amp;TEXT(ROW()-1,"000"))</f>
      </c>
      <c r="B21" s="20"/>
      <c r="C21" s="20"/>
      <c r="D21" s="20"/>
      <c r="E21" s="20"/>
      <c r="F21" s="20"/>
      <c r="G21" s="20"/>
      <c r="H21" s="20"/>
    </row>
    <row r="22">
      <c r="A22" s="19">
        <f>IF($B22="","","CLI-"&amp;TEXT(ROW()-1,"000"))</f>
      </c>
      <c r="B22" s="20"/>
      <c r="C22" s="20"/>
      <c r="D22" s="20"/>
      <c r="E22" s="20"/>
      <c r="F22" s="20"/>
      <c r="G22" s="20"/>
      <c r="H22" s="20"/>
    </row>
    <row r="23">
      <c r="A23" s="19">
        <f>IF($B23="","","CLI-"&amp;TEXT(ROW()-1,"000"))</f>
      </c>
      <c r="B23" s="20"/>
      <c r="C23" s="20"/>
      <c r="D23" s="20"/>
      <c r="E23" s="20"/>
      <c r="F23" s="20"/>
      <c r="G23" s="20"/>
      <c r="H23" s="20"/>
    </row>
    <row r="24">
      <c r="A24" s="19">
        <f>IF($B24="","","CLI-"&amp;TEXT(ROW()-1,"000"))</f>
      </c>
      <c r="B24" s="20"/>
      <c r="C24" s="20"/>
      <c r="D24" s="20"/>
      <c r="E24" s="20"/>
      <c r="F24" s="20"/>
      <c r="G24" s="20"/>
      <c r="H24" s="20"/>
    </row>
    <row r="25">
      <c r="A25" s="19">
        <f>IF($B25="","","CLI-"&amp;TEXT(ROW()-1,"000"))</f>
      </c>
      <c r="B25" s="20"/>
      <c r="C25" s="20"/>
      <c r="D25" s="20"/>
      <c r="E25" s="20"/>
      <c r="F25" s="20"/>
      <c r="G25" s="20"/>
      <c r="H25" s="20"/>
    </row>
    <row r="26">
      <c r="A26" s="19">
        <f>IF($B26="","","CLI-"&amp;TEXT(ROW()-1,"000"))</f>
      </c>
      <c r="B26" s="20"/>
      <c r="C26" s="20"/>
      <c r="D26" s="20"/>
      <c r="E26" s="20"/>
      <c r="F26" s="20"/>
      <c r="G26" s="20"/>
      <c r="H26" s="20"/>
    </row>
    <row r="27">
      <c r="A27" s="19">
        <f>IF($B27="","","CLI-"&amp;TEXT(ROW()-1,"000"))</f>
      </c>
      <c r="B27" s="20"/>
      <c r="C27" s="20"/>
      <c r="D27" s="20"/>
      <c r="E27" s="20"/>
      <c r="F27" s="20"/>
      <c r="G27" s="20"/>
      <c r="H27" s="20"/>
    </row>
    <row r="28">
      <c r="A28" s="19">
        <f>IF($B28="","","CLI-"&amp;TEXT(ROW()-1,"000"))</f>
      </c>
      <c r="B28" s="20"/>
      <c r="C28" s="20"/>
      <c r="D28" s="20"/>
      <c r="E28" s="20"/>
      <c r="F28" s="20"/>
      <c r="G28" s="20"/>
      <c r="H28" s="20"/>
    </row>
    <row r="29">
      <c r="A29" s="19">
        <f>IF($B29="","","CLI-"&amp;TEXT(ROW()-1,"000"))</f>
      </c>
      <c r="B29" s="20"/>
      <c r="C29" s="20"/>
      <c r="D29" s="20"/>
      <c r="E29" s="20"/>
      <c r="F29" s="20"/>
      <c r="G29" s="20"/>
      <c r="H29" s="20"/>
    </row>
    <row r="30">
      <c r="A30" s="19">
        <f>IF($B30="","","CLI-"&amp;TEXT(ROW()-1,"000"))</f>
      </c>
      <c r="B30" s="20"/>
      <c r="C30" s="20"/>
      <c r="D30" s="20"/>
      <c r="E30" s="20"/>
      <c r="F30" s="20"/>
      <c r="G30" s="20"/>
      <c r="H30" s="20"/>
    </row>
    <row r="31">
      <c r="A31" s="19">
        <f>IF($B31="","","CLI-"&amp;TEXT(ROW()-1,"000"))</f>
      </c>
      <c r="B31" s="20"/>
      <c r="C31" s="20"/>
      <c r="D31" s="20"/>
      <c r="E31" s="20"/>
      <c r="F31" s="20"/>
      <c r="G31" s="20"/>
      <c r="H31" s="20"/>
    </row>
    <row r="32">
      <c r="A32" s="19">
        <f>IF($B32="","","CLI-"&amp;TEXT(ROW()-1,"000"))</f>
      </c>
      <c r="B32" s="20"/>
      <c r="C32" s="20"/>
      <c r="D32" s="20"/>
      <c r="E32" s="20"/>
      <c r="F32" s="20"/>
      <c r="G32" s="20"/>
      <c r="H32" s="20"/>
    </row>
    <row r="33">
      <c r="A33" s="19">
        <f>IF($B33="","","CLI-"&amp;TEXT(ROW()-1,"000"))</f>
      </c>
      <c r="B33" s="20"/>
      <c r="C33" s="20"/>
      <c r="D33" s="20"/>
      <c r="E33" s="20"/>
      <c r="F33" s="20"/>
      <c r="G33" s="20"/>
      <c r="H33" s="20"/>
    </row>
    <row r="34">
      <c r="A34" s="19">
        <f>IF($B34="","","CLI-"&amp;TEXT(ROW()-1,"000"))</f>
      </c>
      <c r="B34" s="20"/>
      <c r="C34" s="20"/>
      <c r="D34" s="20"/>
      <c r="E34" s="20"/>
      <c r="F34" s="20"/>
      <c r="G34" s="20"/>
      <c r="H34" s="20"/>
    </row>
    <row r="35">
      <c r="A35" s="19">
        <f>IF($B35="","","CLI-"&amp;TEXT(ROW()-1,"000"))</f>
      </c>
      <c r="B35" s="20"/>
      <c r="C35" s="20"/>
      <c r="D35" s="20"/>
      <c r="E35" s="20"/>
      <c r="F35" s="20"/>
      <c r="G35" s="20"/>
      <c r="H35" s="20"/>
    </row>
    <row r="36">
      <c r="A36" s="19">
        <f>IF($B36="","","CLI-"&amp;TEXT(ROW()-1,"000"))</f>
      </c>
      <c r="B36" s="20"/>
      <c r="C36" s="20"/>
      <c r="D36" s="20"/>
      <c r="E36" s="20"/>
      <c r="F36" s="20"/>
      <c r="G36" s="20"/>
      <c r="H36" s="20"/>
    </row>
    <row r="37">
      <c r="A37" s="19">
        <f>IF($B37="","","CLI-"&amp;TEXT(ROW()-1,"000"))</f>
      </c>
      <c r="B37" s="20"/>
      <c r="C37" s="20"/>
      <c r="D37" s="20"/>
      <c r="E37" s="20"/>
      <c r="F37" s="20"/>
      <c r="G37" s="20"/>
      <c r="H37" s="20"/>
    </row>
    <row r="38">
      <c r="A38" s="19">
        <f>IF($B38="","","CLI-"&amp;TEXT(ROW()-1,"000"))</f>
      </c>
      <c r="B38" s="20"/>
      <c r="C38" s="20"/>
      <c r="D38" s="20"/>
      <c r="E38" s="20"/>
      <c r="F38" s="20"/>
      <c r="G38" s="20"/>
      <c r="H38" s="20"/>
    </row>
    <row r="39">
      <c r="A39" s="19">
        <f>IF($B39="","","CLI-"&amp;TEXT(ROW()-1,"000"))</f>
      </c>
      <c r="B39" s="20"/>
      <c r="C39" s="20"/>
      <c r="D39" s="20"/>
      <c r="E39" s="20"/>
      <c r="F39" s="20"/>
      <c r="G39" s="20"/>
      <c r="H39" s="20"/>
    </row>
    <row r="40">
      <c r="A40" s="19">
        <f>IF($B40="","","CLI-"&amp;TEXT(ROW()-1,"000"))</f>
      </c>
      <c r="B40" s="20"/>
      <c r="C40" s="20"/>
      <c r="D40" s="20"/>
      <c r="E40" s="20"/>
      <c r="F40" s="20"/>
      <c r="G40" s="20"/>
      <c r="H40" s="20"/>
    </row>
    <row r="41">
      <c r="A41" s="19">
        <f>IF($B41="","","CLI-"&amp;TEXT(ROW()-1,"000"))</f>
      </c>
      <c r="B41" s="20"/>
      <c r="C41" s="20"/>
      <c r="D41" s="20"/>
      <c r="E41" s="20"/>
      <c r="F41" s="20"/>
      <c r="G41" s="20"/>
      <c r="H41" s="20"/>
    </row>
    <row r="42">
      <c r="A42" s="19">
        <f>IF($B42="","","CLI-"&amp;TEXT(ROW()-1,"000"))</f>
      </c>
      <c r="B42" s="20"/>
      <c r="C42" s="20"/>
      <c r="D42" s="20"/>
      <c r="E42" s="20"/>
      <c r="F42" s="20"/>
      <c r="G42" s="20"/>
      <c r="H42" s="20"/>
    </row>
    <row r="43">
      <c r="A43" s="19">
        <f>IF($B43="","","CLI-"&amp;TEXT(ROW()-1,"000"))</f>
      </c>
      <c r="B43" s="20"/>
      <c r="C43" s="20"/>
      <c r="D43" s="20"/>
      <c r="E43" s="20"/>
      <c r="F43" s="20"/>
      <c r="G43" s="20"/>
      <c r="H43" s="20"/>
    </row>
    <row r="44">
      <c r="A44" s="19">
        <f>IF($B44="","","CLI-"&amp;TEXT(ROW()-1,"000"))</f>
      </c>
      <c r="B44" s="20"/>
      <c r="C44" s="20"/>
      <c r="D44" s="20"/>
      <c r="E44" s="20"/>
      <c r="F44" s="20"/>
      <c r="G44" s="20"/>
      <c r="H44" s="20"/>
    </row>
    <row r="45">
      <c r="A45" s="19">
        <f>IF($B45="","","CLI-"&amp;TEXT(ROW()-1,"000"))</f>
      </c>
      <c r="B45" s="20"/>
      <c r="C45" s="20"/>
      <c r="D45" s="20"/>
      <c r="E45" s="20"/>
      <c r="F45" s="20"/>
      <c r="G45" s="20"/>
      <c r="H45" s="20"/>
    </row>
    <row r="46">
      <c r="A46" s="19">
        <f>IF($B46="","","CLI-"&amp;TEXT(ROW()-1,"000"))</f>
      </c>
      <c r="B46" s="20"/>
      <c r="C46" s="20"/>
      <c r="D46" s="20"/>
      <c r="E46" s="20"/>
      <c r="F46" s="20"/>
      <c r="G46" s="20"/>
      <c r="H46" s="20"/>
    </row>
    <row r="47">
      <c r="A47" s="19">
        <f>IF($B47="","","CLI-"&amp;TEXT(ROW()-1,"000"))</f>
      </c>
      <c r="B47" s="20"/>
      <c r="C47" s="20"/>
      <c r="D47" s="20"/>
      <c r="E47" s="20"/>
      <c r="F47" s="20"/>
      <c r="G47" s="20"/>
      <c r="H47" s="20"/>
    </row>
    <row r="48">
      <c r="A48" s="19">
        <f>IF($B48="","","CLI-"&amp;TEXT(ROW()-1,"000"))</f>
      </c>
      <c r="B48" s="20"/>
      <c r="C48" s="20"/>
      <c r="D48" s="20"/>
      <c r="E48" s="20"/>
      <c r="F48" s="20"/>
      <c r="G48" s="20"/>
      <c r="H48" s="20"/>
    </row>
    <row r="49">
      <c r="A49" s="19">
        <f>IF($B49="","","CLI-"&amp;TEXT(ROW()-1,"000"))</f>
      </c>
      <c r="B49" s="20"/>
      <c r="C49" s="20"/>
      <c r="D49" s="20"/>
      <c r="E49" s="20"/>
      <c r="F49" s="20"/>
      <c r="G49" s="20"/>
      <c r="H49" s="20"/>
    </row>
    <row r="50">
      <c r="A50" s="19">
        <f>IF($B50="","","CLI-"&amp;TEXT(ROW()-1,"000"))</f>
      </c>
      <c r="B50" s="20"/>
      <c r="C50" s="20"/>
      <c r="D50" s="20"/>
      <c r="E50" s="20"/>
      <c r="F50" s="20"/>
      <c r="G50" s="20"/>
      <c r="H50" s="20"/>
    </row>
    <row r="51">
      <c r="A51" s="19">
        <f>IF($B51="","","CLI-"&amp;TEXT(ROW()-1,"000"))</f>
      </c>
      <c r="B51" s="20"/>
      <c r="C51" s="20"/>
      <c r="D51" s="20"/>
      <c r="E51" s="20"/>
      <c r="F51" s="20"/>
      <c r="G51" s="20"/>
      <c r="H51" s="20"/>
    </row>
    <row r="52">
      <c r="A52" s="19">
        <f>IF($B52="","","CLI-"&amp;TEXT(ROW()-1,"000"))</f>
      </c>
      <c r="B52" s="20"/>
      <c r="C52" s="20"/>
      <c r="D52" s="20"/>
      <c r="E52" s="20"/>
      <c r="F52" s="20"/>
      <c r="G52" s="20"/>
      <c r="H52" s="20"/>
    </row>
    <row r="53">
      <c r="A53" s="19">
        <f>IF($B53="","","CLI-"&amp;TEXT(ROW()-1,"000"))</f>
      </c>
      <c r="B53" s="20"/>
      <c r="C53" s="20"/>
      <c r="D53" s="20"/>
      <c r="E53" s="20"/>
      <c r="F53" s="20"/>
      <c r="G53" s="20"/>
      <c r="H53" s="20"/>
    </row>
    <row r="54">
      <c r="A54" s="19">
        <f>IF($B54="","","CLI-"&amp;TEXT(ROW()-1,"000"))</f>
      </c>
      <c r="B54" s="20"/>
      <c r="C54" s="20"/>
      <c r="D54" s="20"/>
      <c r="E54" s="20"/>
      <c r="F54" s="20"/>
      <c r="G54" s="20"/>
      <c r="H54" s="20"/>
    </row>
    <row r="55">
      <c r="A55" s="19">
        <f>IF($B55="","","CLI-"&amp;TEXT(ROW()-1,"000"))</f>
      </c>
      <c r="B55" s="20"/>
      <c r="C55" s="20"/>
      <c r="D55" s="20"/>
      <c r="E55" s="20"/>
      <c r="F55" s="20"/>
      <c r="G55" s="20"/>
      <c r="H55" s="20"/>
    </row>
    <row r="56">
      <c r="A56" s="19">
        <f>IF($B56="","","CLI-"&amp;TEXT(ROW()-1,"000"))</f>
      </c>
      <c r="B56" s="20"/>
      <c r="C56" s="20"/>
      <c r="D56" s="20"/>
      <c r="E56" s="20"/>
      <c r="F56" s="20"/>
      <c r="G56" s="20"/>
      <c r="H56" s="20"/>
    </row>
    <row r="57">
      <c r="A57" s="19">
        <f>IF($B57="","","CLI-"&amp;TEXT(ROW()-1,"000"))</f>
      </c>
      <c r="B57" s="20"/>
      <c r="C57" s="20"/>
      <c r="D57" s="20"/>
      <c r="E57" s="20"/>
      <c r="F57" s="20"/>
      <c r="G57" s="20"/>
      <c r="H57" s="20"/>
    </row>
    <row r="58">
      <c r="A58" s="19">
        <f>IF($B58="","","CLI-"&amp;TEXT(ROW()-1,"000"))</f>
      </c>
      <c r="B58" s="20"/>
      <c r="C58" s="20"/>
      <c r="D58" s="20"/>
      <c r="E58" s="20"/>
      <c r="F58" s="20"/>
      <c r="G58" s="20"/>
      <c r="H58" s="20"/>
    </row>
    <row r="59">
      <c r="A59" s="19">
        <f>IF($B59="","","CLI-"&amp;TEXT(ROW()-1,"000"))</f>
      </c>
      <c r="B59" s="20"/>
      <c r="C59" s="20"/>
      <c r="D59" s="20"/>
      <c r="E59" s="20"/>
      <c r="F59" s="20"/>
      <c r="G59" s="20"/>
      <c r="H59" s="20"/>
    </row>
    <row r="60">
      <c r="A60" s="19">
        <f>IF($B60="","","CLI-"&amp;TEXT(ROW()-1,"000"))</f>
      </c>
      <c r="B60" s="20"/>
      <c r="C60" s="20"/>
      <c r="D60" s="20"/>
      <c r="E60" s="20"/>
      <c r="F60" s="20"/>
      <c r="G60" s="20"/>
      <c r="H60" s="20"/>
    </row>
    <row r="61">
      <c r="A61" s="19">
        <f>IF($B61="","","CLI-"&amp;TEXT(ROW()-1,"000"))</f>
      </c>
      <c r="B61" s="20"/>
      <c r="C61" s="20"/>
      <c r="D61" s="20"/>
      <c r="E61" s="20"/>
      <c r="F61" s="20"/>
      <c r="G61" s="20"/>
      <c r="H61" s="20"/>
    </row>
    <row r="62">
      <c r="A62" s="19">
        <f>IF($B62="","","CLI-"&amp;TEXT(ROW()-1,"000"))</f>
      </c>
      <c r="B62" s="20"/>
      <c r="C62" s="20"/>
      <c r="D62" s="20"/>
      <c r="E62" s="20"/>
      <c r="F62" s="20"/>
      <c r="G62" s="20"/>
      <c r="H62" s="20"/>
    </row>
    <row r="63">
      <c r="A63" s="19">
        <f>IF($B63="","","CLI-"&amp;TEXT(ROW()-1,"000"))</f>
      </c>
      <c r="B63" s="20"/>
      <c r="C63" s="20"/>
      <c r="D63" s="20"/>
      <c r="E63" s="20"/>
      <c r="F63" s="20"/>
      <c r="G63" s="20"/>
      <c r="H63" s="20"/>
    </row>
    <row r="64">
      <c r="A64" s="19">
        <f>IF($B64="","","CLI-"&amp;TEXT(ROW()-1,"000"))</f>
      </c>
      <c r="B64" s="20"/>
      <c r="C64" s="20"/>
      <c r="D64" s="20"/>
      <c r="E64" s="20"/>
      <c r="F64" s="20"/>
      <c r="G64" s="20"/>
      <c r="H64" s="20"/>
    </row>
    <row r="65">
      <c r="A65" s="19">
        <f>IF($B65="","","CLI-"&amp;TEXT(ROW()-1,"000"))</f>
      </c>
      <c r="B65" s="20"/>
      <c r="C65" s="20"/>
      <c r="D65" s="20"/>
      <c r="E65" s="20"/>
      <c r="F65" s="20"/>
      <c r="G65" s="20"/>
      <c r="H65" s="20"/>
    </row>
    <row r="66">
      <c r="A66" s="19">
        <f>IF($B66="","","CLI-"&amp;TEXT(ROW()-1,"000"))</f>
      </c>
      <c r="B66" s="20"/>
      <c r="C66" s="20"/>
      <c r="D66" s="20"/>
      <c r="E66" s="20"/>
      <c r="F66" s="20"/>
      <c r="G66" s="20"/>
      <c r="H66" s="20"/>
    </row>
    <row r="67">
      <c r="A67" s="19">
        <f>IF($B67="","","CLI-"&amp;TEXT(ROW()-1,"000"))</f>
      </c>
      <c r="B67" s="20"/>
      <c r="C67" s="20"/>
      <c r="D67" s="20"/>
      <c r="E67" s="20"/>
      <c r="F67" s="20"/>
      <c r="G67" s="20"/>
      <c r="H67" s="20"/>
    </row>
    <row r="68">
      <c r="A68" s="19">
        <f>IF($B68="","","CLI-"&amp;TEXT(ROW()-1,"000"))</f>
      </c>
      <c r="B68" s="20"/>
      <c r="C68" s="20"/>
      <c r="D68" s="20"/>
      <c r="E68" s="20"/>
      <c r="F68" s="20"/>
      <c r="G68" s="20"/>
      <c r="H68" s="20"/>
    </row>
    <row r="69">
      <c r="A69" s="19">
        <f>IF($B69="","","CLI-"&amp;TEXT(ROW()-1,"000"))</f>
      </c>
      <c r="B69" s="20"/>
      <c r="C69" s="20"/>
      <c r="D69" s="20"/>
      <c r="E69" s="20"/>
      <c r="F69" s="20"/>
      <c r="G69" s="20"/>
      <c r="H69" s="20"/>
    </row>
    <row r="70">
      <c r="A70" s="19">
        <f>IF($B70="","","CLI-"&amp;TEXT(ROW()-1,"000"))</f>
      </c>
      <c r="B70" s="20"/>
      <c r="C70" s="20"/>
      <c r="D70" s="20"/>
      <c r="E70" s="20"/>
      <c r="F70" s="20"/>
      <c r="G70" s="20"/>
      <c r="H70" s="20"/>
    </row>
    <row r="71">
      <c r="A71" s="19">
        <f>IF($B71="","","CLI-"&amp;TEXT(ROW()-1,"000"))</f>
      </c>
      <c r="B71" s="20"/>
      <c r="C71" s="20"/>
      <c r="D71" s="20"/>
      <c r="E71" s="20"/>
      <c r="F71" s="20"/>
      <c r="G71" s="20"/>
      <c r="H71" s="20"/>
    </row>
    <row r="72">
      <c r="A72" s="19">
        <f>IF($B72="","","CLI-"&amp;TEXT(ROW()-1,"000"))</f>
      </c>
      <c r="B72" s="20"/>
      <c r="C72" s="20"/>
      <c r="D72" s="20"/>
      <c r="E72" s="20"/>
      <c r="F72" s="20"/>
      <c r="G72" s="20"/>
      <c r="H72" s="20"/>
    </row>
    <row r="73">
      <c r="A73" s="19">
        <f>IF($B73="","","CLI-"&amp;TEXT(ROW()-1,"000"))</f>
      </c>
      <c r="B73" s="20"/>
      <c r="C73" s="20"/>
      <c r="D73" s="20"/>
      <c r="E73" s="20"/>
      <c r="F73" s="20"/>
      <c r="G73" s="20"/>
      <c r="H73" s="20"/>
    </row>
    <row r="74">
      <c r="A74" s="19">
        <f>IF($B74="","","CLI-"&amp;TEXT(ROW()-1,"000"))</f>
      </c>
      <c r="B74" s="20"/>
      <c r="C74" s="20"/>
      <c r="D74" s="20"/>
      <c r="E74" s="20"/>
      <c r="F74" s="20"/>
      <c r="G74" s="20"/>
      <c r="H74" s="20"/>
    </row>
    <row r="75">
      <c r="A75" s="19">
        <f>IF($B75="","","CLI-"&amp;TEXT(ROW()-1,"000"))</f>
      </c>
      <c r="B75" s="20"/>
      <c r="C75" s="20"/>
      <c r="D75" s="20"/>
      <c r="E75" s="20"/>
      <c r="F75" s="20"/>
      <c r="G75" s="20"/>
      <c r="H75" s="20"/>
    </row>
    <row r="76">
      <c r="A76" s="19">
        <f>IF($B76="","","CLI-"&amp;TEXT(ROW()-1,"000"))</f>
      </c>
      <c r="B76" s="20"/>
      <c r="C76" s="20"/>
      <c r="D76" s="20"/>
      <c r="E76" s="20"/>
      <c r="F76" s="20"/>
      <c r="G76" s="20"/>
      <c r="H76" s="20"/>
    </row>
    <row r="77">
      <c r="A77" s="19">
        <f>IF($B77="","","CLI-"&amp;TEXT(ROW()-1,"000"))</f>
      </c>
      <c r="B77" s="20"/>
      <c r="C77" s="20"/>
      <c r="D77" s="20"/>
      <c r="E77" s="20"/>
      <c r="F77" s="20"/>
      <c r="G77" s="20"/>
      <c r="H77" s="20"/>
    </row>
    <row r="78">
      <c r="A78" s="19">
        <f>IF($B78="","","CLI-"&amp;TEXT(ROW()-1,"000"))</f>
      </c>
      <c r="B78" s="20"/>
      <c r="C78" s="20"/>
      <c r="D78" s="20"/>
      <c r="E78" s="20"/>
      <c r="F78" s="20"/>
      <c r="G78" s="20"/>
      <c r="H78" s="20"/>
    </row>
    <row r="79">
      <c r="A79" s="19">
        <f>IF($B79="","","CLI-"&amp;TEXT(ROW()-1,"000"))</f>
      </c>
      <c r="B79" s="20"/>
      <c r="C79" s="20"/>
      <c r="D79" s="20"/>
      <c r="E79" s="20"/>
      <c r="F79" s="20"/>
      <c r="G79" s="20"/>
      <c r="H79" s="20"/>
    </row>
    <row r="80">
      <c r="A80" s="19">
        <f>IF($B80="","","CLI-"&amp;TEXT(ROW()-1,"000"))</f>
      </c>
      <c r="B80" s="20"/>
      <c r="C80" s="20"/>
      <c r="D80" s="20"/>
      <c r="E80" s="20"/>
      <c r="F80" s="20"/>
      <c r="G80" s="20"/>
      <c r="H80" s="20"/>
    </row>
    <row r="81">
      <c r="A81" s="19">
        <f>IF($B81="","","CLI-"&amp;TEXT(ROW()-1,"000"))</f>
      </c>
      <c r="B81" s="20"/>
      <c r="C81" s="20"/>
      <c r="D81" s="20"/>
      <c r="E81" s="20"/>
      <c r="F81" s="20"/>
      <c r="G81" s="20"/>
      <c r="H81" s="20"/>
    </row>
    <row r="82">
      <c r="A82" s="19">
        <f>IF($B82="","","CLI-"&amp;TEXT(ROW()-1,"000"))</f>
      </c>
      <c r="B82" s="20"/>
      <c r="C82" s="20"/>
      <c r="D82" s="20"/>
      <c r="E82" s="20"/>
      <c r="F82" s="20"/>
      <c r="G82" s="20"/>
      <c r="H82" s="20"/>
    </row>
    <row r="83">
      <c r="A83" s="19">
        <f>IF($B83="","","CLI-"&amp;TEXT(ROW()-1,"000"))</f>
      </c>
      <c r="B83" s="20"/>
      <c r="C83" s="20"/>
      <c r="D83" s="20"/>
      <c r="E83" s="20"/>
      <c r="F83" s="20"/>
      <c r="G83" s="20"/>
      <c r="H83" s="20"/>
    </row>
    <row r="84">
      <c r="A84" s="19">
        <f>IF($B84="","","CLI-"&amp;TEXT(ROW()-1,"000"))</f>
      </c>
      <c r="B84" s="20"/>
      <c r="C84" s="20"/>
      <c r="D84" s="20"/>
      <c r="E84" s="20"/>
      <c r="F84" s="20"/>
      <c r="G84" s="20"/>
      <c r="H84" s="20"/>
    </row>
    <row r="85">
      <c r="A85" s="19">
        <f>IF($B85="","","CLI-"&amp;TEXT(ROW()-1,"000"))</f>
      </c>
      <c r="B85" s="20"/>
      <c r="C85" s="20"/>
      <c r="D85" s="20"/>
      <c r="E85" s="20"/>
      <c r="F85" s="20"/>
      <c r="G85" s="20"/>
      <c r="H85" s="20"/>
    </row>
    <row r="86">
      <c r="A86" s="19">
        <f>IF($B86="","","CLI-"&amp;TEXT(ROW()-1,"000"))</f>
      </c>
      <c r="B86" s="20"/>
      <c r="C86" s="20"/>
      <c r="D86" s="20"/>
      <c r="E86" s="20"/>
      <c r="F86" s="20"/>
      <c r="G86" s="20"/>
      <c r="H86" s="20"/>
    </row>
    <row r="87">
      <c r="A87" s="19">
        <f>IF($B87="","","CLI-"&amp;TEXT(ROW()-1,"000"))</f>
      </c>
      <c r="B87" s="20"/>
      <c r="C87" s="20"/>
      <c r="D87" s="20"/>
      <c r="E87" s="20"/>
      <c r="F87" s="20"/>
      <c r="G87" s="20"/>
      <c r="H87" s="20"/>
    </row>
    <row r="88">
      <c r="A88" s="19">
        <f>IF($B88="","","CLI-"&amp;TEXT(ROW()-1,"000"))</f>
      </c>
      <c r="B88" s="20"/>
      <c r="C88" s="20"/>
      <c r="D88" s="20"/>
      <c r="E88" s="20"/>
      <c r="F88" s="20"/>
      <c r="G88" s="20"/>
      <c r="H88" s="20"/>
    </row>
    <row r="89">
      <c r="A89" s="19">
        <f>IF($B89="","","CLI-"&amp;TEXT(ROW()-1,"000"))</f>
      </c>
      <c r="B89" s="20"/>
      <c r="C89" s="20"/>
      <c r="D89" s="20"/>
      <c r="E89" s="20"/>
      <c r="F89" s="20"/>
      <c r="G89" s="20"/>
      <c r="H89" s="20"/>
    </row>
    <row r="90">
      <c r="A90" s="19">
        <f>IF($B90="","","CLI-"&amp;TEXT(ROW()-1,"000"))</f>
      </c>
      <c r="B90" s="20"/>
      <c r="C90" s="20"/>
      <c r="D90" s="20"/>
      <c r="E90" s="20"/>
      <c r="F90" s="20"/>
      <c r="G90" s="20"/>
      <c r="H90" s="20"/>
    </row>
    <row r="91">
      <c r="A91" s="19">
        <f>IF($B91="","","CLI-"&amp;TEXT(ROW()-1,"000"))</f>
      </c>
      <c r="B91" s="20"/>
      <c r="C91" s="20"/>
      <c r="D91" s="20"/>
      <c r="E91" s="20"/>
      <c r="F91" s="20"/>
      <c r="G91" s="20"/>
      <c r="H91" s="20"/>
    </row>
    <row r="92">
      <c r="A92" s="19">
        <f>IF($B92="","","CLI-"&amp;TEXT(ROW()-1,"000"))</f>
      </c>
      <c r="B92" s="20"/>
      <c r="C92" s="20"/>
      <c r="D92" s="20"/>
      <c r="E92" s="20"/>
      <c r="F92" s="20"/>
      <c r="G92" s="20"/>
      <c r="H92" s="20"/>
    </row>
    <row r="93">
      <c r="A93" s="19">
        <f>IF($B93="","","CLI-"&amp;TEXT(ROW()-1,"000"))</f>
      </c>
      <c r="B93" s="20"/>
      <c r="C93" s="20"/>
      <c r="D93" s="20"/>
      <c r="E93" s="20"/>
      <c r="F93" s="20"/>
      <c r="G93" s="20"/>
      <c r="H93" s="20"/>
    </row>
    <row r="94">
      <c r="A94" s="19">
        <f>IF($B94="","","CLI-"&amp;TEXT(ROW()-1,"000"))</f>
      </c>
      <c r="B94" s="20"/>
      <c r="C94" s="20"/>
      <c r="D94" s="20"/>
      <c r="E94" s="20"/>
      <c r="F94" s="20"/>
      <c r="G94" s="20"/>
      <c r="H94" s="20"/>
    </row>
    <row r="95">
      <c r="A95" s="19">
        <f>IF($B95="","","CLI-"&amp;TEXT(ROW()-1,"000"))</f>
      </c>
      <c r="B95" s="20"/>
      <c r="C95" s="20"/>
      <c r="D95" s="20"/>
      <c r="E95" s="20"/>
      <c r="F95" s="20"/>
      <c r="G95" s="20"/>
      <c r="H95" s="20"/>
    </row>
    <row r="96">
      <c r="A96" s="19">
        <f>IF($B96="","","CLI-"&amp;TEXT(ROW()-1,"000"))</f>
      </c>
      <c r="B96" s="20"/>
      <c r="C96" s="20"/>
      <c r="D96" s="20"/>
      <c r="E96" s="20"/>
      <c r="F96" s="20"/>
      <c r="G96" s="20"/>
      <c r="H96" s="20"/>
    </row>
    <row r="97">
      <c r="A97" s="19">
        <f>IF($B97="","","CLI-"&amp;TEXT(ROW()-1,"000"))</f>
      </c>
      <c r="B97" s="20"/>
      <c r="C97" s="20"/>
      <c r="D97" s="20"/>
      <c r="E97" s="20"/>
      <c r="F97" s="20"/>
      <c r="G97" s="20"/>
      <c r="H97" s="20"/>
    </row>
    <row r="98">
      <c r="A98" s="19">
        <f>IF($B98="","","CLI-"&amp;TEXT(ROW()-1,"000"))</f>
      </c>
      <c r="B98" s="20"/>
      <c r="C98" s="20"/>
      <c r="D98" s="20"/>
      <c r="E98" s="20"/>
      <c r="F98" s="20"/>
      <c r="G98" s="20"/>
      <c r="H98" s="20"/>
    </row>
    <row r="99">
      <c r="A99" s="19">
        <f>IF($B99="","","CLI-"&amp;TEXT(ROW()-1,"000"))</f>
      </c>
      <c r="B99" s="20"/>
      <c r="C99" s="20"/>
      <c r="D99" s="20"/>
      <c r="E99" s="20"/>
      <c r="F99" s="20"/>
      <c r="G99" s="20"/>
      <c r="H99" s="20"/>
    </row>
    <row r="100">
      <c r="A100" s="19">
        <f>IF($B100="","","CLI-"&amp;TEXT(ROW()-1,"000"))</f>
      </c>
      <c r="B100" s="20"/>
      <c r="C100" s="20"/>
      <c r="D100" s="20"/>
      <c r="E100" s="20"/>
      <c r="F100" s="20"/>
      <c r="G100" s="20"/>
      <c r="H100" s="20"/>
    </row>
    <row r="101">
      <c r="A101" s="19">
        <f>IF($B101="","","CLI-"&amp;TEXT(ROW()-1,"000"))</f>
      </c>
      <c r="B101" s="20"/>
      <c r="C101" s="20"/>
      <c r="D101" s="20"/>
      <c r="E101" s="20"/>
      <c r="F101" s="20"/>
      <c r="G101" s="20"/>
      <c r="H101" s="20"/>
    </row>
  </sheetData>
  <pageMargins left="0.5" right="0.5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2"/>
  <sheetViews>
    <sheetView workbookViewId="0" showGridLines="0"/>
  </sheetViews>
  <sheetFormatPr defaultRowHeight="15"/>
  <cols>
    <col min="1" max="1" width="16.00" customWidth="1"/>
    <col min="2" max="2" width="30.00" customWidth="1"/>
    <col min="3" max="3" width="12.00" customWidth="1"/>
    <col min="4" max="4" width="13.00" customWidth="1"/>
    <col min="5" max="5" width="16.00" customWidth="1"/>
    <col min="6" max="6" width="17.00" customWidth="1"/>
    <col min="7" max="7" width="8.00" customWidth="1" hidden="1"/>
    <col min="8" max="8" width="8.00" customWidth="1" hidden="1"/>
    <col min="10" max="10" width="10.00" customWidth="1" hidden="1"/>
    <col min="11" max="11" width="10.00" customWidth="1" hidden="1"/>
    <col min="12" max="12" width="10.00" customWidth="1" hidden="1"/>
    <col min="13" max="13" width="10.00" customWidth="1" hidden="1"/>
    <col min="14" max="14" width="10.00" customWidth="1" hidden="1"/>
  </cols>
  <sheetData>
    <row r="1">
      <c r="A1" s="37" t="inlineStr">
        <is>
          <t xml:space="preserve">LOGO</t>
        </is>
      </c>
      <c r="B1" s="33">
        <f>'Config'!$B$2</f>
      </c>
      <c r="D1" s="32" t="inlineStr">
        <is>
          <t xml:space="preserve">FACTURA DE VENTA</t>
        </is>
      </c>
    </row>
    <row r="2">
      <c r="B2" s="9">
        <f>"NIT: "&amp;'Config'!$B$3</f>
      </c>
      <c r="D2" s="8" t="inlineStr">
        <is>
          <t xml:space="preserve">Venta N°:</t>
        </is>
      </c>
      <c r="E2" s="44" t="inlineStr">
        <is>
          <t xml:space="preserve"/>
        </is>
      </c>
    </row>
    <row r="3">
      <c r="B3" s="9">
        <f>'Config'!$B$4</f>
      </c>
      <c r="D3" s="8" t="inlineStr">
        <is>
          <t xml:space="preserve">Fecha:</t>
        </is>
      </c>
      <c r="E3" s="14">
        <f>IFERROR(INDEX('Ventas'!$A$2:$A$2000,MATCH($E$2,'Ventas'!$B$2:$B$2000,0)),"")</f>
      </c>
    </row>
    <row r="4">
      <c r="B4" s="9">
        <f>"Tel: "&amp;'Config'!$B$5&amp;"   |   "&amp;'Config'!$B$6</f>
      </c>
      <c r="D4" s="8" t="inlineStr">
        <is>
          <t xml:space="preserve">Pago:</t>
        </is>
      </c>
      <c r="E4" s="9">
        <f>IFERROR(INDEX('Ventas'!$O$2:$O$2000,MATCH($E$2,'Ventas'!$B$2:$B$2000,0)),"")</f>
      </c>
    </row>
    <row r="5">
      <c r="B5" s="38">
        <f>'Config'!$B$7</f>
      </c>
      <c r="D5" s="8" t="inlineStr">
        <is>
          <t xml:space="preserve">Origen inv.:</t>
        </is>
      </c>
      <c r="E5" s="9">
        <f>IFERROR(INDEX('Ventas'!$G$2:$G$2000,MATCH($E$2,'Ventas'!$B$2:$B$2000,0)),"")</f>
      </c>
    </row>
    <row r="7">
      <c r="A7" s="3" t="inlineStr">
        <is>
          <t xml:space="preserve">DATOS DEL CLIENTE</t>
        </is>
      </c>
    </row>
    <row r="8">
      <c r="A8" s="8" t="inlineStr">
        <is>
          <t xml:space="preserve">Cliente:</t>
        </is>
      </c>
      <c r="B8" s="9">
        <f>IFERROR(INDEX('Ventas'!$C$2:$C$2000,MATCH($E$2,'Ventas'!$B$2:$B$2000,0)),"")</f>
      </c>
      <c r="D8" s="8" t="inlineStr">
        <is>
          <t xml:space="preserve">Documento:</t>
        </is>
      </c>
      <c r="E8" s="9">
        <f>IFERROR(VLOOKUP($B$8,'Clientes'!$B:$F,2,FALSE),"")</f>
      </c>
    </row>
    <row r="9">
      <c r="A9" s="8" t="inlineStr">
        <is>
          <t xml:space="preserve">Teléfono:</t>
        </is>
      </c>
      <c r="B9" s="9">
        <f>IFERROR(VLOOKUP($B$8,'Clientes'!$B:$F,3,FALSE),"")</f>
      </c>
      <c r="D9" s="8" t="inlineStr">
        <is>
          <t xml:space="preserve">Correo:</t>
        </is>
      </c>
      <c r="E9" s="9">
        <f>IFERROR(VLOOKUP($B$8,'Clientes'!$B:$F,4,FALSE),"")</f>
      </c>
    </row>
    <row r="10">
      <c r="A10" s="8" t="inlineStr">
        <is>
          <t xml:space="preserve">Dirección:</t>
        </is>
      </c>
      <c r="B10" s="9">
        <f>IFERROR(VLOOKUP($B$8,'Clientes'!$B:$F,5,FALSE),"")</f>
      </c>
    </row>
    <row r="12">
      <c r="A12" s="1" t="inlineStr">
        <is>
          <t xml:space="preserve">Código</t>
        </is>
      </c>
      <c r="B12" s="1" t="inlineStr">
        <is>
          <t xml:space="preserve">Descripción</t>
        </is>
      </c>
      <c r="D12" s="1" t="inlineStr">
        <is>
          <t xml:space="preserve">Cant.</t>
        </is>
      </c>
      <c r="E12" s="1" t="inlineStr">
        <is>
          <t xml:space="preserve">Vr. Unitario</t>
        </is>
      </c>
      <c r="F12" s="1" t="inlineStr">
        <is>
          <t xml:space="preserve">Total</t>
        </is>
      </c>
    </row>
    <row r="13">
      <c r="A13" s="19">
        <f>IF($J13="","",$J13)</f>
      </c>
      <c r="B13" s="19">
        <f>IF($A13="","",IFERROR(VLOOKUP($A13,'Catálogo'!$A:$B,2,FALSE),""))</f>
      </c>
      <c r="D13" s="12">
        <f>IF($J13="","",$L13)</f>
      </c>
      <c r="E13" s="11">
        <f>IF(OR($J13="",$L13=0),"",$N13/$L13)</f>
      </c>
      <c r="F13" s="16">
        <f>IF($A13="","",$D13*$E13)</f>
      </c>
      <c r="G13" s="17">
        <f>IF($A13="","",IFERROR(VLOOKUP($A13,'Catálogo'!$A:$L,12,FALSE),0))</f>
      </c>
      <c r="H13" s="16">
        <f>IF($F13="","",ROUND($F13*$G13/100,0))</f>
      </c>
      <c r="J13" s="9">
        <f>IFERROR(FILTER('Ventas'!$D$2:$H$2000,'Ventas'!$B$2:$B$2000=$E$2),"")</f>
      </c>
    </row>
    <row r="14">
      <c r="A14" s="19">
        <f>IF($J14="","",$J14)</f>
      </c>
      <c r="B14" s="19">
        <f>IF($A14="","",IFERROR(VLOOKUP($A14,'Catálogo'!$A:$B,2,FALSE),""))</f>
      </c>
      <c r="D14" s="12">
        <f>IF($J14="","",$L14)</f>
      </c>
      <c r="E14" s="11">
        <f>IF(OR($J14="",$L14=0),"",$N14/$L14)</f>
      </c>
      <c r="F14" s="16">
        <f>IF($A14="","",$D14*$E14)</f>
      </c>
      <c r="G14" s="17">
        <f>IF($A14="","",IFERROR(VLOOKUP($A14,'Catálogo'!$A:$L,12,FALSE),0))</f>
      </c>
      <c r="H14" s="16">
        <f>IF($F14="","",ROUND($F14*$G14/100,0))</f>
      </c>
    </row>
    <row r="15">
      <c r="A15" s="19">
        <f>IF($J15="","",$J15)</f>
      </c>
      <c r="B15" s="19">
        <f>IF($A15="","",IFERROR(VLOOKUP($A15,'Catálogo'!$A:$B,2,FALSE),""))</f>
      </c>
      <c r="D15" s="12">
        <f>IF($J15="","",$L15)</f>
      </c>
      <c r="E15" s="11">
        <f>IF(OR($J15="",$L15=0),"",$N15/$L15)</f>
      </c>
      <c r="F15" s="16">
        <f>IF($A15="","",$D15*$E15)</f>
      </c>
      <c r="G15" s="17">
        <f>IF($A15="","",IFERROR(VLOOKUP($A15,'Catálogo'!$A:$L,12,FALSE),0))</f>
      </c>
      <c r="H15" s="16">
        <f>IF($F15="","",ROUND($F15*$G15/100,0))</f>
      </c>
    </row>
    <row r="16">
      <c r="A16" s="19">
        <f>IF($J16="","",$J16)</f>
      </c>
      <c r="B16" s="19">
        <f>IF($A16="","",IFERROR(VLOOKUP($A16,'Catálogo'!$A:$B,2,FALSE),""))</f>
      </c>
      <c r="D16" s="12">
        <f>IF($J16="","",$L16)</f>
      </c>
      <c r="E16" s="11">
        <f>IF(OR($J16="",$L16=0),"",$N16/$L16)</f>
      </c>
      <c r="F16" s="16">
        <f>IF($A16="","",$D16*$E16)</f>
      </c>
      <c r="G16" s="17">
        <f>IF($A16="","",IFERROR(VLOOKUP($A16,'Catálogo'!$A:$L,12,FALSE),0))</f>
      </c>
      <c r="H16" s="16">
        <f>IF($F16="","",ROUND($F16*$G16/100,0))</f>
      </c>
    </row>
    <row r="17">
      <c r="A17" s="19">
        <f>IF($J17="","",$J17)</f>
      </c>
      <c r="B17" s="19">
        <f>IF($A17="","",IFERROR(VLOOKUP($A17,'Catálogo'!$A:$B,2,FALSE),""))</f>
      </c>
      <c r="D17" s="12">
        <f>IF($J17="","",$L17)</f>
      </c>
      <c r="E17" s="11">
        <f>IF(OR($J17="",$L17=0),"",$N17/$L17)</f>
      </c>
      <c r="F17" s="16">
        <f>IF($A17="","",$D17*$E17)</f>
      </c>
      <c r="G17" s="17">
        <f>IF($A17="","",IFERROR(VLOOKUP($A17,'Catálogo'!$A:$L,12,FALSE),0))</f>
      </c>
      <c r="H17" s="16">
        <f>IF($F17="","",ROUND($F17*$G17/100,0))</f>
      </c>
    </row>
    <row r="18">
      <c r="A18" s="19">
        <f>IF($J18="","",$J18)</f>
      </c>
      <c r="B18" s="19">
        <f>IF($A18="","",IFERROR(VLOOKUP($A18,'Catálogo'!$A:$B,2,FALSE),""))</f>
      </c>
      <c r="D18" s="12">
        <f>IF($J18="","",$L18)</f>
      </c>
      <c r="E18" s="11">
        <f>IF(OR($J18="",$L18=0),"",$N18/$L18)</f>
      </c>
      <c r="F18" s="16">
        <f>IF($A18="","",$D18*$E18)</f>
      </c>
      <c r="G18" s="17">
        <f>IF($A18="","",IFERROR(VLOOKUP($A18,'Catálogo'!$A:$L,12,FALSE),0))</f>
      </c>
      <c r="H18" s="16">
        <f>IF($F18="","",ROUND($F18*$G18/100,0))</f>
      </c>
    </row>
    <row r="19">
      <c r="A19" s="19">
        <f>IF($J19="","",$J19)</f>
      </c>
      <c r="B19" s="19">
        <f>IF($A19="","",IFERROR(VLOOKUP($A19,'Catálogo'!$A:$B,2,FALSE),""))</f>
      </c>
      <c r="D19" s="12">
        <f>IF($J19="","",$L19)</f>
      </c>
      <c r="E19" s="11">
        <f>IF(OR($J19="",$L19=0),"",$N19/$L19)</f>
      </c>
      <c r="F19" s="16">
        <f>IF($A19="","",$D19*$E19)</f>
      </c>
      <c r="G19" s="17">
        <f>IF($A19="","",IFERROR(VLOOKUP($A19,'Catálogo'!$A:$L,12,FALSE),0))</f>
      </c>
      <c r="H19" s="16">
        <f>IF($F19="","",ROUND($F19*$G19/100,0))</f>
      </c>
    </row>
    <row r="20">
      <c r="A20" s="19">
        <f>IF($J20="","",$J20)</f>
      </c>
      <c r="B20" s="19">
        <f>IF($A20="","",IFERROR(VLOOKUP($A20,'Catálogo'!$A:$B,2,FALSE),""))</f>
      </c>
      <c r="D20" s="12">
        <f>IF($J20="","",$L20)</f>
      </c>
      <c r="E20" s="11">
        <f>IF(OR($J20="",$L20=0),"",$N20/$L20)</f>
      </c>
      <c r="F20" s="16">
        <f>IF($A20="","",$D20*$E20)</f>
      </c>
      <c r="G20" s="17">
        <f>IF($A20="","",IFERROR(VLOOKUP($A20,'Catálogo'!$A:$L,12,FALSE),0))</f>
      </c>
      <c r="H20" s="16">
        <f>IF($F20="","",ROUND($F20*$G20/100,0))</f>
      </c>
    </row>
    <row r="21">
      <c r="A21" s="19">
        <f>IF($J21="","",$J21)</f>
      </c>
      <c r="B21" s="19">
        <f>IF($A21="","",IFERROR(VLOOKUP($A21,'Catálogo'!$A:$B,2,FALSE),""))</f>
      </c>
      <c r="D21" s="12">
        <f>IF($J21="","",$L21)</f>
      </c>
      <c r="E21" s="11">
        <f>IF(OR($J21="",$L21=0),"",$N21/$L21)</f>
      </c>
      <c r="F21" s="16">
        <f>IF($A21="","",$D21*$E21)</f>
      </c>
      <c r="G21" s="17">
        <f>IF($A21="","",IFERROR(VLOOKUP($A21,'Catálogo'!$A:$L,12,FALSE),0))</f>
      </c>
      <c r="H21" s="16">
        <f>IF($F21="","",ROUND($F21*$G21/100,0))</f>
      </c>
    </row>
    <row r="22">
      <c r="A22" s="19">
        <f>IF($J22="","",$J22)</f>
      </c>
      <c r="B22" s="19">
        <f>IF($A22="","",IFERROR(VLOOKUP($A22,'Catálogo'!$A:$B,2,FALSE),""))</f>
      </c>
      <c r="D22" s="12">
        <f>IF($J22="","",$L22)</f>
      </c>
      <c r="E22" s="11">
        <f>IF(OR($J22="",$L22=0),"",$N22/$L22)</f>
      </c>
      <c r="F22" s="16">
        <f>IF($A22="","",$D22*$E22)</f>
      </c>
      <c r="G22" s="17">
        <f>IF($A22="","",IFERROR(VLOOKUP($A22,'Catálogo'!$A:$L,12,FALSE),0))</f>
      </c>
      <c r="H22" s="16">
        <f>IF($F22="","",ROUND($F22*$G22/100,0))</f>
      </c>
    </row>
    <row r="23">
      <c r="A23" s="19">
        <f>IF($J23="","",$J23)</f>
      </c>
      <c r="B23" s="19">
        <f>IF($A23="","",IFERROR(VLOOKUP($A23,'Catálogo'!$A:$B,2,FALSE),""))</f>
      </c>
      <c r="D23" s="12">
        <f>IF($J23="","",$L23)</f>
      </c>
      <c r="E23" s="11">
        <f>IF(OR($J23="",$L23=0),"",$N23/$L23)</f>
      </c>
      <c r="F23" s="16">
        <f>IF($A23="","",$D23*$E23)</f>
      </c>
      <c r="G23" s="17">
        <f>IF($A23="","",IFERROR(VLOOKUP($A23,'Catálogo'!$A:$L,12,FALSE),0))</f>
      </c>
      <c r="H23" s="16">
        <f>IF($F23="","",ROUND($F23*$G23/100,0))</f>
      </c>
    </row>
    <row r="24">
      <c r="A24" s="19">
        <f>IF($J24="","",$J24)</f>
      </c>
      <c r="B24" s="19">
        <f>IF($A24="","",IFERROR(VLOOKUP($A24,'Catálogo'!$A:$B,2,FALSE),""))</f>
      </c>
      <c r="D24" s="12">
        <f>IF($J24="","",$L24)</f>
      </c>
      <c r="E24" s="11">
        <f>IF(OR($J24="",$L24=0),"",$N24/$L24)</f>
      </c>
      <c r="F24" s="16">
        <f>IF($A24="","",$D24*$E24)</f>
      </c>
      <c r="G24" s="17">
        <f>IF($A24="","",IFERROR(VLOOKUP($A24,'Catálogo'!$A:$L,12,FALSE),0))</f>
      </c>
      <c r="H24" s="16">
        <f>IF($F24="","",ROUND($F24*$G24/100,0))</f>
      </c>
    </row>
    <row r="25">
      <c r="A25" s="8" t="inlineStr">
        <is>
          <t xml:space="preserve">Observaciones:</t>
        </is>
      </c>
    </row>
    <row r="26">
      <c r="A26" s="10"/>
      <c r="D26" s="8" t="inlineStr">
        <is>
          <t xml:space="preserve">Subtotal:</t>
        </is>
      </c>
      <c r="F26" s="11">
        <f>SUM($F$13:$F$24)</f>
      </c>
    </row>
    <row r="27">
      <c r="D27" s="8" t="inlineStr">
        <is>
          <t xml:space="preserve">IVA:</t>
        </is>
      </c>
      <c r="F27" s="11">
        <f>SUM($H$13:$H$24)</f>
      </c>
    </row>
    <row r="28" ht="26.00" customHeight="1">
      <c r="D28" s="34" t="inlineStr">
        <is>
          <t xml:space="preserve">TOTAL A PAGAR:</t>
        </is>
      </c>
      <c r="F28" s="35">
        <f>$F$26+$F$27</f>
      </c>
    </row>
    <row r="31">
      <c r="A31" s="36">
        <f>'Config'!$B$10</f>
      </c>
    </row>
    <row r="32">
      <c r="A32" s="37" t="inlineStr">
        <is>
          <t xml:space="preserve">Documento generado electrónicamente · Sistema de Gestión</t>
        </is>
      </c>
    </row>
  </sheetData>
  <mergeCells count="36">
    <mergeCell ref="B1:C1"/>
    <mergeCell ref="B2:C2"/>
    <mergeCell ref="B3:C3"/>
    <mergeCell ref="B4:C4"/>
    <mergeCell ref="B5:C5"/>
    <mergeCell ref="A1:A5"/>
    <mergeCell ref="D1:F1"/>
    <mergeCell ref="E2:F2"/>
    <mergeCell ref="E3:F3"/>
    <mergeCell ref="E4:F4"/>
    <mergeCell ref="E5:F5"/>
    <mergeCell ref="A7:F7"/>
    <mergeCell ref="B8:C8"/>
    <mergeCell ref="E8:F8"/>
    <mergeCell ref="B9:C9"/>
    <mergeCell ref="E9:F9"/>
    <mergeCell ref="B10:F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6:C29"/>
    <mergeCell ref="D26:E26"/>
    <mergeCell ref="D27:E27"/>
    <mergeCell ref="D28:E28"/>
    <mergeCell ref="A31:F31"/>
    <mergeCell ref="A32:F32"/>
  </mergeCells>
  <dataValidations count="1">
    <dataValidation type="list" allowBlank="1" showInputMessage="1" showErrorMessage="0" sqref="E2:E2">
      <formula1>'Ventas'!$B$2:$B$301</formula1>
    </dataValidation>
  </dataValidations>
  <pageMargins left="0.5" right="0.5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5"/>
  <sheetViews>
    <sheetView workbookViewId="0" showGridLines="0"/>
  </sheetViews>
  <sheetFormatPr defaultRowHeight="15"/>
  <cols>
    <col min="1" max="1" width="22.00" customWidth="1"/>
    <col min="2" max="2" width="30.00" customWidth="1"/>
    <col min="3" max="3" width="30.00" customWidth="1"/>
    <col min="4" max="4" width="20.00" customWidth="1"/>
    <col min="5" max="5" width="16.00" customWidth="1"/>
    <col min="8" max="8" width="10.00" customWidth="1" hidden="1"/>
    <col min="9" max="9" width="10.00" customWidth="1" hidden="1"/>
    <col min="10" max="10" width="10.00" customWidth="1" hidden="1"/>
    <col min="11" max="11" width="10.00" customWidth="1" hidden="1"/>
    <col min="12" max="12" width="10.00" customWidth="1" hidden="1"/>
    <col min="13" max="13" width="10.00" customWidth="1" hidden="1"/>
    <col min="14" max="14" width="10.00" customWidth="1" hidden="1"/>
    <col min="15" max="15" width="10.00" customWidth="1" hidden="1"/>
    <col min="16" max="16" width="10.00" customWidth="1" hidden="1"/>
    <col min="17" max="17" width="10.00" customWidth="1" hidden="1"/>
    <col min="18" max="18" width="10.00" customWidth="1" hidden="1"/>
    <col min="19" max="19" width="10.00" customWidth="1" hidden="1"/>
    <col min="20" max="20" width="10.00" customWidth="1" hidden="1"/>
    <col min="21" max="21" width="10.00" customWidth="1" hidden="1"/>
    <col min="22" max="22" width="10.00" customWidth="1" hidden="1"/>
    <col min="23" max="23" width="10.00" customWidth="1" hidden="1"/>
    <col min="24" max="24" width="10.00" customWidth="1" hidden="1"/>
    <col min="25" max="25" width="10.00" customWidth="1" hidden="1"/>
  </cols>
  <sheetData>
    <row r="1" ht="44.00" customHeight="1">
      <c r="A1" s="43">
        <f>'Config'!$B$2</f>
      </c>
    </row>
    <row r="2" ht="24.00" customHeight="1">
      <c r="A2" s="6">
        <f>"Catálogo de productos · "&amp;$B$3&amp;" · Precio "&amp;$D$3</f>
      </c>
    </row>
    <row r="3" ht="22.00" customHeight="1">
      <c r="A3" s="8" t="inlineStr">
        <is>
          <t xml:space="preserve">Categoría:</t>
        </is>
      </c>
      <c r="B3" s="20" t="inlineStr">
        <is>
          <t xml:space="preserve">TODAS</t>
        </is>
      </c>
      <c r="C3" s="8" t="inlineStr">
        <is>
          <t xml:space="preserve">Tipo de precio:</t>
        </is>
      </c>
      <c r="D3" s="20" t="inlineStr">
        <is>
          <t xml:space="preserve">Detal</t>
        </is>
      </c>
    </row>
    <row r="5" ht="24.00" customHeight="1">
      <c r="A5" s="1" t="inlineStr">
        <is>
          <t xml:space="preserve">Imagen</t>
        </is>
      </c>
      <c r="B5" s="1" t="inlineStr">
        <is>
          <t xml:space="preserve">Producto</t>
        </is>
      </c>
      <c r="C5" s="1" t="inlineStr">
        <is>
          <t xml:space="preserve">Medidas / Código</t>
        </is>
      </c>
      <c r="D5" s="1" t="inlineStr">
        <is>
          <t xml:space="preserve">Precio</t>
        </is>
      </c>
      <c r="E5" s="1" t="inlineStr">
        <is>
          <t xml:space="preserve">Disp. Casa (und)</t>
        </is>
      </c>
    </row>
    <row r="6" ht="90.00" customHeight="1">
      <c r="A6" s="39">
        <f>IF($H6="","",IFERROR(IMAGE($T6,1),""))</f>
      </c>
      <c r="B6" s="40">
        <f>IF($H6="","",$I6)</f>
      </c>
      <c r="C6" s="41">
        <f>IF($H6="","",IF($Y6="","Cód: "&amp;$H6,"Medidas: "&amp;$Y6&amp;"  ·  Cód: "&amp;$H6))</f>
      </c>
      <c r="D6" s="42">
        <f>IF($H6="","",IF($D$3="Mayor",$V6,$U6))</f>
      </c>
      <c r="E6" s="12">
        <f>IF($H6="","",$N6)</f>
      </c>
      <c r="H6" s="41">
        <f>IFERROR(SORT(FILTER('Catálogo'!$A$2:$R$2000,('Catálogo'!$A$2:$A$2000&lt;&gt;"")*('Catálogo'!$D$2:$D$2000&lt;&gt;"Inactivo")*(($B$3="TODAS")+('Catálogo'!$C$2:$C$2000=$B$3))),3,TRUE,18,TRUE,2,TRUE),"")</f>
      </c>
    </row>
    <row r="7" ht="90.00" customHeight="1">
      <c r="A7" s="39">
        <f>IF($H7="","",IFERROR(IMAGE($T7,1),""))</f>
      </c>
      <c r="B7" s="40">
        <f>IF($H7="","",$I7)</f>
      </c>
      <c r="C7" s="41">
        <f>IF($H7="","",IF($Y7="","Cód: "&amp;$H7,"Medidas: "&amp;$Y7&amp;"  ·  Cód: "&amp;$H7))</f>
      </c>
      <c r="D7" s="42">
        <f>IF($H7="","",IF($D$3="Mayor",$V7,$U7))</f>
      </c>
      <c r="E7" s="12">
        <f>IF($H7="","",$N7)</f>
      </c>
    </row>
    <row r="8" ht="90.00" customHeight="1">
      <c r="A8" s="39">
        <f>IF($H8="","",IFERROR(IMAGE($T8,1),""))</f>
      </c>
      <c r="B8" s="40">
        <f>IF($H8="","",$I8)</f>
      </c>
      <c r="C8" s="41">
        <f>IF($H8="","",IF($Y8="","Cód: "&amp;$H8,"Medidas: "&amp;$Y8&amp;"  ·  Cód: "&amp;$H8))</f>
      </c>
      <c r="D8" s="42">
        <f>IF($H8="","",IF($D$3="Mayor",$V8,$U8))</f>
      </c>
      <c r="E8" s="12">
        <f>IF($H8="","",$N8)</f>
      </c>
    </row>
    <row r="9" ht="90.00" customHeight="1">
      <c r="A9" s="39">
        <f>IF($H9="","",IFERROR(IMAGE($T9,1),""))</f>
      </c>
      <c r="B9" s="40">
        <f>IF($H9="","",$I9)</f>
      </c>
      <c r="C9" s="41">
        <f>IF($H9="","",IF($Y9="","Cód: "&amp;$H9,"Medidas: "&amp;$Y9&amp;"  ·  Cód: "&amp;$H9))</f>
      </c>
      <c r="D9" s="42">
        <f>IF($H9="","",IF($D$3="Mayor",$V9,$U9))</f>
      </c>
      <c r="E9" s="12">
        <f>IF($H9="","",$N9)</f>
      </c>
    </row>
    <row r="10" ht="90.00" customHeight="1">
      <c r="A10" s="39">
        <f>IF($H10="","",IFERROR(IMAGE($T10,1),""))</f>
      </c>
      <c r="B10" s="40">
        <f>IF($H10="","",$I10)</f>
      </c>
      <c r="C10" s="41">
        <f>IF($H10="","",IF($Y10="","Cód: "&amp;$H10,"Medidas: "&amp;$Y10&amp;"  ·  Cód: "&amp;$H10))</f>
      </c>
      <c r="D10" s="42">
        <f>IF($H10="","",IF($D$3="Mayor",$V10,$U10))</f>
      </c>
      <c r="E10" s="12">
        <f>IF($H10="","",$N10)</f>
      </c>
    </row>
    <row r="11" ht="90.00" customHeight="1">
      <c r="A11" s="39">
        <f>IF($H11="","",IFERROR(IMAGE($T11,1),""))</f>
      </c>
      <c r="B11" s="40">
        <f>IF($H11="","",$I11)</f>
      </c>
      <c r="C11" s="41">
        <f>IF($H11="","",IF($Y11="","Cód: "&amp;$H11,"Medidas: "&amp;$Y11&amp;"  ·  Cód: "&amp;$H11))</f>
      </c>
      <c r="D11" s="42">
        <f>IF($H11="","",IF($D$3="Mayor",$V11,$U11))</f>
      </c>
      <c r="E11" s="12">
        <f>IF($H11="","",$N11)</f>
      </c>
    </row>
    <row r="12" ht="90.00" customHeight="1">
      <c r="A12" s="39">
        <f>IF($H12="","",IFERROR(IMAGE($T12,1),""))</f>
      </c>
      <c r="B12" s="40">
        <f>IF($H12="","",$I12)</f>
      </c>
      <c r="C12" s="41">
        <f>IF($H12="","",IF($Y12="","Cód: "&amp;$H12,"Medidas: "&amp;$Y12&amp;"  ·  Cód: "&amp;$H12))</f>
      </c>
      <c r="D12" s="42">
        <f>IF($H12="","",IF($D$3="Mayor",$V12,$U12))</f>
      </c>
      <c r="E12" s="12">
        <f>IF($H12="","",$N12)</f>
      </c>
    </row>
    <row r="13" ht="90.00" customHeight="1">
      <c r="A13" s="39">
        <f>IF($H13="","",IFERROR(IMAGE($T13,1),""))</f>
      </c>
      <c r="B13" s="40">
        <f>IF($H13="","",$I13)</f>
      </c>
      <c r="C13" s="41">
        <f>IF($H13="","",IF($Y13="","Cód: "&amp;$H13,"Medidas: "&amp;$Y13&amp;"  ·  Cód: "&amp;$H13))</f>
      </c>
      <c r="D13" s="42">
        <f>IF($H13="","",IF($D$3="Mayor",$V13,$U13))</f>
      </c>
      <c r="E13" s="12">
        <f>IF($H13="","",$N13)</f>
      </c>
    </row>
    <row r="14" ht="90.00" customHeight="1">
      <c r="A14" s="39">
        <f>IF($H14="","",IFERROR(IMAGE($T14,1),""))</f>
      </c>
      <c r="B14" s="40">
        <f>IF($H14="","",$I14)</f>
      </c>
      <c r="C14" s="41">
        <f>IF($H14="","",IF($Y14="","Cód: "&amp;$H14,"Medidas: "&amp;$Y14&amp;"  ·  Cód: "&amp;$H14))</f>
      </c>
      <c r="D14" s="42">
        <f>IF($H14="","",IF($D$3="Mayor",$V14,$U14))</f>
      </c>
      <c r="E14" s="12">
        <f>IF($H14="","",$N14)</f>
      </c>
    </row>
    <row r="15" ht="90.00" customHeight="1">
      <c r="A15" s="39">
        <f>IF($H15="","",IFERROR(IMAGE($T15,1),""))</f>
      </c>
      <c r="B15" s="40">
        <f>IF($H15="","",$I15)</f>
      </c>
      <c r="C15" s="41">
        <f>IF($H15="","",IF($Y15="","Cód: "&amp;$H15,"Medidas: "&amp;$Y15&amp;"  ·  Cód: "&amp;$H15))</f>
      </c>
      <c r="D15" s="42">
        <f>IF($H15="","",IF($D$3="Mayor",$V15,$U15))</f>
      </c>
      <c r="E15" s="12">
        <f>IF($H15="","",$N15)</f>
      </c>
    </row>
    <row r="16" ht="90.00" customHeight="1">
      <c r="A16" s="39">
        <f>IF($H16="","",IFERROR(IMAGE($T16,1),""))</f>
      </c>
      <c r="B16" s="40">
        <f>IF($H16="","",$I16)</f>
      </c>
      <c r="C16" s="41">
        <f>IF($H16="","",IF($Y16="","Cód: "&amp;$H16,"Medidas: "&amp;$Y16&amp;"  ·  Cód: "&amp;$H16))</f>
      </c>
      <c r="D16" s="42">
        <f>IF($H16="","",IF($D$3="Mayor",$V16,$U16))</f>
      </c>
      <c r="E16" s="12">
        <f>IF($H16="","",$N16)</f>
      </c>
    </row>
    <row r="17" ht="90.00" customHeight="1">
      <c r="A17" s="39">
        <f>IF($H17="","",IFERROR(IMAGE($T17,1),""))</f>
      </c>
      <c r="B17" s="40">
        <f>IF($H17="","",$I17)</f>
      </c>
      <c r="C17" s="41">
        <f>IF($H17="","",IF($Y17="","Cód: "&amp;$H17,"Medidas: "&amp;$Y17&amp;"  ·  Cód: "&amp;$H17))</f>
      </c>
      <c r="D17" s="42">
        <f>IF($H17="","",IF($D$3="Mayor",$V17,$U17))</f>
      </c>
      <c r="E17" s="12">
        <f>IF($H17="","",$N17)</f>
      </c>
    </row>
    <row r="18" ht="90.00" customHeight="1">
      <c r="A18" s="39">
        <f>IF($H18="","",IFERROR(IMAGE($T18,1),""))</f>
      </c>
      <c r="B18" s="40">
        <f>IF($H18="","",$I18)</f>
      </c>
      <c r="C18" s="41">
        <f>IF($H18="","",IF($Y18="","Cód: "&amp;$H18,"Medidas: "&amp;$Y18&amp;"  ·  Cód: "&amp;$H18))</f>
      </c>
      <c r="D18" s="42">
        <f>IF($H18="","",IF($D$3="Mayor",$V18,$U18))</f>
      </c>
      <c r="E18" s="12">
        <f>IF($H18="","",$N18)</f>
      </c>
    </row>
    <row r="19" ht="90.00" customHeight="1">
      <c r="A19" s="39">
        <f>IF($H19="","",IFERROR(IMAGE($T19,1),""))</f>
      </c>
      <c r="B19" s="40">
        <f>IF($H19="","",$I19)</f>
      </c>
      <c r="C19" s="41">
        <f>IF($H19="","",IF($Y19="","Cód: "&amp;$H19,"Medidas: "&amp;$Y19&amp;"  ·  Cód: "&amp;$H19))</f>
      </c>
      <c r="D19" s="42">
        <f>IF($H19="","",IF($D$3="Mayor",$V19,$U19))</f>
      </c>
      <c r="E19" s="12">
        <f>IF($H19="","",$N19)</f>
      </c>
    </row>
    <row r="20" ht="90.00" customHeight="1">
      <c r="A20" s="39">
        <f>IF($H20="","",IFERROR(IMAGE($T20,1),""))</f>
      </c>
      <c r="B20" s="40">
        <f>IF($H20="","",$I20)</f>
      </c>
      <c r="C20" s="41">
        <f>IF($H20="","",IF($Y20="","Cód: "&amp;$H20,"Medidas: "&amp;$Y20&amp;"  ·  Cód: "&amp;$H20))</f>
      </c>
      <c r="D20" s="42">
        <f>IF($H20="","",IF($D$3="Mayor",$V20,$U20))</f>
      </c>
      <c r="E20" s="12">
        <f>IF($H20="","",$N20)</f>
      </c>
    </row>
    <row r="21" ht="90.00" customHeight="1">
      <c r="A21" s="39">
        <f>IF($H21="","",IFERROR(IMAGE($T21,1),""))</f>
      </c>
      <c r="B21" s="40">
        <f>IF($H21="","",$I21)</f>
      </c>
      <c r="C21" s="41">
        <f>IF($H21="","",IF($Y21="","Cód: "&amp;$H21,"Medidas: "&amp;$Y21&amp;"  ·  Cód: "&amp;$H21))</f>
      </c>
      <c r="D21" s="42">
        <f>IF($H21="","",IF($D$3="Mayor",$V21,$U21))</f>
      </c>
      <c r="E21" s="12">
        <f>IF($H21="","",$N21)</f>
      </c>
    </row>
    <row r="22" ht="90.00" customHeight="1">
      <c r="A22" s="39">
        <f>IF($H22="","",IFERROR(IMAGE($T22,1),""))</f>
      </c>
      <c r="B22" s="40">
        <f>IF($H22="","",$I22)</f>
      </c>
      <c r="C22" s="41">
        <f>IF($H22="","",IF($Y22="","Cód: "&amp;$H22,"Medidas: "&amp;$Y22&amp;"  ·  Cód: "&amp;$H22))</f>
      </c>
      <c r="D22" s="42">
        <f>IF($H22="","",IF($D$3="Mayor",$V22,$U22))</f>
      </c>
      <c r="E22" s="12">
        <f>IF($H22="","",$N22)</f>
      </c>
    </row>
    <row r="23" ht="90.00" customHeight="1">
      <c r="A23" s="39">
        <f>IF($H23="","",IFERROR(IMAGE($T23,1),""))</f>
      </c>
      <c r="B23" s="40">
        <f>IF($H23="","",$I23)</f>
      </c>
      <c r="C23" s="41">
        <f>IF($H23="","",IF($Y23="","Cód: "&amp;$H23,"Medidas: "&amp;$Y23&amp;"  ·  Cód: "&amp;$H23))</f>
      </c>
      <c r="D23" s="42">
        <f>IF($H23="","",IF($D$3="Mayor",$V23,$U23))</f>
      </c>
      <c r="E23" s="12">
        <f>IF($H23="","",$N23)</f>
      </c>
    </row>
    <row r="24" ht="90.00" customHeight="1">
      <c r="A24" s="39">
        <f>IF($H24="","",IFERROR(IMAGE($T24,1),""))</f>
      </c>
      <c r="B24" s="40">
        <f>IF($H24="","",$I24)</f>
      </c>
      <c r="C24" s="41">
        <f>IF($H24="","",IF($Y24="","Cód: "&amp;$H24,"Medidas: "&amp;$Y24&amp;"  ·  Cód: "&amp;$H24))</f>
      </c>
      <c r="D24" s="42">
        <f>IF($H24="","",IF($D$3="Mayor",$V24,$U24))</f>
      </c>
      <c r="E24" s="12">
        <f>IF($H24="","",$N24)</f>
      </c>
    </row>
    <row r="25" ht="90.00" customHeight="1">
      <c r="A25" s="39">
        <f>IF($H25="","",IFERROR(IMAGE($T25,1),""))</f>
      </c>
      <c r="B25" s="40">
        <f>IF($H25="","",$I25)</f>
      </c>
      <c r="C25" s="41">
        <f>IF($H25="","",IF($Y25="","Cód: "&amp;$H25,"Medidas: "&amp;$Y25&amp;"  ·  Cód: "&amp;$H25))</f>
      </c>
      <c r="D25" s="42">
        <f>IF($H25="","",IF($D$3="Mayor",$V25,$U25))</f>
      </c>
      <c r="E25" s="12">
        <f>IF($H25="","",$N25)</f>
      </c>
    </row>
    <row r="26" ht="90.00" customHeight="1">
      <c r="A26" s="39">
        <f>IF($H26="","",IFERROR(IMAGE($T26,1),""))</f>
      </c>
      <c r="B26" s="40">
        <f>IF($H26="","",$I26)</f>
      </c>
      <c r="C26" s="41">
        <f>IF($H26="","",IF($Y26="","Cód: "&amp;$H26,"Medidas: "&amp;$Y26&amp;"  ·  Cód: "&amp;$H26))</f>
      </c>
      <c r="D26" s="42">
        <f>IF($H26="","",IF($D$3="Mayor",$V26,$U26))</f>
      </c>
      <c r="E26" s="12">
        <f>IF($H26="","",$N26)</f>
      </c>
    </row>
    <row r="27" ht="90.00" customHeight="1">
      <c r="A27" s="39">
        <f>IF($H27="","",IFERROR(IMAGE($T27,1),""))</f>
      </c>
      <c r="B27" s="40">
        <f>IF($H27="","",$I27)</f>
      </c>
      <c r="C27" s="41">
        <f>IF($H27="","",IF($Y27="","Cód: "&amp;$H27,"Medidas: "&amp;$Y27&amp;"  ·  Cód: "&amp;$H27))</f>
      </c>
      <c r="D27" s="42">
        <f>IF($H27="","",IF($D$3="Mayor",$V27,$U27))</f>
      </c>
      <c r="E27" s="12">
        <f>IF($H27="","",$N27)</f>
      </c>
    </row>
    <row r="28" ht="90.00" customHeight="1">
      <c r="A28" s="39">
        <f>IF($H28="","",IFERROR(IMAGE($T28,1),""))</f>
      </c>
      <c r="B28" s="40">
        <f>IF($H28="","",$I28)</f>
      </c>
      <c r="C28" s="41">
        <f>IF($H28="","",IF($Y28="","Cód: "&amp;$H28,"Medidas: "&amp;$Y28&amp;"  ·  Cód: "&amp;$H28))</f>
      </c>
      <c r="D28" s="42">
        <f>IF($H28="","",IF($D$3="Mayor",$V28,$U28))</f>
      </c>
      <c r="E28" s="12">
        <f>IF($H28="","",$N28)</f>
      </c>
    </row>
    <row r="29" ht="90.00" customHeight="1">
      <c r="A29" s="39">
        <f>IF($H29="","",IFERROR(IMAGE($T29,1),""))</f>
      </c>
      <c r="B29" s="40">
        <f>IF($H29="","",$I29)</f>
      </c>
      <c r="C29" s="41">
        <f>IF($H29="","",IF($Y29="","Cód: "&amp;$H29,"Medidas: "&amp;$Y29&amp;"  ·  Cód: "&amp;$H29))</f>
      </c>
      <c r="D29" s="42">
        <f>IF($H29="","",IF($D$3="Mayor",$V29,$U29))</f>
      </c>
      <c r="E29" s="12">
        <f>IF($H29="","",$N29)</f>
      </c>
    </row>
    <row r="30" ht="90.00" customHeight="1">
      <c r="A30" s="39">
        <f>IF($H30="","",IFERROR(IMAGE($T30,1),""))</f>
      </c>
      <c r="B30" s="40">
        <f>IF($H30="","",$I30)</f>
      </c>
      <c r="C30" s="41">
        <f>IF($H30="","",IF($Y30="","Cód: "&amp;$H30,"Medidas: "&amp;$Y30&amp;"  ·  Cód: "&amp;$H30))</f>
      </c>
      <c r="D30" s="42">
        <f>IF($H30="","",IF($D$3="Mayor",$V30,$U30))</f>
      </c>
      <c r="E30" s="12">
        <f>IF($H30="","",$N30)</f>
      </c>
    </row>
    <row r="31" ht="90.00" customHeight="1">
      <c r="A31" s="39">
        <f>IF($H31="","",IFERROR(IMAGE($T31,1),""))</f>
      </c>
      <c r="B31" s="40">
        <f>IF($H31="","",$I31)</f>
      </c>
      <c r="C31" s="41">
        <f>IF($H31="","",IF($Y31="","Cód: "&amp;$H31,"Medidas: "&amp;$Y31&amp;"  ·  Cód: "&amp;$H31))</f>
      </c>
      <c r="D31" s="42">
        <f>IF($H31="","",IF($D$3="Mayor",$V31,$U31))</f>
      </c>
      <c r="E31" s="12">
        <f>IF($H31="","",$N31)</f>
      </c>
    </row>
    <row r="32" ht="90.00" customHeight="1">
      <c r="A32" s="39">
        <f>IF($H32="","",IFERROR(IMAGE($T32,1),""))</f>
      </c>
      <c r="B32" s="40">
        <f>IF($H32="","",$I32)</f>
      </c>
      <c r="C32" s="41">
        <f>IF($H32="","",IF($Y32="","Cód: "&amp;$H32,"Medidas: "&amp;$Y32&amp;"  ·  Cód: "&amp;$H32))</f>
      </c>
      <c r="D32" s="42">
        <f>IF($H32="","",IF($D$3="Mayor",$V32,$U32))</f>
      </c>
      <c r="E32" s="12">
        <f>IF($H32="","",$N32)</f>
      </c>
    </row>
    <row r="33" ht="90.00" customHeight="1">
      <c r="A33" s="39">
        <f>IF($H33="","",IFERROR(IMAGE($T33,1),""))</f>
      </c>
      <c r="B33" s="40">
        <f>IF($H33="","",$I33)</f>
      </c>
      <c r="C33" s="41">
        <f>IF($H33="","",IF($Y33="","Cód: "&amp;$H33,"Medidas: "&amp;$Y33&amp;"  ·  Cód: "&amp;$H33))</f>
      </c>
      <c r="D33" s="42">
        <f>IF($H33="","",IF($D$3="Mayor",$V33,$U33))</f>
      </c>
      <c r="E33" s="12">
        <f>IF($H33="","",$N33)</f>
      </c>
    </row>
    <row r="34" ht="90.00" customHeight="1">
      <c r="A34" s="39">
        <f>IF($H34="","",IFERROR(IMAGE($T34,1),""))</f>
      </c>
      <c r="B34" s="40">
        <f>IF($H34="","",$I34)</f>
      </c>
      <c r="C34" s="41">
        <f>IF($H34="","",IF($Y34="","Cód: "&amp;$H34,"Medidas: "&amp;$Y34&amp;"  ·  Cód: "&amp;$H34))</f>
      </c>
      <c r="D34" s="42">
        <f>IF($H34="","",IF($D$3="Mayor",$V34,$U34))</f>
      </c>
      <c r="E34" s="12">
        <f>IF($H34="","",$N34)</f>
      </c>
    </row>
    <row r="35" ht="90.00" customHeight="1">
      <c r="A35" s="39">
        <f>IF($H35="","",IFERROR(IMAGE($T35,1),""))</f>
      </c>
      <c r="B35" s="40">
        <f>IF($H35="","",$I35)</f>
      </c>
      <c r="C35" s="41">
        <f>IF($H35="","",IF($Y35="","Cód: "&amp;$H35,"Medidas: "&amp;$Y35&amp;"  ·  Cód: "&amp;$H35))</f>
      </c>
      <c r="D35" s="42">
        <f>IF($H35="","",IF($D$3="Mayor",$V35,$U35))</f>
      </c>
      <c r="E35" s="12">
        <f>IF($H35="","",$N35)</f>
      </c>
    </row>
    <row r="36" ht="90.00" customHeight="1">
      <c r="A36" s="39">
        <f>IF($H36="","",IFERROR(IMAGE($T36,1),""))</f>
      </c>
      <c r="B36" s="40">
        <f>IF($H36="","",$I36)</f>
      </c>
      <c r="C36" s="41">
        <f>IF($H36="","",IF($Y36="","Cód: "&amp;$H36,"Medidas: "&amp;$Y36&amp;"  ·  Cód: "&amp;$H36))</f>
      </c>
      <c r="D36" s="42">
        <f>IF($H36="","",IF($D$3="Mayor",$V36,$U36))</f>
      </c>
      <c r="E36" s="12">
        <f>IF($H36="","",$N36)</f>
      </c>
    </row>
    <row r="37" ht="90.00" customHeight="1">
      <c r="A37" s="39">
        <f>IF($H37="","",IFERROR(IMAGE($T37,1),""))</f>
      </c>
      <c r="B37" s="40">
        <f>IF($H37="","",$I37)</f>
      </c>
      <c r="C37" s="41">
        <f>IF($H37="","",IF($Y37="","Cód: "&amp;$H37,"Medidas: "&amp;$Y37&amp;"  ·  Cód: "&amp;$H37))</f>
      </c>
      <c r="D37" s="42">
        <f>IF($H37="","",IF($D$3="Mayor",$V37,$U37))</f>
      </c>
      <c r="E37" s="12">
        <f>IF($H37="","",$N37)</f>
      </c>
    </row>
    <row r="38" ht="90.00" customHeight="1">
      <c r="A38" s="39">
        <f>IF($H38="","",IFERROR(IMAGE($T38,1),""))</f>
      </c>
      <c r="B38" s="40">
        <f>IF($H38="","",$I38)</f>
      </c>
      <c r="C38" s="41">
        <f>IF($H38="","",IF($Y38="","Cód: "&amp;$H38,"Medidas: "&amp;$Y38&amp;"  ·  Cód: "&amp;$H38))</f>
      </c>
      <c r="D38" s="42">
        <f>IF($H38="","",IF($D$3="Mayor",$V38,$U38))</f>
      </c>
      <c r="E38" s="12">
        <f>IF($H38="","",$N38)</f>
      </c>
    </row>
    <row r="39" ht="90.00" customHeight="1">
      <c r="A39" s="39">
        <f>IF($H39="","",IFERROR(IMAGE($T39,1),""))</f>
      </c>
      <c r="B39" s="40">
        <f>IF($H39="","",$I39)</f>
      </c>
      <c r="C39" s="41">
        <f>IF($H39="","",IF($Y39="","Cód: "&amp;$H39,"Medidas: "&amp;$Y39&amp;"  ·  Cód: "&amp;$H39))</f>
      </c>
      <c r="D39" s="42">
        <f>IF($H39="","",IF($D$3="Mayor",$V39,$U39))</f>
      </c>
      <c r="E39" s="12">
        <f>IF($H39="","",$N39)</f>
      </c>
    </row>
    <row r="40" ht="90.00" customHeight="1">
      <c r="A40" s="39">
        <f>IF($H40="","",IFERROR(IMAGE($T40,1),""))</f>
      </c>
      <c r="B40" s="40">
        <f>IF($H40="","",$I40)</f>
      </c>
      <c r="C40" s="41">
        <f>IF($H40="","",IF($Y40="","Cód: "&amp;$H40,"Medidas: "&amp;$Y40&amp;"  ·  Cód: "&amp;$H40))</f>
      </c>
      <c r="D40" s="42">
        <f>IF($H40="","",IF($D$3="Mayor",$V40,$U40))</f>
      </c>
      <c r="E40" s="12">
        <f>IF($H40="","",$N40)</f>
      </c>
    </row>
    <row r="41" ht="90.00" customHeight="1">
      <c r="A41" s="39">
        <f>IF($H41="","",IFERROR(IMAGE($T41,1),""))</f>
      </c>
      <c r="B41" s="40">
        <f>IF($H41="","",$I41)</f>
      </c>
      <c r="C41" s="41">
        <f>IF($H41="","",IF($Y41="","Cód: "&amp;$H41,"Medidas: "&amp;$Y41&amp;"  ·  Cód: "&amp;$H41))</f>
      </c>
      <c r="D41" s="42">
        <f>IF($H41="","",IF($D$3="Mayor",$V41,$U41))</f>
      </c>
      <c r="E41" s="12">
        <f>IF($H41="","",$N41)</f>
      </c>
    </row>
    <row r="42" ht="90.00" customHeight="1">
      <c r="A42" s="39">
        <f>IF($H42="","",IFERROR(IMAGE($T42,1),""))</f>
      </c>
      <c r="B42" s="40">
        <f>IF($H42="","",$I42)</f>
      </c>
      <c r="C42" s="41">
        <f>IF($H42="","",IF($Y42="","Cód: "&amp;$H42,"Medidas: "&amp;$Y42&amp;"  ·  Cód: "&amp;$H42))</f>
      </c>
      <c r="D42" s="42">
        <f>IF($H42="","",IF($D$3="Mayor",$V42,$U42))</f>
      </c>
      <c r="E42" s="12">
        <f>IF($H42="","",$N42)</f>
      </c>
    </row>
    <row r="43" ht="90.00" customHeight="1">
      <c r="A43" s="39">
        <f>IF($H43="","",IFERROR(IMAGE($T43,1),""))</f>
      </c>
      <c r="B43" s="40">
        <f>IF($H43="","",$I43)</f>
      </c>
      <c r="C43" s="41">
        <f>IF($H43="","",IF($Y43="","Cód: "&amp;$H43,"Medidas: "&amp;$Y43&amp;"  ·  Cód: "&amp;$H43))</f>
      </c>
      <c r="D43" s="42">
        <f>IF($H43="","",IF($D$3="Mayor",$V43,$U43))</f>
      </c>
      <c r="E43" s="12">
        <f>IF($H43="","",$N43)</f>
      </c>
    </row>
    <row r="44" ht="90.00" customHeight="1">
      <c r="A44" s="39">
        <f>IF($H44="","",IFERROR(IMAGE($T44,1),""))</f>
      </c>
      <c r="B44" s="40">
        <f>IF($H44="","",$I44)</f>
      </c>
      <c r="C44" s="41">
        <f>IF($H44="","",IF($Y44="","Cód: "&amp;$H44,"Medidas: "&amp;$Y44&amp;"  ·  Cód: "&amp;$H44))</f>
      </c>
      <c r="D44" s="42">
        <f>IF($H44="","",IF($D$3="Mayor",$V44,$U44))</f>
      </c>
      <c r="E44" s="12">
        <f>IF($H44="","",$N44)</f>
      </c>
    </row>
    <row r="45" ht="90.00" customHeight="1">
      <c r="A45" s="39">
        <f>IF($H45="","",IFERROR(IMAGE($T45,1),""))</f>
      </c>
      <c r="B45" s="40">
        <f>IF($H45="","",$I45)</f>
      </c>
      <c r="C45" s="41">
        <f>IF($H45="","",IF($Y45="","Cód: "&amp;$H45,"Medidas: "&amp;$Y45&amp;"  ·  Cód: "&amp;$H45))</f>
      </c>
      <c r="D45" s="42">
        <f>IF($H45="","",IF($D$3="Mayor",$V45,$U45))</f>
      </c>
      <c r="E45" s="12">
        <f>IF($H45="","",$N45)</f>
      </c>
    </row>
    <row r="46" ht="90.00" customHeight="1">
      <c r="A46" s="39">
        <f>IF($H46="","",IFERROR(IMAGE($T46,1),""))</f>
      </c>
      <c r="B46" s="40">
        <f>IF($H46="","",$I46)</f>
      </c>
      <c r="C46" s="41">
        <f>IF($H46="","",IF($Y46="","Cód: "&amp;$H46,"Medidas: "&amp;$Y46&amp;"  ·  Cód: "&amp;$H46))</f>
      </c>
      <c r="D46" s="42">
        <f>IF($H46="","",IF($D$3="Mayor",$V46,$U46))</f>
      </c>
      <c r="E46" s="12">
        <f>IF($H46="","",$N46)</f>
      </c>
    </row>
    <row r="47" ht="90.00" customHeight="1">
      <c r="A47" s="39">
        <f>IF($H47="","",IFERROR(IMAGE($T47,1),""))</f>
      </c>
      <c r="B47" s="40">
        <f>IF($H47="","",$I47)</f>
      </c>
      <c r="C47" s="41">
        <f>IF($H47="","",IF($Y47="","Cód: "&amp;$H47,"Medidas: "&amp;$Y47&amp;"  ·  Cód: "&amp;$H47))</f>
      </c>
      <c r="D47" s="42">
        <f>IF($H47="","",IF($D$3="Mayor",$V47,$U47))</f>
      </c>
      <c r="E47" s="12">
        <f>IF($H47="","",$N47)</f>
      </c>
    </row>
    <row r="48" ht="90.00" customHeight="1">
      <c r="A48" s="39">
        <f>IF($H48="","",IFERROR(IMAGE($T48,1),""))</f>
      </c>
      <c r="B48" s="40">
        <f>IF($H48="","",$I48)</f>
      </c>
      <c r="C48" s="41">
        <f>IF($H48="","",IF($Y48="","Cód: "&amp;$H48,"Medidas: "&amp;$Y48&amp;"  ·  Cód: "&amp;$H48))</f>
      </c>
      <c r="D48" s="42">
        <f>IF($H48="","",IF($D$3="Mayor",$V48,$U48))</f>
      </c>
      <c r="E48" s="12">
        <f>IF($H48="","",$N48)</f>
      </c>
    </row>
    <row r="49" ht="90.00" customHeight="1">
      <c r="A49" s="39">
        <f>IF($H49="","",IFERROR(IMAGE($T49,1),""))</f>
      </c>
      <c r="B49" s="40">
        <f>IF($H49="","",$I49)</f>
      </c>
      <c r="C49" s="41">
        <f>IF($H49="","",IF($Y49="","Cód: "&amp;$H49,"Medidas: "&amp;$Y49&amp;"  ·  Cód: "&amp;$H49))</f>
      </c>
      <c r="D49" s="42">
        <f>IF($H49="","",IF($D$3="Mayor",$V49,$U49))</f>
      </c>
      <c r="E49" s="12">
        <f>IF($H49="","",$N49)</f>
      </c>
    </row>
    <row r="50" ht="90.00" customHeight="1">
      <c r="A50" s="39">
        <f>IF($H50="","",IFERROR(IMAGE($T50,1),""))</f>
      </c>
      <c r="B50" s="40">
        <f>IF($H50="","",$I50)</f>
      </c>
      <c r="C50" s="41">
        <f>IF($H50="","",IF($Y50="","Cód: "&amp;$H50,"Medidas: "&amp;$Y50&amp;"  ·  Cód: "&amp;$H50))</f>
      </c>
      <c r="D50" s="42">
        <f>IF($H50="","",IF($D$3="Mayor",$V50,$U50))</f>
      </c>
      <c r="E50" s="12">
        <f>IF($H50="","",$N50)</f>
      </c>
    </row>
    <row r="51" ht="90.00" customHeight="1">
      <c r="A51" s="39">
        <f>IF($H51="","",IFERROR(IMAGE($T51,1),""))</f>
      </c>
      <c r="B51" s="40">
        <f>IF($H51="","",$I51)</f>
      </c>
      <c r="C51" s="41">
        <f>IF($H51="","",IF($Y51="","Cód: "&amp;$H51,"Medidas: "&amp;$Y51&amp;"  ·  Cód: "&amp;$H51))</f>
      </c>
      <c r="D51" s="42">
        <f>IF($H51="","",IF($D$3="Mayor",$V51,$U51))</f>
      </c>
      <c r="E51" s="12">
        <f>IF($H51="","",$N51)</f>
      </c>
    </row>
    <row r="52" ht="90.00" customHeight="1">
      <c r="A52" s="39">
        <f>IF($H52="","",IFERROR(IMAGE($T52,1),""))</f>
      </c>
      <c r="B52" s="40">
        <f>IF($H52="","",$I52)</f>
      </c>
      <c r="C52" s="41">
        <f>IF($H52="","",IF($Y52="","Cód: "&amp;$H52,"Medidas: "&amp;$Y52&amp;"  ·  Cód: "&amp;$H52))</f>
      </c>
      <c r="D52" s="42">
        <f>IF($H52="","",IF($D$3="Mayor",$V52,$U52))</f>
      </c>
      <c r="E52" s="12">
        <f>IF($H52="","",$N52)</f>
      </c>
    </row>
    <row r="53" ht="90.00" customHeight="1">
      <c r="A53" s="39">
        <f>IF($H53="","",IFERROR(IMAGE($T53,1),""))</f>
      </c>
      <c r="B53" s="40">
        <f>IF($H53="","",$I53)</f>
      </c>
      <c r="C53" s="41">
        <f>IF($H53="","",IF($Y53="","Cód: "&amp;$H53,"Medidas: "&amp;$Y53&amp;"  ·  Cód: "&amp;$H53))</f>
      </c>
      <c r="D53" s="42">
        <f>IF($H53="","",IF($D$3="Mayor",$V53,$U53))</f>
      </c>
      <c r="E53" s="12">
        <f>IF($H53="","",$N53)</f>
      </c>
    </row>
    <row r="54" ht="90.00" customHeight="1">
      <c r="A54" s="39">
        <f>IF($H54="","",IFERROR(IMAGE($T54,1),""))</f>
      </c>
      <c r="B54" s="40">
        <f>IF($H54="","",$I54)</f>
      </c>
      <c r="C54" s="41">
        <f>IF($H54="","",IF($Y54="","Cód: "&amp;$H54,"Medidas: "&amp;$Y54&amp;"  ·  Cód: "&amp;$H54))</f>
      </c>
      <c r="D54" s="42">
        <f>IF($H54="","",IF($D$3="Mayor",$V54,$U54))</f>
      </c>
      <c r="E54" s="12">
        <f>IF($H54="","",$N54)</f>
      </c>
    </row>
    <row r="55" ht="90.00" customHeight="1">
      <c r="A55" s="39">
        <f>IF($H55="","",IFERROR(IMAGE($T55,1),""))</f>
      </c>
      <c r="B55" s="40">
        <f>IF($H55="","",$I55)</f>
      </c>
      <c r="C55" s="41">
        <f>IF($H55="","",IF($Y55="","Cód: "&amp;$H55,"Medidas: "&amp;$Y55&amp;"  ·  Cód: "&amp;$H55))</f>
      </c>
      <c r="D55" s="42">
        <f>IF($H55="","",IF($D$3="Mayor",$V55,$U55))</f>
      </c>
      <c r="E55" s="12">
        <f>IF($H55="","",$N55)</f>
      </c>
    </row>
    <row r="56" ht="90.00" customHeight="1">
      <c r="A56" s="39">
        <f>IF($H56="","",IFERROR(IMAGE($T56,1),""))</f>
      </c>
      <c r="B56" s="40">
        <f>IF($H56="","",$I56)</f>
      </c>
      <c r="C56" s="41">
        <f>IF($H56="","",IF($Y56="","Cód: "&amp;$H56,"Medidas: "&amp;$Y56&amp;"  ·  Cód: "&amp;$H56))</f>
      </c>
      <c r="D56" s="42">
        <f>IF($H56="","",IF($D$3="Mayor",$V56,$U56))</f>
      </c>
      <c r="E56" s="12">
        <f>IF($H56="","",$N56)</f>
      </c>
    </row>
    <row r="57" ht="90.00" customHeight="1">
      <c r="A57" s="39">
        <f>IF($H57="","",IFERROR(IMAGE($T57,1),""))</f>
      </c>
      <c r="B57" s="40">
        <f>IF($H57="","",$I57)</f>
      </c>
      <c r="C57" s="41">
        <f>IF($H57="","",IF($Y57="","Cód: "&amp;$H57,"Medidas: "&amp;$Y57&amp;"  ·  Cód: "&amp;$H57))</f>
      </c>
      <c r="D57" s="42">
        <f>IF($H57="","",IF($D$3="Mayor",$V57,$U57))</f>
      </c>
      <c r="E57" s="12">
        <f>IF($H57="","",$N57)</f>
      </c>
    </row>
    <row r="58" ht="90.00" customHeight="1">
      <c r="A58" s="39">
        <f>IF($H58="","",IFERROR(IMAGE($T58,1),""))</f>
      </c>
      <c r="B58" s="40">
        <f>IF($H58="","",$I58)</f>
      </c>
      <c r="C58" s="41">
        <f>IF($H58="","",IF($Y58="","Cód: "&amp;$H58,"Medidas: "&amp;$Y58&amp;"  ·  Cód: "&amp;$H58))</f>
      </c>
      <c r="D58" s="42">
        <f>IF($H58="","",IF($D$3="Mayor",$V58,$U58))</f>
      </c>
      <c r="E58" s="12">
        <f>IF($H58="","",$N58)</f>
      </c>
    </row>
    <row r="59" ht="90.00" customHeight="1">
      <c r="A59" s="39">
        <f>IF($H59="","",IFERROR(IMAGE($T59,1),""))</f>
      </c>
      <c r="B59" s="40">
        <f>IF($H59="","",$I59)</f>
      </c>
      <c r="C59" s="41">
        <f>IF($H59="","",IF($Y59="","Cód: "&amp;$H59,"Medidas: "&amp;$Y59&amp;"  ·  Cód: "&amp;$H59))</f>
      </c>
      <c r="D59" s="42">
        <f>IF($H59="","",IF($D$3="Mayor",$V59,$U59))</f>
      </c>
      <c r="E59" s="12">
        <f>IF($H59="","",$N59)</f>
      </c>
    </row>
    <row r="60" ht="90.00" customHeight="1">
      <c r="A60" s="39">
        <f>IF($H60="","",IFERROR(IMAGE($T60,1),""))</f>
      </c>
      <c r="B60" s="40">
        <f>IF($H60="","",$I60)</f>
      </c>
      <c r="C60" s="41">
        <f>IF($H60="","",IF($Y60="","Cód: "&amp;$H60,"Medidas: "&amp;$Y60&amp;"  ·  Cód: "&amp;$H60))</f>
      </c>
      <c r="D60" s="42">
        <f>IF($H60="","",IF($D$3="Mayor",$V60,$U60))</f>
      </c>
      <c r="E60" s="12">
        <f>IF($H60="","",$N60)</f>
      </c>
    </row>
    <row r="61" ht="90.00" customHeight="1">
      <c r="A61" s="39">
        <f>IF($H61="","",IFERROR(IMAGE($T61,1),""))</f>
      </c>
      <c r="B61" s="40">
        <f>IF($H61="","",$I61)</f>
      </c>
      <c r="C61" s="41">
        <f>IF($H61="","",IF($Y61="","Cód: "&amp;$H61,"Medidas: "&amp;$Y61&amp;"  ·  Cód: "&amp;$H61))</f>
      </c>
      <c r="D61" s="42">
        <f>IF($H61="","",IF($D$3="Mayor",$V61,$U61))</f>
      </c>
      <c r="E61" s="12">
        <f>IF($H61="","",$N61)</f>
      </c>
    </row>
    <row r="62" ht="90.00" customHeight="1">
      <c r="A62" s="39">
        <f>IF($H62="","",IFERROR(IMAGE($T62,1),""))</f>
      </c>
      <c r="B62" s="40">
        <f>IF($H62="","",$I62)</f>
      </c>
      <c r="C62" s="41">
        <f>IF($H62="","",IF($Y62="","Cód: "&amp;$H62,"Medidas: "&amp;$Y62&amp;"  ·  Cód: "&amp;$H62))</f>
      </c>
      <c r="D62" s="42">
        <f>IF($H62="","",IF($D$3="Mayor",$V62,$U62))</f>
      </c>
      <c r="E62" s="12">
        <f>IF($H62="","",$N62)</f>
      </c>
    </row>
    <row r="63" ht="90.00" customHeight="1">
      <c r="A63" s="39">
        <f>IF($H63="","",IFERROR(IMAGE($T63,1),""))</f>
      </c>
      <c r="B63" s="40">
        <f>IF($H63="","",$I63)</f>
      </c>
      <c r="C63" s="41">
        <f>IF($H63="","",IF($Y63="","Cód: "&amp;$H63,"Medidas: "&amp;$Y63&amp;"  ·  Cód: "&amp;$H63))</f>
      </c>
      <c r="D63" s="42">
        <f>IF($H63="","",IF($D$3="Mayor",$V63,$U63))</f>
      </c>
      <c r="E63" s="12">
        <f>IF($H63="","",$N63)</f>
      </c>
    </row>
    <row r="64" ht="90.00" customHeight="1">
      <c r="A64" s="39">
        <f>IF($H64="","",IFERROR(IMAGE($T64,1),""))</f>
      </c>
      <c r="B64" s="40">
        <f>IF($H64="","",$I64)</f>
      </c>
      <c r="C64" s="41">
        <f>IF($H64="","",IF($Y64="","Cód: "&amp;$H64,"Medidas: "&amp;$Y64&amp;"  ·  Cód: "&amp;$H64))</f>
      </c>
      <c r="D64" s="42">
        <f>IF($H64="","",IF($D$3="Mayor",$V64,$U64))</f>
      </c>
      <c r="E64" s="12">
        <f>IF($H64="","",$N64)</f>
      </c>
    </row>
    <row r="65" ht="90.00" customHeight="1">
      <c r="A65" s="39">
        <f>IF($H65="","",IFERROR(IMAGE($T65,1),""))</f>
      </c>
      <c r="B65" s="40">
        <f>IF($H65="","",$I65)</f>
      </c>
      <c r="C65" s="41">
        <f>IF($H65="","",IF($Y65="","Cód: "&amp;$H65,"Medidas: "&amp;$Y65&amp;"  ·  Cód: "&amp;$H65))</f>
      </c>
      <c r="D65" s="42">
        <f>IF($H65="","",IF($D$3="Mayor",$V65,$U65))</f>
      </c>
      <c r="E65" s="12">
        <f>IF($H65="","",$N65)</f>
      </c>
    </row>
    <row r="66" ht="90.00" customHeight="1">
      <c r="A66" s="39">
        <f>IF($H66="","",IFERROR(IMAGE($T66,1),""))</f>
      </c>
      <c r="B66" s="40">
        <f>IF($H66="","",$I66)</f>
      </c>
      <c r="C66" s="41">
        <f>IF($H66="","",IF($Y66="","Cód: "&amp;$H66,"Medidas: "&amp;$Y66&amp;"  ·  Cód: "&amp;$H66))</f>
      </c>
      <c r="D66" s="42">
        <f>IF($H66="","",IF($D$3="Mayor",$V66,$U66))</f>
      </c>
      <c r="E66" s="12">
        <f>IF($H66="","",$N66)</f>
      </c>
    </row>
    <row r="67" ht="90.00" customHeight="1">
      <c r="A67" s="39">
        <f>IF($H67="","",IFERROR(IMAGE($T67,1),""))</f>
      </c>
      <c r="B67" s="40">
        <f>IF($H67="","",$I67)</f>
      </c>
      <c r="C67" s="41">
        <f>IF($H67="","",IF($Y67="","Cód: "&amp;$H67,"Medidas: "&amp;$Y67&amp;"  ·  Cód: "&amp;$H67))</f>
      </c>
      <c r="D67" s="42">
        <f>IF($H67="","",IF($D$3="Mayor",$V67,$U67))</f>
      </c>
      <c r="E67" s="12">
        <f>IF($H67="","",$N67)</f>
      </c>
    </row>
    <row r="68" ht="90.00" customHeight="1">
      <c r="A68" s="39">
        <f>IF($H68="","",IFERROR(IMAGE($T68,1),""))</f>
      </c>
      <c r="B68" s="40">
        <f>IF($H68="","",$I68)</f>
      </c>
      <c r="C68" s="41">
        <f>IF($H68="","",IF($Y68="","Cód: "&amp;$H68,"Medidas: "&amp;$Y68&amp;"  ·  Cód: "&amp;$H68))</f>
      </c>
      <c r="D68" s="42">
        <f>IF($H68="","",IF($D$3="Mayor",$V68,$U68))</f>
      </c>
      <c r="E68" s="12">
        <f>IF($H68="","",$N68)</f>
      </c>
    </row>
    <row r="69" ht="90.00" customHeight="1">
      <c r="A69" s="39">
        <f>IF($H69="","",IFERROR(IMAGE($T69,1),""))</f>
      </c>
      <c r="B69" s="40">
        <f>IF($H69="","",$I69)</f>
      </c>
      <c r="C69" s="41">
        <f>IF($H69="","",IF($Y69="","Cód: "&amp;$H69,"Medidas: "&amp;$Y69&amp;"  ·  Cód: "&amp;$H69))</f>
      </c>
      <c r="D69" s="42">
        <f>IF($H69="","",IF($D$3="Mayor",$V69,$U69))</f>
      </c>
      <c r="E69" s="12">
        <f>IF($H69="","",$N69)</f>
      </c>
    </row>
    <row r="70" ht="90.00" customHeight="1">
      <c r="A70" s="39">
        <f>IF($H70="","",IFERROR(IMAGE($T70,1),""))</f>
      </c>
      <c r="B70" s="40">
        <f>IF($H70="","",$I70)</f>
      </c>
      <c r="C70" s="41">
        <f>IF($H70="","",IF($Y70="","Cód: "&amp;$H70,"Medidas: "&amp;$Y70&amp;"  ·  Cód: "&amp;$H70))</f>
      </c>
      <c r="D70" s="42">
        <f>IF($H70="","",IF($D$3="Mayor",$V70,$U70))</f>
      </c>
      <c r="E70" s="12">
        <f>IF($H70="","",$N70)</f>
      </c>
    </row>
    <row r="71" ht="90.00" customHeight="1">
      <c r="A71" s="39">
        <f>IF($H71="","",IFERROR(IMAGE($T71,1),""))</f>
      </c>
      <c r="B71" s="40">
        <f>IF($H71="","",$I71)</f>
      </c>
      <c r="C71" s="41">
        <f>IF($H71="","",IF($Y71="","Cód: "&amp;$H71,"Medidas: "&amp;$Y71&amp;"  ·  Cód: "&amp;$H71))</f>
      </c>
      <c r="D71" s="42">
        <f>IF($H71="","",IF($D$3="Mayor",$V71,$U71))</f>
      </c>
      <c r="E71" s="12">
        <f>IF($H71="","",$N71)</f>
      </c>
    </row>
    <row r="72" ht="90.00" customHeight="1">
      <c r="A72" s="39">
        <f>IF($H72="","",IFERROR(IMAGE($T72,1),""))</f>
      </c>
      <c r="B72" s="40">
        <f>IF($H72="","",$I72)</f>
      </c>
      <c r="C72" s="41">
        <f>IF($H72="","",IF($Y72="","Cód: "&amp;$H72,"Medidas: "&amp;$Y72&amp;"  ·  Cód: "&amp;$H72))</f>
      </c>
      <c r="D72" s="42">
        <f>IF($H72="","",IF($D$3="Mayor",$V72,$U72))</f>
      </c>
      <c r="E72" s="12">
        <f>IF($H72="","",$N72)</f>
      </c>
    </row>
    <row r="73" ht="90.00" customHeight="1">
      <c r="A73" s="39">
        <f>IF($H73="","",IFERROR(IMAGE($T73,1),""))</f>
      </c>
      <c r="B73" s="40">
        <f>IF($H73="","",$I73)</f>
      </c>
      <c r="C73" s="41">
        <f>IF($H73="","",IF($Y73="","Cód: "&amp;$H73,"Medidas: "&amp;$Y73&amp;"  ·  Cód: "&amp;$H73))</f>
      </c>
      <c r="D73" s="42">
        <f>IF($H73="","",IF($D$3="Mayor",$V73,$U73))</f>
      </c>
      <c r="E73" s="12">
        <f>IF($H73="","",$N73)</f>
      </c>
    </row>
    <row r="74" ht="90.00" customHeight="1">
      <c r="A74" s="39">
        <f>IF($H74="","",IFERROR(IMAGE($T74,1),""))</f>
      </c>
      <c r="B74" s="40">
        <f>IF($H74="","",$I74)</f>
      </c>
      <c r="C74" s="41">
        <f>IF($H74="","",IF($Y74="","Cód: "&amp;$H74,"Medidas: "&amp;$Y74&amp;"  ·  Cód: "&amp;$H74))</f>
      </c>
      <c r="D74" s="42">
        <f>IF($H74="","",IF($D$3="Mayor",$V74,$U74))</f>
      </c>
      <c r="E74" s="12">
        <f>IF($H74="","",$N74)</f>
      </c>
    </row>
    <row r="75" ht="90.00" customHeight="1">
      <c r="A75" s="39">
        <f>IF($H75="","",IFERROR(IMAGE($T75,1),""))</f>
      </c>
      <c r="B75" s="40">
        <f>IF($H75="","",$I75)</f>
      </c>
      <c r="C75" s="41">
        <f>IF($H75="","",IF($Y75="","Cód: "&amp;$H75,"Medidas: "&amp;$Y75&amp;"  ·  Cód: "&amp;$H75))</f>
      </c>
      <c r="D75" s="42">
        <f>IF($H75="","",IF($D$3="Mayor",$V75,$U75))</f>
      </c>
      <c r="E75" s="12">
        <f>IF($H75="","",$N75)</f>
      </c>
    </row>
    <row r="76" ht="90.00" customHeight="1">
      <c r="A76" s="39">
        <f>IF($H76="","",IFERROR(IMAGE($T76,1),""))</f>
      </c>
      <c r="B76" s="40">
        <f>IF($H76="","",$I76)</f>
      </c>
      <c r="C76" s="41">
        <f>IF($H76="","",IF($Y76="","Cód: "&amp;$H76,"Medidas: "&amp;$Y76&amp;"  ·  Cód: "&amp;$H76))</f>
      </c>
      <c r="D76" s="42">
        <f>IF($H76="","",IF($D$3="Mayor",$V76,$U76))</f>
      </c>
      <c r="E76" s="12">
        <f>IF($H76="","",$N76)</f>
      </c>
    </row>
    <row r="77" ht="90.00" customHeight="1">
      <c r="A77" s="39">
        <f>IF($H77="","",IFERROR(IMAGE($T77,1),""))</f>
      </c>
      <c r="B77" s="40">
        <f>IF($H77="","",$I77)</f>
      </c>
      <c r="C77" s="41">
        <f>IF($H77="","",IF($Y77="","Cód: "&amp;$H77,"Medidas: "&amp;$Y77&amp;"  ·  Cód: "&amp;$H77))</f>
      </c>
      <c r="D77" s="42">
        <f>IF($H77="","",IF($D$3="Mayor",$V77,$U77))</f>
      </c>
      <c r="E77" s="12">
        <f>IF($H77="","",$N77)</f>
      </c>
    </row>
    <row r="78" ht="90.00" customHeight="1">
      <c r="A78" s="39">
        <f>IF($H78="","",IFERROR(IMAGE($T78,1),""))</f>
      </c>
      <c r="B78" s="40">
        <f>IF($H78="","",$I78)</f>
      </c>
      <c r="C78" s="41">
        <f>IF($H78="","",IF($Y78="","Cód: "&amp;$H78,"Medidas: "&amp;$Y78&amp;"  ·  Cód: "&amp;$H78))</f>
      </c>
      <c r="D78" s="42">
        <f>IF($H78="","",IF($D$3="Mayor",$V78,$U78))</f>
      </c>
      <c r="E78" s="12">
        <f>IF($H78="","",$N78)</f>
      </c>
    </row>
    <row r="79" ht="90.00" customHeight="1">
      <c r="A79" s="39">
        <f>IF($H79="","",IFERROR(IMAGE($T79,1),""))</f>
      </c>
      <c r="B79" s="40">
        <f>IF($H79="","",$I79)</f>
      </c>
      <c r="C79" s="41">
        <f>IF($H79="","",IF($Y79="","Cód: "&amp;$H79,"Medidas: "&amp;$Y79&amp;"  ·  Cód: "&amp;$H79))</f>
      </c>
      <c r="D79" s="42">
        <f>IF($H79="","",IF($D$3="Mayor",$V79,$U79))</f>
      </c>
      <c r="E79" s="12">
        <f>IF($H79="","",$N79)</f>
      </c>
    </row>
    <row r="80" ht="90.00" customHeight="1">
      <c r="A80" s="39">
        <f>IF($H80="","",IFERROR(IMAGE($T80,1),""))</f>
      </c>
      <c r="B80" s="40">
        <f>IF($H80="","",$I80)</f>
      </c>
      <c r="C80" s="41">
        <f>IF($H80="","",IF($Y80="","Cód: "&amp;$H80,"Medidas: "&amp;$Y80&amp;"  ·  Cód: "&amp;$H80))</f>
      </c>
      <c r="D80" s="42">
        <f>IF($H80="","",IF($D$3="Mayor",$V80,$U80))</f>
      </c>
      <c r="E80" s="12">
        <f>IF($H80="","",$N80)</f>
      </c>
    </row>
    <row r="81" ht="90.00" customHeight="1">
      <c r="A81" s="39">
        <f>IF($H81="","",IFERROR(IMAGE($T81,1),""))</f>
      </c>
      <c r="B81" s="40">
        <f>IF($H81="","",$I81)</f>
      </c>
      <c r="C81" s="41">
        <f>IF($H81="","",IF($Y81="","Cód: "&amp;$H81,"Medidas: "&amp;$Y81&amp;"  ·  Cód: "&amp;$H81))</f>
      </c>
      <c r="D81" s="42">
        <f>IF($H81="","",IF($D$3="Mayor",$V81,$U81))</f>
      </c>
      <c r="E81" s="12">
        <f>IF($H81="","",$N81)</f>
      </c>
    </row>
    <row r="82" ht="90.00" customHeight="1">
      <c r="A82" s="39">
        <f>IF($H82="","",IFERROR(IMAGE($T82,1),""))</f>
      </c>
      <c r="B82" s="40">
        <f>IF($H82="","",$I82)</f>
      </c>
      <c r="C82" s="41">
        <f>IF($H82="","",IF($Y82="","Cód: "&amp;$H82,"Medidas: "&amp;$Y82&amp;"  ·  Cód: "&amp;$H82))</f>
      </c>
      <c r="D82" s="42">
        <f>IF($H82="","",IF($D$3="Mayor",$V82,$U82))</f>
      </c>
      <c r="E82" s="12">
        <f>IF($H82="","",$N82)</f>
      </c>
    </row>
    <row r="83" ht="90.00" customHeight="1">
      <c r="A83" s="39">
        <f>IF($H83="","",IFERROR(IMAGE($T83,1),""))</f>
      </c>
      <c r="B83" s="40">
        <f>IF($H83="","",$I83)</f>
      </c>
      <c r="C83" s="41">
        <f>IF($H83="","",IF($Y83="","Cód: "&amp;$H83,"Medidas: "&amp;$Y83&amp;"  ·  Cód: "&amp;$H83))</f>
      </c>
      <c r="D83" s="42">
        <f>IF($H83="","",IF($D$3="Mayor",$V83,$U83))</f>
      </c>
      <c r="E83" s="12">
        <f>IF($H83="","",$N83)</f>
      </c>
    </row>
    <row r="84" ht="90.00" customHeight="1">
      <c r="A84" s="39">
        <f>IF($H84="","",IFERROR(IMAGE($T84,1),""))</f>
      </c>
      <c r="B84" s="40">
        <f>IF($H84="","",$I84)</f>
      </c>
      <c r="C84" s="41">
        <f>IF($H84="","",IF($Y84="","Cód: "&amp;$H84,"Medidas: "&amp;$Y84&amp;"  ·  Cód: "&amp;$H84))</f>
      </c>
      <c r="D84" s="42">
        <f>IF($H84="","",IF($D$3="Mayor",$V84,$U84))</f>
      </c>
      <c r="E84" s="12">
        <f>IF($H84="","",$N84)</f>
      </c>
    </row>
    <row r="85" ht="90.00" customHeight="1">
      <c r="A85" s="39">
        <f>IF($H85="","",IFERROR(IMAGE($T85,1),""))</f>
      </c>
      <c r="B85" s="40">
        <f>IF($H85="","",$I85)</f>
      </c>
      <c r="C85" s="41">
        <f>IF($H85="","",IF($Y85="","Cód: "&amp;$H85,"Medidas: "&amp;$Y85&amp;"  ·  Cód: "&amp;$H85))</f>
      </c>
      <c r="D85" s="42">
        <f>IF($H85="","",IF($D$3="Mayor",$V85,$U85))</f>
      </c>
      <c r="E85" s="12">
        <f>IF($H85="","",$N85)</f>
      </c>
    </row>
    <row r="86" ht="90.00" customHeight="1">
      <c r="A86" s="39">
        <f>IF($H86="","",IFERROR(IMAGE($T86,1),""))</f>
      </c>
      <c r="B86" s="40">
        <f>IF($H86="","",$I86)</f>
      </c>
      <c r="C86" s="41">
        <f>IF($H86="","",IF($Y86="","Cód: "&amp;$H86,"Medidas: "&amp;$Y86&amp;"  ·  Cód: "&amp;$H86))</f>
      </c>
      <c r="D86" s="42">
        <f>IF($H86="","",IF($D$3="Mayor",$V86,$U86))</f>
      </c>
      <c r="E86" s="12">
        <f>IF($H86="","",$N86)</f>
      </c>
    </row>
    <row r="87" ht="90.00" customHeight="1">
      <c r="A87" s="39">
        <f>IF($H87="","",IFERROR(IMAGE($T87,1),""))</f>
      </c>
      <c r="B87" s="40">
        <f>IF($H87="","",$I87)</f>
      </c>
      <c r="C87" s="41">
        <f>IF($H87="","",IF($Y87="","Cód: "&amp;$H87,"Medidas: "&amp;$Y87&amp;"  ·  Cód: "&amp;$H87))</f>
      </c>
      <c r="D87" s="42">
        <f>IF($H87="","",IF($D$3="Mayor",$V87,$U87))</f>
      </c>
      <c r="E87" s="12">
        <f>IF($H87="","",$N87)</f>
      </c>
    </row>
    <row r="88" ht="90.00" customHeight="1">
      <c r="A88" s="39">
        <f>IF($H88="","",IFERROR(IMAGE($T88,1),""))</f>
      </c>
      <c r="B88" s="40">
        <f>IF($H88="","",$I88)</f>
      </c>
      <c r="C88" s="41">
        <f>IF($H88="","",IF($Y88="","Cód: "&amp;$H88,"Medidas: "&amp;$Y88&amp;"  ·  Cód: "&amp;$H88))</f>
      </c>
      <c r="D88" s="42">
        <f>IF($H88="","",IF($D$3="Mayor",$V88,$U88))</f>
      </c>
      <c r="E88" s="12">
        <f>IF($H88="","",$N88)</f>
      </c>
    </row>
    <row r="89" ht="90.00" customHeight="1">
      <c r="A89" s="39">
        <f>IF($H89="","",IFERROR(IMAGE($T89,1),""))</f>
      </c>
      <c r="B89" s="40">
        <f>IF($H89="","",$I89)</f>
      </c>
      <c r="C89" s="41">
        <f>IF($H89="","",IF($Y89="","Cód: "&amp;$H89,"Medidas: "&amp;$Y89&amp;"  ·  Cód: "&amp;$H89))</f>
      </c>
      <c r="D89" s="42">
        <f>IF($H89="","",IF($D$3="Mayor",$V89,$U89))</f>
      </c>
      <c r="E89" s="12">
        <f>IF($H89="","",$N89)</f>
      </c>
    </row>
    <row r="90" ht="90.00" customHeight="1">
      <c r="A90" s="39">
        <f>IF($H90="","",IFERROR(IMAGE($T90,1),""))</f>
      </c>
      <c r="B90" s="40">
        <f>IF($H90="","",$I90)</f>
      </c>
      <c r="C90" s="41">
        <f>IF($H90="","",IF($Y90="","Cód: "&amp;$H90,"Medidas: "&amp;$Y90&amp;"  ·  Cód: "&amp;$H90))</f>
      </c>
      <c r="D90" s="42">
        <f>IF($H90="","",IF($D$3="Mayor",$V90,$U90))</f>
      </c>
      <c r="E90" s="12">
        <f>IF($H90="","",$N90)</f>
      </c>
    </row>
    <row r="91" ht="90.00" customHeight="1">
      <c r="A91" s="39">
        <f>IF($H91="","",IFERROR(IMAGE($T91,1),""))</f>
      </c>
      <c r="B91" s="40">
        <f>IF($H91="","",$I91)</f>
      </c>
      <c r="C91" s="41">
        <f>IF($H91="","",IF($Y91="","Cód: "&amp;$H91,"Medidas: "&amp;$Y91&amp;"  ·  Cód: "&amp;$H91))</f>
      </c>
      <c r="D91" s="42">
        <f>IF($H91="","",IF($D$3="Mayor",$V91,$U91))</f>
      </c>
      <c r="E91" s="12">
        <f>IF($H91="","",$N91)</f>
      </c>
    </row>
    <row r="92" ht="90.00" customHeight="1">
      <c r="A92" s="39">
        <f>IF($H92="","",IFERROR(IMAGE($T92,1),""))</f>
      </c>
      <c r="B92" s="40">
        <f>IF($H92="","",$I92)</f>
      </c>
      <c r="C92" s="41">
        <f>IF($H92="","",IF($Y92="","Cód: "&amp;$H92,"Medidas: "&amp;$Y92&amp;"  ·  Cód: "&amp;$H92))</f>
      </c>
      <c r="D92" s="42">
        <f>IF($H92="","",IF($D$3="Mayor",$V92,$U92))</f>
      </c>
      <c r="E92" s="12">
        <f>IF($H92="","",$N92)</f>
      </c>
    </row>
    <row r="93" ht="90.00" customHeight="1">
      <c r="A93" s="39">
        <f>IF($H93="","",IFERROR(IMAGE($T93,1),""))</f>
      </c>
      <c r="B93" s="40">
        <f>IF($H93="","",$I93)</f>
      </c>
      <c r="C93" s="41">
        <f>IF($H93="","",IF($Y93="","Cód: "&amp;$H93,"Medidas: "&amp;$Y93&amp;"  ·  Cód: "&amp;$H93))</f>
      </c>
      <c r="D93" s="42">
        <f>IF($H93="","",IF($D$3="Mayor",$V93,$U93))</f>
      </c>
      <c r="E93" s="12">
        <f>IF($H93="","",$N93)</f>
      </c>
    </row>
    <row r="94" ht="90.00" customHeight="1">
      <c r="A94" s="39">
        <f>IF($H94="","",IFERROR(IMAGE($T94,1),""))</f>
      </c>
      <c r="B94" s="40">
        <f>IF($H94="","",$I94)</f>
      </c>
      <c r="C94" s="41">
        <f>IF($H94="","",IF($Y94="","Cód: "&amp;$H94,"Medidas: "&amp;$Y94&amp;"  ·  Cód: "&amp;$H94))</f>
      </c>
      <c r="D94" s="42">
        <f>IF($H94="","",IF($D$3="Mayor",$V94,$U94))</f>
      </c>
      <c r="E94" s="12">
        <f>IF($H94="","",$N94)</f>
      </c>
    </row>
    <row r="95" ht="90.00" customHeight="1">
      <c r="A95" s="39">
        <f>IF($H95="","",IFERROR(IMAGE($T95,1),""))</f>
      </c>
      <c r="B95" s="40">
        <f>IF($H95="","",$I95)</f>
      </c>
      <c r="C95" s="41">
        <f>IF($H95="","",IF($Y95="","Cód: "&amp;$H95,"Medidas: "&amp;$Y95&amp;"  ·  Cód: "&amp;$H95))</f>
      </c>
      <c r="D95" s="42">
        <f>IF($H95="","",IF($D$3="Mayor",$V95,$U95))</f>
      </c>
      <c r="E95" s="12">
        <f>IF($H95="","",$N95)</f>
      </c>
    </row>
    <row r="96" ht="90.00" customHeight="1">
      <c r="A96" s="39">
        <f>IF($H96="","",IFERROR(IMAGE($T96,1),""))</f>
      </c>
      <c r="B96" s="40">
        <f>IF($H96="","",$I96)</f>
      </c>
      <c r="C96" s="41">
        <f>IF($H96="","",IF($Y96="","Cód: "&amp;$H96,"Medidas: "&amp;$Y96&amp;"  ·  Cód: "&amp;$H96))</f>
      </c>
      <c r="D96" s="42">
        <f>IF($H96="","",IF($D$3="Mayor",$V96,$U96))</f>
      </c>
      <c r="E96" s="12">
        <f>IF($H96="","",$N96)</f>
      </c>
    </row>
    <row r="97" ht="90.00" customHeight="1">
      <c r="A97" s="39">
        <f>IF($H97="","",IFERROR(IMAGE($T97,1),""))</f>
      </c>
      <c r="B97" s="40">
        <f>IF($H97="","",$I97)</f>
      </c>
      <c r="C97" s="41">
        <f>IF($H97="","",IF($Y97="","Cód: "&amp;$H97,"Medidas: "&amp;$Y97&amp;"  ·  Cód: "&amp;$H97))</f>
      </c>
      <c r="D97" s="42">
        <f>IF($H97="","",IF($D$3="Mayor",$V97,$U97))</f>
      </c>
      <c r="E97" s="12">
        <f>IF($H97="","",$N97)</f>
      </c>
    </row>
    <row r="98" ht="90.00" customHeight="1">
      <c r="A98" s="39">
        <f>IF($H98="","",IFERROR(IMAGE($T98,1),""))</f>
      </c>
      <c r="B98" s="40">
        <f>IF($H98="","",$I98)</f>
      </c>
      <c r="C98" s="41">
        <f>IF($H98="","",IF($Y98="","Cód: "&amp;$H98,"Medidas: "&amp;$Y98&amp;"  ·  Cód: "&amp;$H98))</f>
      </c>
      <c r="D98" s="42">
        <f>IF($H98="","",IF($D$3="Mayor",$V98,$U98))</f>
      </c>
      <c r="E98" s="12">
        <f>IF($H98="","",$N98)</f>
      </c>
    </row>
    <row r="99" ht="90.00" customHeight="1">
      <c r="A99" s="39">
        <f>IF($H99="","",IFERROR(IMAGE($T99,1),""))</f>
      </c>
      <c r="B99" s="40">
        <f>IF($H99="","",$I99)</f>
      </c>
      <c r="C99" s="41">
        <f>IF($H99="","",IF($Y99="","Cód: "&amp;$H99,"Medidas: "&amp;$Y99&amp;"  ·  Cód: "&amp;$H99))</f>
      </c>
      <c r="D99" s="42">
        <f>IF($H99="","",IF($D$3="Mayor",$V99,$U99))</f>
      </c>
      <c r="E99" s="12">
        <f>IF($H99="","",$N99)</f>
      </c>
    </row>
    <row r="100" ht="90.00" customHeight="1">
      <c r="A100" s="39">
        <f>IF($H100="","",IFERROR(IMAGE($T100,1),""))</f>
      </c>
      <c r="B100" s="40">
        <f>IF($H100="","",$I100)</f>
      </c>
      <c r="C100" s="41">
        <f>IF($H100="","",IF($Y100="","Cód: "&amp;$H100,"Medidas: "&amp;$Y100&amp;"  ·  Cód: "&amp;$H100))</f>
      </c>
      <c r="D100" s="42">
        <f>IF($H100="","",IF($D$3="Mayor",$V100,$U100))</f>
      </c>
      <c r="E100" s="12">
        <f>IF($H100="","",$N100)</f>
      </c>
    </row>
    <row r="101" ht="90.00" customHeight="1">
      <c r="A101" s="39">
        <f>IF($H101="","",IFERROR(IMAGE($T101,1),""))</f>
      </c>
      <c r="B101" s="40">
        <f>IF($H101="","",$I101)</f>
      </c>
      <c r="C101" s="41">
        <f>IF($H101="","",IF($Y101="","Cód: "&amp;$H101,"Medidas: "&amp;$Y101&amp;"  ·  Cód: "&amp;$H101))</f>
      </c>
      <c r="D101" s="42">
        <f>IF($H101="","",IF($D$3="Mayor",$V101,$U101))</f>
      </c>
      <c r="E101" s="12">
        <f>IF($H101="","",$N101)</f>
      </c>
    </row>
    <row r="102" ht="90.00" customHeight="1">
      <c r="A102" s="39">
        <f>IF($H102="","",IFERROR(IMAGE($T102,1),""))</f>
      </c>
      <c r="B102" s="40">
        <f>IF($H102="","",$I102)</f>
      </c>
      <c r="C102" s="41">
        <f>IF($H102="","",IF($Y102="","Cód: "&amp;$H102,"Medidas: "&amp;$Y102&amp;"  ·  Cód: "&amp;$H102))</f>
      </c>
      <c r="D102" s="42">
        <f>IF($H102="","",IF($D$3="Mayor",$V102,$U102))</f>
      </c>
      <c r="E102" s="12">
        <f>IF($H102="","",$N102)</f>
      </c>
    </row>
    <row r="103" ht="90.00" customHeight="1">
      <c r="A103" s="39">
        <f>IF($H103="","",IFERROR(IMAGE($T103,1),""))</f>
      </c>
      <c r="B103" s="40">
        <f>IF($H103="","",$I103)</f>
      </c>
      <c r="C103" s="41">
        <f>IF($H103="","",IF($Y103="","Cód: "&amp;$H103,"Medidas: "&amp;$Y103&amp;"  ·  Cód: "&amp;$H103))</f>
      </c>
      <c r="D103" s="42">
        <f>IF($H103="","",IF($D$3="Mayor",$V103,$U103))</f>
      </c>
      <c r="E103" s="12">
        <f>IF($H103="","",$N103)</f>
      </c>
    </row>
    <row r="104" ht="90.00" customHeight="1">
      <c r="A104" s="39">
        <f>IF($H104="","",IFERROR(IMAGE($T104,1),""))</f>
      </c>
      <c r="B104" s="40">
        <f>IF($H104="","",$I104)</f>
      </c>
      <c r="C104" s="41">
        <f>IF($H104="","",IF($Y104="","Cód: "&amp;$H104,"Medidas: "&amp;$Y104&amp;"  ·  Cód: "&amp;$H104))</f>
      </c>
      <c r="D104" s="42">
        <f>IF($H104="","",IF($D$3="Mayor",$V104,$U104))</f>
      </c>
      <c r="E104" s="12">
        <f>IF($H104="","",$N104)</f>
      </c>
    </row>
    <row r="105" ht="90.00" customHeight="1">
      <c r="A105" s="39">
        <f>IF($H105="","",IFERROR(IMAGE($T105,1),""))</f>
      </c>
      <c r="B105" s="40">
        <f>IF($H105="","",$I105)</f>
      </c>
      <c r="C105" s="41">
        <f>IF($H105="","",IF($Y105="","Cód: "&amp;$H105,"Medidas: "&amp;$Y105&amp;"  ·  Cód: "&amp;$H105))</f>
      </c>
      <c r="D105" s="42">
        <f>IF($H105="","",IF($D$3="Mayor",$V105,$U105))</f>
      </c>
      <c r="E105" s="12">
        <f>IF($H105="","",$N105)</f>
      </c>
    </row>
    <row r="106" ht="90.00" customHeight="1">
      <c r="A106" s="39">
        <f>IF($H106="","",IFERROR(IMAGE($T106,1),""))</f>
      </c>
      <c r="B106" s="40">
        <f>IF($H106="","",$I106)</f>
      </c>
      <c r="C106" s="41">
        <f>IF($H106="","",IF($Y106="","Cód: "&amp;$H106,"Medidas: "&amp;$Y106&amp;"  ·  Cód: "&amp;$H106))</f>
      </c>
      <c r="D106" s="42">
        <f>IF($H106="","",IF($D$3="Mayor",$V106,$U106))</f>
      </c>
      <c r="E106" s="12">
        <f>IF($H106="","",$N106)</f>
      </c>
    </row>
    <row r="107" ht="90.00" customHeight="1">
      <c r="A107" s="39">
        <f>IF($H107="","",IFERROR(IMAGE($T107,1),""))</f>
      </c>
      <c r="B107" s="40">
        <f>IF($H107="","",$I107)</f>
      </c>
      <c r="C107" s="41">
        <f>IF($H107="","",IF($Y107="","Cód: "&amp;$H107,"Medidas: "&amp;$Y107&amp;"  ·  Cód: "&amp;$H107))</f>
      </c>
      <c r="D107" s="42">
        <f>IF($H107="","",IF($D$3="Mayor",$V107,$U107))</f>
      </c>
      <c r="E107" s="12">
        <f>IF($H107="","",$N107)</f>
      </c>
    </row>
    <row r="108" ht="90.00" customHeight="1">
      <c r="A108" s="39">
        <f>IF($H108="","",IFERROR(IMAGE($T108,1),""))</f>
      </c>
      <c r="B108" s="40">
        <f>IF($H108="","",$I108)</f>
      </c>
      <c r="C108" s="41">
        <f>IF($H108="","",IF($Y108="","Cód: "&amp;$H108,"Medidas: "&amp;$Y108&amp;"  ·  Cód: "&amp;$H108))</f>
      </c>
      <c r="D108" s="42">
        <f>IF($H108="","",IF($D$3="Mayor",$V108,$U108))</f>
      </c>
      <c r="E108" s="12">
        <f>IF($H108="","",$N108)</f>
      </c>
    </row>
    <row r="109" ht="90.00" customHeight="1">
      <c r="A109" s="39">
        <f>IF($H109="","",IFERROR(IMAGE($T109,1),""))</f>
      </c>
      <c r="B109" s="40">
        <f>IF($H109="","",$I109)</f>
      </c>
      <c r="C109" s="41">
        <f>IF($H109="","",IF($Y109="","Cód: "&amp;$H109,"Medidas: "&amp;$Y109&amp;"  ·  Cód: "&amp;$H109))</f>
      </c>
      <c r="D109" s="42">
        <f>IF($H109="","",IF($D$3="Mayor",$V109,$U109))</f>
      </c>
      <c r="E109" s="12">
        <f>IF($H109="","",$N109)</f>
      </c>
    </row>
    <row r="110" ht="90.00" customHeight="1">
      <c r="A110" s="39">
        <f>IF($H110="","",IFERROR(IMAGE($T110,1),""))</f>
      </c>
      <c r="B110" s="40">
        <f>IF($H110="","",$I110)</f>
      </c>
      <c r="C110" s="41">
        <f>IF($H110="","",IF($Y110="","Cód: "&amp;$H110,"Medidas: "&amp;$Y110&amp;"  ·  Cód: "&amp;$H110))</f>
      </c>
      <c r="D110" s="42">
        <f>IF($H110="","",IF($D$3="Mayor",$V110,$U110))</f>
      </c>
      <c r="E110" s="12">
        <f>IF($H110="","",$N110)</f>
      </c>
    </row>
    <row r="111" ht="90.00" customHeight="1">
      <c r="A111" s="39">
        <f>IF($H111="","",IFERROR(IMAGE($T111,1),""))</f>
      </c>
      <c r="B111" s="40">
        <f>IF($H111="","",$I111)</f>
      </c>
      <c r="C111" s="41">
        <f>IF($H111="","",IF($Y111="","Cód: "&amp;$H111,"Medidas: "&amp;$Y111&amp;"  ·  Cód: "&amp;$H111))</f>
      </c>
      <c r="D111" s="42">
        <f>IF($H111="","",IF($D$3="Mayor",$V111,$U111))</f>
      </c>
      <c r="E111" s="12">
        <f>IF($H111="","",$N111)</f>
      </c>
    </row>
    <row r="112" ht="90.00" customHeight="1">
      <c r="A112" s="39">
        <f>IF($H112="","",IFERROR(IMAGE($T112,1),""))</f>
      </c>
      <c r="B112" s="40">
        <f>IF($H112="","",$I112)</f>
      </c>
      <c r="C112" s="41">
        <f>IF($H112="","",IF($Y112="","Cód: "&amp;$H112,"Medidas: "&amp;$Y112&amp;"  ·  Cód: "&amp;$H112))</f>
      </c>
      <c r="D112" s="42">
        <f>IF($H112="","",IF($D$3="Mayor",$V112,$U112))</f>
      </c>
      <c r="E112" s="12">
        <f>IF($H112="","",$N112)</f>
      </c>
    </row>
    <row r="113" ht="90.00" customHeight="1">
      <c r="A113" s="39">
        <f>IF($H113="","",IFERROR(IMAGE($T113,1),""))</f>
      </c>
      <c r="B113" s="40">
        <f>IF($H113="","",$I113)</f>
      </c>
      <c r="C113" s="41">
        <f>IF($H113="","",IF($Y113="","Cód: "&amp;$H113,"Medidas: "&amp;$Y113&amp;"  ·  Cód: "&amp;$H113))</f>
      </c>
      <c r="D113" s="42">
        <f>IF($H113="","",IF($D$3="Mayor",$V113,$U113))</f>
      </c>
      <c r="E113" s="12">
        <f>IF($H113="","",$N113)</f>
      </c>
    </row>
    <row r="114" ht="90.00" customHeight="1">
      <c r="A114" s="39">
        <f>IF($H114="","",IFERROR(IMAGE($T114,1),""))</f>
      </c>
      <c r="B114" s="40">
        <f>IF($H114="","",$I114)</f>
      </c>
      <c r="C114" s="41">
        <f>IF($H114="","",IF($Y114="","Cód: "&amp;$H114,"Medidas: "&amp;$Y114&amp;"  ·  Cód: "&amp;$H114))</f>
      </c>
      <c r="D114" s="42">
        <f>IF($H114="","",IF($D$3="Mayor",$V114,$U114))</f>
      </c>
      <c r="E114" s="12">
        <f>IF($H114="","",$N114)</f>
      </c>
    </row>
    <row r="115" ht="90.00" customHeight="1">
      <c r="A115" s="39">
        <f>IF($H115="","",IFERROR(IMAGE($T115,1),""))</f>
      </c>
      <c r="B115" s="40">
        <f>IF($H115="","",$I115)</f>
      </c>
      <c r="C115" s="41">
        <f>IF($H115="","",IF($Y115="","Cód: "&amp;$H115,"Medidas: "&amp;$Y115&amp;"  ·  Cód: "&amp;$H115))</f>
      </c>
      <c r="D115" s="42">
        <f>IF($H115="","",IF($D$3="Mayor",$V115,$U115))</f>
      </c>
      <c r="E115" s="12">
        <f>IF($H115="","",$N115)</f>
      </c>
    </row>
    <row r="116" ht="90.00" customHeight="1">
      <c r="A116" s="39">
        <f>IF($H116="","",IFERROR(IMAGE($T116,1),""))</f>
      </c>
      <c r="B116" s="40">
        <f>IF($H116="","",$I116)</f>
      </c>
      <c r="C116" s="41">
        <f>IF($H116="","",IF($Y116="","Cód: "&amp;$H116,"Medidas: "&amp;$Y116&amp;"  ·  Cód: "&amp;$H116))</f>
      </c>
      <c r="D116" s="42">
        <f>IF($H116="","",IF($D$3="Mayor",$V116,$U116))</f>
      </c>
      <c r="E116" s="12">
        <f>IF($H116="","",$N116)</f>
      </c>
    </row>
    <row r="117" ht="90.00" customHeight="1">
      <c r="A117" s="39">
        <f>IF($H117="","",IFERROR(IMAGE($T117,1),""))</f>
      </c>
      <c r="B117" s="40">
        <f>IF($H117="","",$I117)</f>
      </c>
      <c r="C117" s="41">
        <f>IF($H117="","",IF($Y117="","Cód: "&amp;$H117,"Medidas: "&amp;$Y117&amp;"  ·  Cód: "&amp;$H117))</f>
      </c>
      <c r="D117" s="42">
        <f>IF($H117="","",IF($D$3="Mayor",$V117,$U117))</f>
      </c>
      <c r="E117" s="12">
        <f>IF($H117="","",$N117)</f>
      </c>
    </row>
    <row r="118" ht="90.00" customHeight="1">
      <c r="A118" s="39">
        <f>IF($H118="","",IFERROR(IMAGE($T118,1),""))</f>
      </c>
      <c r="B118" s="40">
        <f>IF($H118="","",$I118)</f>
      </c>
      <c r="C118" s="41">
        <f>IF($H118="","",IF($Y118="","Cód: "&amp;$H118,"Medidas: "&amp;$Y118&amp;"  ·  Cód: "&amp;$H118))</f>
      </c>
      <c r="D118" s="42">
        <f>IF($H118="","",IF($D$3="Mayor",$V118,$U118))</f>
      </c>
      <c r="E118" s="12">
        <f>IF($H118="","",$N118)</f>
      </c>
    </row>
    <row r="119" ht="90.00" customHeight="1">
      <c r="A119" s="39">
        <f>IF($H119="","",IFERROR(IMAGE($T119,1),""))</f>
      </c>
      <c r="B119" s="40">
        <f>IF($H119="","",$I119)</f>
      </c>
      <c r="C119" s="41">
        <f>IF($H119="","",IF($Y119="","Cód: "&amp;$H119,"Medidas: "&amp;$Y119&amp;"  ·  Cód: "&amp;$H119))</f>
      </c>
      <c r="D119" s="42">
        <f>IF($H119="","",IF($D$3="Mayor",$V119,$U119))</f>
      </c>
      <c r="E119" s="12">
        <f>IF($H119="","",$N119)</f>
      </c>
    </row>
    <row r="120" ht="90.00" customHeight="1">
      <c r="A120" s="39">
        <f>IF($H120="","",IFERROR(IMAGE($T120,1),""))</f>
      </c>
      <c r="B120" s="40">
        <f>IF($H120="","",$I120)</f>
      </c>
      <c r="C120" s="41">
        <f>IF($H120="","",IF($Y120="","Cód: "&amp;$H120,"Medidas: "&amp;$Y120&amp;"  ·  Cód: "&amp;$H120))</f>
      </c>
      <c r="D120" s="42">
        <f>IF($H120="","",IF($D$3="Mayor",$V120,$U120))</f>
      </c>
      <c r="E120" s="12">
        <f>IF($H120="","",$N120)</f>
      </c>
    </row>
    <row r="121" ht="90.00" customHeight="1">
      <c r="A121" s="39">
        <f>IF($H121="","",IFERROR(IMAGE($T121,1),""))</f>
      </c>
      <c r="B121" s="40">
        <f>IF($H121="","",$I121)</f>
      </c>
      <c r="C121" s="41">
        <f>IF($H121="","",IF($Y121="","Cód: "&amp;$H121,"Medidas: "&amp;$Y121&amp;"  ·  Cód: "&amp;$H121))</f>
      </c>
      <c r="D121" s="42">
        <f>IF($H121="","",IF($D$3="Mayor",$V121,$U121))</f>
      </c>
      <c r="E121" s="12">
        <f>IF($H121="","",$N121)</f>
      </c>
    </row>
    <row r="122" ht="90.00" customHeight="1">
      <c r="A122" s="39">
        <f>IF($H122="","",IFERROR(IMAGE($T122,1),""))</f>
      </c>
      <c r="B122" s="40">
        <f>IF($H122="","",$I122)</f>
      </c>
      <c r="C122" s="41">
        <f>IF($H122="","",IF($Y122="","Cód: "&amp;$H122,"Medidas: "&amp;$Y122&amp;"  ·  Cód: "&amp;$H122))</f>
      </c>
      <c r="D122" s="42">
        <f>IF($H122="","",IF($D$3="Mayor",$V122,$U122))</f>
      </c>
      <c r="E122" s="12">
        <f>IF($H122="","",$N122)</f>
      </c>
    </row>
    <row r="123" ht="90.00" customHeight="1">
      <c r="A123" s="39">
        <f>IF($H123="","",IFERROR(IMAGE($T123,1),""))</f>
      </c>
      <c r="B123" s="40">
        <f>IF($H123="","",$I123)</f>
      </c>
      <c r="C123" s="41">
        <f>IF($H123="","",IF($Y123="","Cód: "&amp;$H123,"Medidas: "&amp;$Y123&amp;"  ·  Cód: "&amp;$H123))</f>
      </c>
      <c r="D123" s="42">
        <f>IF($H123="","",IF($D$3="Mayor",$V123,$U123))</f>
      </c>
      <c r="E123" s="12">
        <f>IF($H123="","",$N123)</f>
      </c>
    </row>
    <row r="124" ht="90.00" customHeight="1">
      <c r="A124" s="39">
        <f>IF($H124="","",IFERROR(IMAGE($T124,1),""))</f>
      </c>
      <c r="B124" s="40">
        <f>IF($H124="","",$I124)</f>
      </c>
      <c r="C124" s="41">
        <f>IF($H124="","",IF($Y124="","Cód: "&amp;$H124,"Medidas: "&amp;$Y124&amp;"  ·  Cód: "&amp;$H124))</f>
      </c>
      <c r="D124" s="42">
        <f>IF($H124="","",IF($D$3="Mayor",$V124,$U124))</f>
      </c>
      <c r="E124" s="12">
        <f>IF($H124="","",$N124)</f>
      </c>
    </row>
    <row r="125" ht="90.00" customHeight="1">
      <c r="A125" s="39">
        <f>IF($H125="","",IFERROR(IMAGE($T125,1),""))</f>
      </c>
      <c r="B125" s="40">
        <f>IF($H125="","",$I125)</f>
      </c>
      <c r="C125" s="41">
        <f>IF($H125="","",IF($Y125="","Cód: "&amp;$H125,"Medidas: "&amp;$Y125&amp;"  ·  Cód: "&amp;$H125))</f>
      </c>
      <c r="D125" s="42">
        <f>IF($H125="","",IF($D$3="Mayor",$V125,$U125))</f>
      </c>
      <c r="E125" s="12">
        <f>IF($H125="","",$N125)</f>
      </c>
    </row>
    <row r="126" ht="90.00" customHeight="1">
      <c r="A126" s="39">
        <f>IF($H126="","",IFERROR(IMAGE($T126,1),""))</f>
      </c>
      <c r="B126" s="40">
        <f>IF($H126="","",$I126)</f>
      </c>
      <c r="C126" s="41">
        <f>IF($H126="","",IF($Y126="","Cód: "&amp;$H126,"Medidas: "&amp;$Y126&amp;"  ·  Cód: "&amp;$H126))</f>
      </c>
      <c r="D126" s="42">
        <f>IF($H126="","",IF($D$3="Mayor",$V126,$U126))</f>
      </c>
      <c r="E126" s="12">
        <f>IF($H126="","",$N126)</f>
      </c>
    </row>
    <row r="127" ht="90.00" customHeight="1">
      <c r="A127" s="39">
        <f>IF($H127="","",IFERROR(IMAGE($T127,1),""))</f>
      </c>
      <c r="B127" s="40">
        <f>IF($H127="","",$I127)</f>
      </c>
      <c r="C127" s="41">
        <f>IF($H127="","",IF($Y127="","Cód: "&amp;$H127,"Medidas: "&amp;$Y127&amp;"  ·  Cód: "&amp;$H127))</f>
      </c>
      <c r="D127" s="42">
        <f>IF($H127="","",IF($D$3="Mayor",$V127,$U127))</f>
      </c>
      <c r="E127" s="12">
        <f>IF($H127="","",$N127)</f>
      </c>
    </row>
    <row r="128" ht="90.00" customHeight="1">
      <c r="A128" s="39">
        <f>IF($H128="","",IFERROR(IMAGE($T128,1),""))</f>
      </c>
      <c r="B128" s="40">
        <f>IF($H128="","",$I128)</f>
      </c>
      <c r="C128" s="41">
        <f>IF($H128="","",IF($Y128="","Cód: "&amp;$H128,"Medidas: "&amp;$Y128&amp;"  ·  Cód: "&amp;$H128))</f>
      </c>
      <c r="D128" s="42">
        <f>IF($H128="","",IF($D$3="Mayor",$V128,$U128))</f>
      </c>
      <c r="E128" s="12">
        <f>IF($H128="","",$N128)</f>
      </c>
    </row>
    <row r="129" ht="90.00" customHeight="1">
      <c r="A129" s="39">
        <f>IF($H129="","",IFERROR(IMAGE($T129,1),""))</f>
      </c>
      <c r="B129" s="40">
        <f>IF($H129="","",$I129)</f>
      </c>
      <c r="C129" s="41">
        <f>IF($H129="","",IF($Y129="","Cód: "&amp;$H129,"Medidas: "&amp;$Y129&amp;"  ·  Cód: "&amp;$H129))</f>
      </c>
      <c r="D129" s="42">
        <f>IF($H129="","",IF($D$3="Mayor",$V129,$U129))</f>
      </c>
      <c r="E129" s="12">
        <f>IF($H129="","",$N129)</f>
      </c>
    </row>
    <row r="130" ht="90.00" customHeight="1">
      <c r="A130" s="39">
        <f>IF($H130="","",IFERROR(IMAGE($T130,1),""))</f>
      </c>
      <c r="B130" s="40">
        <f>IF($H130="","",$I130)</f>
      </c>
      <c r="C130" s="41">
        <f>IF($H130="","",IF($Y130="","Cód: "&amp;$H130,"Medidas: "&amp;$Y130&amp;"  ·  Cód: "&amp;$H130))</f>
      </c>
      <c r="D130" s="42">
        <f>IF($H130="","",IF($D$3="Mayor",$V130,$U130))</f>
      </c>
      <c r="E130" s="12">
        <f>IF($H130="","",$N130)</f>
      </c>
    </row>
    <row r="131" ht="90.00" customHeight="1">
      <c r="A131" s="39">
        <f>IF($H131="","",IFERROR(IMAGE($T131,1),""))</f>
      </c>
      <c r="B131" s="40">
        <f>IF($H131="","",$I131)</f>
      </c>
      <c r="C131" s="41">
        <f>IF($H131="","",IF($Y131="","Cód: "&amp;$H131,"Medidas: "&amp;$Y131&amp;"  ·  Cód: "&amp;$H131))</f>
      </c>
      <c r="D131" s="42">
        <f>IF($H131="","",IF($D$3="Mayor",$V131,$U131))</f>
      </c>
      <c r="E131" s="12">
        <f>IF($H131="","",$N131)</f>
      </c>
    </row>
    <row r="132" ht="90.00" customHeight="1">
      <c r="A132" s="39">
        <f>IF($H132="","",IFERROR(IMAGE($T132,1),""))</f>
      </c>
      <c r="B132" s="40">
        <f>IF($H132="","",$I132)</f>
      </c>
      <c r="C132" s="41">
        <f>IF($H132="","",IF($Y132="","Cód: "&amp;$H132,"Medidas: "&amp;$Y132&amp;"  ·  Cód: "&amp;$H132))</f>
      </c>
      <c r="D132" s="42">
        <f>IF($H132="","",IF($D$3="Mayor",$V132,$U132))</f>
      </c>
      <c r="E132" s="12">
        <f>IF($H132="","",$N132)</f>
      </c>
    </row>
    <row r="133" ht="90.00" customHeight="1">
      <c r="A133" s="39">
        <f>IF($H133="","",IFERROR(IMAGE($T133,1),""))</f>
      </c>
      <c r="B133" s="40">
        <f>IF($H133="","",$I133)</f>
      </c>
      <c r="C133" s="41">
        <f>IF($H133="","",IF($Y133="","Cód: "&amp;$H133,"Medidas: "&amp;$Y133&amp;"  ·  Cód: "&amp;$H133))</f>
      </c>
      <c r="D133" s="42">
        <f>IF($H133="","",IF($D$3="Mayor",$V133,$U133))</f>
      </c>
      <c r="E133" s="12">
        <f>IF($H133="","",$N133)</f>
      </c>
    </row>
    <row r="134" ht="90.00" customHeight="1">
      <c r="A134" s="39">
        <f>IF($H134="","",IFERROR(IMAGE($T134,1),""))</f>
      </c>
      <c r="B134" s="40">
        <f>IF($H134="","",$I134)</f>
      </c>
      <c r="C134" s="41">
        <f>IF($H134="","",IF($Y134="","Cód: "&amp;$H134,"Medidas: "&amp;$Y134&amp;"  ·  Cód: "&amp;$H134))</f>
      </c>
      <c r="D134" s="42">
        <f>IF($H134="","",IF($D$3="Mayor",$V134,$U134))</f>
      </c>
      <c r="E134" s="12">
        <f>IF($H134="","",$N134)</f>
      </c>
    </row>
    <row r="135" ht="90.00" customHeight="1">
      <c r="A135" s="39">
        <f>IF($H135="","",IFERROR(IMAGE($T135,1),""))</f>
      </c>
      <c r="B135" s="40">
        <f>IF($H135="","",$I135)</f>
      </c>
      <c r="C135" s="41">
        <f>IF($H135="","",IF($Y135="","Cód: "&amp;$H135,"Medidas: "&amp;$Y135&amp;"  ·  Cód: "&amp;$H135))</f>
      </c>
      <c r="D135" s="42">
        <f>IF($H135="","",IF($D$3="Mayor",$V135,$U135))</f>
      </c>
      <c r="E135" s="12">
        <f>IF($H135="","",$N135)</f>
      </c>
    </row>
    <row r="136" ht="90.00" customHeight="1">
      <c r="A136" s="39">
        <f>IF($H136="","",IFERROR(IMAGE($T136,1),""))</f>
      </c>
      <c r="B136" s="40">
        <f>IF($H136="","",$I136)</f>
      </c>
      <c r="C136" s="41">
        <f>IF($H136="","",IF($Y136="","Cód: "&amp;$H136,"Medidas: "&amp;$Y136&amp;"  ·  Cód: "&amp;$H136))</f>
      </c>
      <c r="D136" s="42">
        <f>IF($H136="","",IF($D$3="Mayor",$V136,$U136))</f>
      </c>
      <c r="E136" s="12">
        <f>IF($H136="","",$N136)</f>
      </c>
    </row>
    <row r="137" ht="90.00" customHeight="1">
      <c r="A137" s="39">
        <f>IF($H137="","",IFERROR(IMAGE($T137,1),""))</f>
      </c>
      <c r="B137" s="40">
        <f>IF($H137="","",$I137)</f>
      </c>
      <c r="C137" s="41">
        <f>IF($H137="","",IF($Y137="","Cód: "&amp;$H137,"Medidas: "&amp;$Y137&amp;"  ·  Cód: "&amp;$H137))</f>
      </c>
      <c r="D137" s="42">
        <f>IF($H137="","",IF($D$3="Mayor",$V137,$U137))</f>
      </c>
      <c r="E137" s="12">
        <f>IF($H137="","",$N137)</f>
      </c>
    </row>
    <row r="138" ht="90.00" customHeight="1">
      <c r="A138" s="39">
        <f>IF($H138="","",IFERROR(IMAGE($T138,1),""))</f>
      </c>
      <c r="B138" s="40">
        <f>IF($H138="","",$I138)</f>
      </c>
      <c r="C138" s="41">
        <f>IF($H138="","",IF($Y138="","Cód: "&amp;$H138,"Medidas: "&amp;$Y138&amp;"  ·  Cód: "&amp;$H138))</f>
      </c>
      <c r="D138" s="42">
        <f>IF($H138="","",IF($D$3="Mayor",$V138,$U138))</f>
      </c>
      <c r="E138" s="12">
        <f>IF($H138="","",$N138)</f>
      </c>
    </row>
    <row r="139" ht="90.00" customHeight="1">
      <c r="A139" s="39">
        <f>IF($H139="","",IFERROR(IMAGE($T139,1),""))</f>
      </c>
      <c r="B139" s="40">
        <f>IF($H139="","",$I139)</f>
      </c>
      <c r="C139" s="41">
        <f>IF($H139="","",IF($Y139="","Cód: "&amp;$H139,"Medidas: "&amp;$Y139&amp;"  ·  Cód: "&amp;$H139))</f>
      </c>
      <c r="D139" s="42">
        <f>IF($H139="","",IF($D$3="Mayor",$V139,$U139))</f>
      </c>
      <c r="E139" s="12">
        <f>IF($H139="","",$N139)</f>
      </c>
    </row>
    <row r="140" ht="90.00" customHeight="1">
      <c r="A140" s="39">
        <f>IF($H140="","",IFERROR(IMAGE($T140,1),""))</f>
      </c>
      <c r="B140" s="40">
        <f>IF($H140="","",$I140)</f>
      </c>
      <c r="C140" s="41">
        <f>IF($H140="","",IF($Y140="","Cód: "&amp;$H140,"Medidas: "&amp;$Y140&amp;"  ·  Cód: "&amp;$H140))</f>
      </c>
      <c r="D140" s="42">
        <f>IF($H140="","",IF($D$3="Mayor",$V140,$U140))</f>
      </c>
      <c r="E140" s="12">
        <f>IF($H140="","",$N140)</f>
      </c>
    </row>
    <row r="141" ht="90.00" customHeight="1">
      <c r="A141" s="39">
        <f>IF($H141="","",IFERROR(IMAGE($T141,1),""))</f>
      </c>
      <c r="B141" s="40">
        <f>IF($H141="","",$I141)</f>
      </c>
      <c r="C141" s="41">
        <f>IF($H141="","",IF($Y141="","Cód: "&amp;$H141,"Medidas: "&amp;$Y141&amp;"  ·  Cód: "&amp;$H141))</f>
      </c>
      <c r="D141" s="42">
        <f>IF($H141="","",IF($D$3="Mayor",$V141,$U141))</f>
      </c>
      <c r="E141" s="12">
        <f>IF($H141="","",$N141)</f>
      </c>
    </row>
    <row r="142" ht="90.00" customHeight="1">
      <c r="A142" s="39">
        <f>IF($H142="","",IFERROR(IMAGE($T142,1),""))</f>
      </c>
      <c r="B142" s="40">
        <f>IF($H142="","",$I142)</f>
      </c>
      <c r="C142" s="41">
        <f>IF($H142="","",IF($Y142="","Cód: "&amp;$H142,"Medidas: "&amp;$Y142&amp;"  ·  Cód: "&amp;$H142))</f>
      </c>
      <c r="D142" s="42">
        <f>IF($H142="","",IF($D$3="Mayor",$V142,$U142))</f>
      </c>
      <c r="E142" s="12">
        <f>IF($H142="","",$N142)</f>
      </c>
    </row>
    <row r="143" ht="90.00" customHeight="1">
      <c r="A143" s="39">
        <f>IF($H143="","",IFERROR(IMAGE($T143,1),""))</f>
      </c>
      <c r="B143" s="40">
        <f>IF($H143="","",$I143)</f>
      </c>
      <c r="C143" s="41">
        <f>IF($H143="","",IF($Y143="","Cód: "&amp;$H143,"Medidas: "&amp;$Y143&amp;"  ·  Cód: "&amp;$H143))</f>
      </c>
      <c r="D143" s="42">
        <f>IF($H143="","",IF($D$3="Mayor",$V143,$U143))</f>
      </c>
      <c r="E143" s="12">
        <f>IF($H143="","",$N143)</f>
      </c>
    </row>
    <row r="144" ht="90.00" customHeight="1">
      <c r="A144" s="39">
        <f>IF($H144="","",IFERROR(IMAGE($T144,1),""))</f>
      </c>
      <c r="B144" s="40">
        <f>IF($H144="","",$I144)</f>
      </c>
      <c r="C144" s="41">
        <f>IF($H144="","",IF($Y144="","Cód: "&amp;$H144,"Medidas: "&amp;$Y144&amp;"  ·  Cód: "&amp;$H144))</f>
      </c>
      <c r="D144" s="42">
        <f>IF($H144="","",IF($D$3="Mayor",$V144,$U144))</f>
      </c>
      <c r="E144" s="12">
        <f>IF($H144="","",$N144)</f>
      </c>
    </row>
    <row r="145" ht="90.00" customHeight="1">
      <c r="A145" s="39">
        <f>IF($H145="","",IFERROR(IMAGE($T145,1),""))</f>
      </c>
      <c r="B145" s="40">
        <f>IF($H145="","",$I145)</f>
      </c>
      <c r="C145" s="41">
        <f>IF($H145="","",IF($Y145="","Cód: "&amp;$H145,"Medidas: "&amp;$Y145&amp;"  ·  Cód: "&amp;$H145))</f>
      </c>
      <c r="D145" s="42">
        <f>IF($H145="","",IF($D$3="Mayor",$V145,$U145))</f>
      </c>
      <c r="E145" s="12">
        <f>IF($H145="","",$N145)</f>
      </c>
    </row>
    <row r="146" ht="90.00" customHeight="1">
      <c r="A146" s="39">
        <f>IF($H146="","",IFERROR(IMAGE($T146,1),""))</f>
      </c>
      <c r="B146" s="40">
        <f>IF($H146="","",$I146)</f>
      </c>
      <c r="C146" s="41">
        <f>IF($H146="","",IF($Y146="","Cód: "&amp;$H146,"Medidas: "&amp;$Y146&amp;"  ·  Cód: "&amp;$H146))</f>
      </c>
      <c r="D146" s="42">
        <f>IF($H146="","",IF($D$3="Mayor",$V146,$U146))</f>
      </c>
      <c r="E146" s="12">
        <f>IF($H146="","",$N146)</f>
      </c>
    </row>
    <row r="147" ht="90.00" customHeight="1">
      <c r="A147" s="39">
        <f>IF($H147="","",IFERROR(IMAGE($T147,1),""))</f>
      </c>
      <c r="B147" s="40">
        <f>IF($H147="","",$I147)</f>
      </c>
      <c r="C147" s="41">
        <f>IF($H147="","",IF($Y147="","Cód: "&amp;$H147,"Medidas: "&amp;$Y147&amp;"  ·  Cód: "&amp;$H147))</f>
      </c>
      <c r="D147" s="42">
        <f>IF($H147="","",IF($D$3="Mayor",$V147,$U147))</f>
      </c>
      <c r="E147" s="12">
        <f>IF($H147="","",$N147)</f>
      </c>
    </row>
    <row r="148" ht="90.00" customHeight="1">
      <c r="A148" s="39">
        <f>IF($H148="","",IFERROR(IMAGE($T148,1),""))</f>
      </c>
      <c r="B148" s="40">
        <f>IF($H148="","",$I148)</f>
      </c>
      <c r="C148" s="41">
        <f>IF($H148="","",IF($Y148="","Cód: "&amp;$H148,"Medidas: "&amp;$Y148&amp;"  ·  Cód: "&amp;$H148))</f>
      </c>
      <c r="D148" s="42">
        <f>IF($H148="","",IF($D$3="Mayor",$V148,$U148))</f>
      </c>
      <c r="E148" s="12">
        <f>IF($H148="","",$N148)</f>
      </c>
    </row>
    <row r="149" ht="90.00" customHeight="1">
      <c r="A149" s="39">
        <f>IF($H149="","",IFERROR(IMAGE($T149,1),""))</f>
      </c>
      <c r="B149" s="40">
        <f>IF($H149="","",$I149)</f>
      </c>
      <c r="C149" s="41">
        <f>IF($H149="","",IF($Y149="","Cód: "&amp;$H149,"Medidas: "&amp;$Y149&amp;"  ·  Cód: "&amp;$H149))</f>
      </c>
      <c r="D149" s="42">
        <f>IF($H149="","",IF($D$3="Mayor",$V149,$U149))</f>
      </c>
      <c r="E149" s="12">
        <f>IF($H149="","",$N149)</f>
      </c>
    </row>
    <row r="150" ht="90.00" customHeight="1">
      <c r="A150" s="39">
        <f>IF($H150="","",IFERROR(IMAGE($T150,1),""))</f>
      </c>
      <c r="B150" s="40">
        <f>IF($H150="","",$I150)</f>
      </c>
      <c r="C150" s="41">
        <f>IF($H150="","",IF($Y150="","Cód: "&amp;$H150,"Medidas: "&amp;$Y150&amp;"  ·  Cód: "&amp;$H150))</f>
      </c>
      <c r="D150" s="42">
        <f>IF($H150="","",IF($D$3="Mayor",$V150,$U150))</f>
      </c>
      <c r="E150" s="12">
        <f>IF($H150="","",$N150)</f>
      </c>
    </row>
    <row r="151" ht="90.00" customHeight="1">
      <c r="A151" s="39">
        <f>IF($H151="","",IFERROR(IMAGE($T151,1),""))</f>
      </c>
      <c r="B151" s="40">
        <f>IF($H151="","",$I151)</f>
      </c>
      <c r="C151" s="41">
        <f>IF($H151="","",IF($Y151="","Cód: "&amp;$H151,"Medidas: "&amp;$Y151&amp;"  ·  Cód: "&amp;$H151))</f>
      </c>
      <c r="D151" s="42">
        <f>IF($H151="","",IF($D$3="Mayor",$V151,$U151))</f>
      </c>
      <c r="E151" s="12">
        <f>IF($H151="","",$N151)</f>
      </c>
    </row>
    <row r="152" ht="90.00" customHeight="1">
      <c r="A152" s="39">
        <f>IF($H152="","",IFERROR(IMAGE($T152,1),""))</f>
      </c>
      <c r="B152" s="40">
        <f>IF($H152="","",$I152)</f>
      </c>
      <c r="C152" s="41">
        <f>IF($H152="","",IF($Y152="","Cód: "&amp;$H152,"Medidas: "&amp;$Y152&amp;"  ·  Cód: "&amp;$H152))</f>
      </c>
      <c r="D152" s="42">
        <f>IF($H152="","",IF($D$3="Mayor",$V152,$U152))</f>
      </c>
      <c r="E152" s="12">
        <f>IF($H152="","",$N152)</f>
      </c>
    </row>
    <row r="153" ht="90.00" customHeight="1">
      <c r="A153" s="39">
        <f>IF($H153="","",IFERROR(IMAGE($T153,1),""))</f>
      </c>
      <c r="B153" s="40">
        <f>IF($H153="","",$I153)</f>
      </c>
      <c r="C153" s="41">
        <f>IF($H153="","",IF($Y153="","Cód: "&amp;$H153,"Medidas: "&amp;$Y153&amp;"  ·  Cód: "&amp;$H153))</f>
      </c>
      <c r="D153" s="42">
        <f>IF($H153="","",IF($D$3="Mayor",$V153,$U153))</f>
      </c>
      <c r="E153" s="12">
        <f>IF($H153="","",$N153)</f>
      </c>
    </row>
    <row r="154" ht="90.00" customHeight="1">
      <c r="A154" s="39">
        <f>IF($H154="","",IFERROR(IMAGE($T154,1),""))</f>
      </c>
      <c r="B154" s="40">
        <f>IF($H154="","",$I154)</f>
      </c>
      <c r="C154" s="41">
        <f>IF($H154="","",IF($Y154="","Cód: "&amp;$H154,"Medidas: "&amp;$Y154&amp;"  ·  Cód: "&amp;$H154))</f>
      </c>
      <c r="D154" s="42">
        <f>IF($H154="","",IF($D$3="Mayor",$V154,$U154))</f>
      </c>
      <c r="E154" s="12">
        <f>IF($H154="","",$N154)</f>
      </c>
    </row>
    <row r="155" ht="90.00" customHeight="1">
      <c r="A155" s="39">
        <f>IF($H155="","",IFERROR(IMAGE($T155,1),""))</f>
      </c>
      <c r="B155" s="40">
        <f>IF($H155="","",$I155)</f>
      </c>
      <c r="C155" s="41">
        <f>IF($H155="","",IF($Y155="","Cód: "&amp;$H155,"Medidas: "&amp;$Y155&amp;"  ·  Cód: "&amp;$H155))</f>
      </c>
      <c r="D155" s="42">
        <f>IF($H155="","",IF($D$3="Mayor",$V155,$U155))</f>
      </c>
      <c r="E155" s="12">
        <f>IF($H155="","",$N155)</f>
      </c>
    </row>
    <row r="156" ht="90.00" customHeight="1">
      <c r="A156" s="39">
        <f>IF($H156="","",IFERROR(IMAGE($T156,1),""))</f>
      </c>
      <c r="B156" s="40">
        <f>IF($H156="","",$I156)</f>
      </c>
      <c r="C156" s="41">
        <f>IF($H156="","",IF($Y156="","Cód: "&amp;$H156,"Medidas: "&amp;$Y156&amp;"  ·  Cód: "&amp;$H156))</f>
      </c>
      <c r="D156" s="42">
        <f>IF($H156="","",IF($D$3="Mayor",$V156,$U156))</f>
      </c>
      <c r="E156" s="12">
        <f>IF($H156="","",$N156)</f>
      </c>
    </row>
    <row r="157" ht="90.00" customHeight="1">
      <c r="A157" s="39">
        <f>IF($H157="","",IFERROR(IMAGE($T157,1),""))</f>
      </c>
      <c r="B157" s="40">
        <f>IF($H157="","",$I157)</f>
      </c>
      <c r="C157" s="41">
        <f>IF($H157="","",IF($Y157="","Cód: "&amp;$H157,"Medidas: "&amp;$Y157&amp;"  ·  Cód: "&amp;$H157))</f>
      </c>
      <c r="D157" s="42">
        <f>IF($H157="","",IF($D$3="Mayor",$V157,$U157))</f>
      </c>
      <c r="E157" s="12">
        <f>IF($H157="","",$N157)</f>
      </c>
    </row>
    <row r="158" ht="90.00" customHeight="1">
      <c r="A158" s="39">
        <f>IF($H158="","",IFERROR(IMAGE($T158,1),""))</f>
      </c>
      <c r="B158" s="40">
        <f>IF($H158="","",$I158)</f>
      </c>
      <c r="C158" s="41">
        <f>IF($H158="","",IF($Y158="","Cód: "&amp;$H158,"Medidas: "&amp;$Y158&amp;"  ·  Cód: "&amp;$H158))</f>
      </c>
      <c r="D158" s="42">
        <f>IF($H158="","",IF($D$3="Mayor",$V158,$U158))</f>
      </c>
      <c r="E158" s="12">
        <f>IF($H158="","",$N158)</f>
      </c>
    </row>
    <row r="159" ht="90.00" customHeight="1">
      <c r="A159" s="39">
        <f>IF($H159="","",IFERROR(IMAGE($T159,1),""))</f>
      </c>
      <c r="B159" s="40">
        <f>IF($H159="","",$I159)</f>
      </c>
      <c r="C159" s="41">
        <f>IF($H159="","",IF($Y159="","Cód: "&amp;$H159,"Medidas: "&amp;$Y159&amp;"  ·  Cód: "&amp;$H159))</f>
      </c>
      <c r="D159" s="42">
        <f>IF($H159="","",IF($D$3="Mayor",$V159,$U159))</f>
      </c>
      <c r="E159" s="12">
        <f>IF($H159="","",$N159)</f>
      </c>
    </row>
    <row r="160" ht="90.00" customHeight="1">
      <c r="A160" s="39">
        <f>IF($H160="","",IFERROR(IMAGE($T160,1),""))</f>
      </c>
      <c r="B160" s="40">
        <f>IF($H160="","",$I160)</f>
      </c>
      <c r="C160" s="41">
        <f>IF($H160="","",IF($Y160="","Cód: "&amp;$H160,"Medidas: "&amp;$Y160&amp;"  ·  Cód: "&amp;$H160))</f>
      </c>
      <c r="D160" s="42">
        <f>IF($H160="","",IF($D$3="Mayor",$V160,$U160))</f>
      </c>
      <c r="E160" s="12">
        <f>IF($H160="","",$N160)</f>
      </c>
    </row>
    <row r="161" ht="90.00" customHeight="1">
      <c r="A161" s="39">
        <f>IF($H161="","",IFERROR(IMAGE($T161,1),""))</f>
      </c>
      <c r="B161" s="40">
        <f>IF($H161="","",$I161)</f>
      </c>
      <c r="C161" s="41">
        <f>IF($H161="","",IF($Y161="","Cód: "&amp;$H161,"Medidas: "&amp;$Y161&amp;"  ·  Cód: "&amp;$H161))</f>
      </c>
      <c r="D161" s="42">
        <f>IF($H161="","",IF($D$3="Mayor",$V161,$U161))</f>
      </c>
      <c r="E161" s="12">
        <f>IF($H161="","",$N161)</f>
      </c>
    </row>
    <row r="162" ht="90.00" customHeight="1">
      <c r="A162" s="39">
        <f>IF($H162="","",IFERROR(IMAGE($T162,1),""))</f>
      </c>
      <c r="B162" s="40">
        <f>IF($H162="","",$I162)</f>
      </c>
      <c r="C162" s="41">
        <f>IF($H162="","",IF($Y162="","Cód: "&amp;$H162,"Medidas: "&amp;$Y162&amp;"  ·  Cód: "&amp;$H162))</f>
      </c>
      <c r="D162" s="42">
        <f>IF($H162="","",IF($D$3="Mayor",$V162,$U162))</f>
      </c>
      <c r="E162" s="12">
        <f>IF($H162="","",$N162)</f>
      </c>
    </row>
    <row r="163" ht="90.00" customHeight="1">
      <c r="A163" s="39">
        <f>IF($H163="","",IFERROR(IMAGE($T163,1),""))</f>
      </c>
      <c r="B163" s="40">
        <f>IF($H163="","",$I163)</f>
      </c>
      <c r="C163" s="41">
        <f>IF($H163="","",IF($Y163="","Cód: "&amp;$H163,"Medidas: "&amp;$Y163&amp;"  ·  Cód: "&amp;$H163))</f>
      </c>
      <c r="D163" s="42">
        <f>IF($H163="","",IF($D$3="Mayor",$V163,$U163))</f>
      </c>
      <c r="E163" s="12">
        <f>IF($H163="","",$N163)</f>
      </c>
    </row>
    <row r="164" ht="90.00" customHeight="1">
      <c r="A164" s="39">
        <f>IF($H164="","",IFERROR(IMAGE($T164,1),""))</f>
      </c>
      <c r="B164" s="40">
        <f>IF($H164="","",$I164)</f>
      </c>
      <c r="C164" s="41">
        <f>IF($H164="","",IF($Y164="","Cód: "&amp;$H164,"Medidas: "&amp;$Y164&amp;"  ·  Cód: "&amp;$H164))</f>
      </c>
      <c r="D164" s="42">
        <f>IF($H164="","",IF($D$3="Mayor",$V164,$U164))</f>
      </c>
      <c r="E164" s="12">
        <f>IF($H164="","",$N164)</f>
      </c>
    </row>
    <row r="165" ht="90.00" customHeight="1">
      <c r="A165" s="39">
        <f>IF($H165="","",IFERROR(IMAGE($T165,1),""))</f>
      </c>
      <c r="B165" s="40">
        <f>IF($H165="","",$I165)</f>
      </c>
      <c r="C165" s="41">
        <f>IF($H165="","",IF($Y165="","Cód: "&amp;$H165,"Medidas: "&amp;$Y165&amp;"  ·  Cód: "&amp;$H165))</f>
      </c>
      <c r="D165" s="42">
        <f>IF($H165="","",IF($D$3="Mayor",$V165,$U165))</f>
      </c>
      <c r="E165" s="12">
        <f>IF($H165="","",$N165)</f>
      </c>
    </row>
    <row r="166" ht="90.00" customHeight="1">
      <c r="A166" s="39">
        <f>IF($H166="","",IFERROR(IMAGE($T166,1),""))</f>
      </c>
      <c r="B166" s="40">
        <f>IF($H166="","",$I166)</f>
      </c>
      <c r="C166" s="41">
        <f>IF($H166="","",IF($Y166="","Cód: "&amp;$H166,"Medidas: "&amp;$Y166&amp;"  ·  Cód: "&amp;$H166))</f>
      </c>
      <c r="D166" s="42">
        <f>IF($H166="","",IF($D$3="Mayor",$V166,$U166))</f>
      </c>
      <c r="E166" s="12">
        <f>IF($H166="","",$N166)</f>
      </c>
    </row>
    <row r="167" ht="90.00" customHeight="1">
      <c r="A167" s="39">
        <f>IF($H167="","",IFERROR(IMAGE($T167,1),""))</f>
      </c>
      <c r="B167" s="40">
        <f>IF($H167="","",$I167)</f>
      </c>
      <c r="C167" s="41">
        <f>IF($H167="","",IF($Y167="","Cód: "&amp;$H167,"Medidas: "&amp;$Y167&amp;"  ·  Cód: "&amp;$H167))</f>
      </c>
      <c r="D167" s="42">
        <f>IF($H167="","",IF($D$3="Mayor",$V167,$U167))</f>
      </c>
      <c r="E167" s="12">
        <f>IF($H167="","",$N167)</f>
      </c>
    </row>
    <row r="168" ht="90.00" customHeight="1">
      <c r="A168" s="39">
        <f>IF($H168="","",IFERROR(IMAGE($T168,1),""))</f>
      </c>
      <c r="B168" s="40">
        <f>IF($H168="","",$I168)</f>
      </c>
      <c r="C168" s="41">
        <f>IF($H168="","",IF($Y168="","Cód: "&amp;$H168,"Medidas: "&amp;$Y168&amp;"  ·  Cód: "&amp;$H168))</f>
      </c>
      <c r="D168" s="42">
        <f>IF($H168="","",IF($D$3="Mayor",$V168,$U168))</f>
      </c>
      <c r="E168" s="12">
        <f>IF($H168="","",$N168)</f>
      </c>
    </row>
    <row r="169" ht="90.00" customHeight="1">
      <c r="A169" s="39">
        <f>IF($H169="","",IFERROR(IMAGE($T169,1),""))</f>
      </c>
      <c r="B169" s="40">
        <f>IF($H169="","",$I169)</f>
      </c>
      <c r="C169" s="41">
        <f>IF($H169="","",IF($Y169="","Cód: "&amp;$H169,"Medidas: "&amp;$Y169&amp;"  ·  Cód: "&amp;$H169))</f>
      </c>
      <c r="D169" s="42">
        <f>IF($H169="","",IF($D$3="Mayor",$V169,$U169))</f>
      </c>
      <c r="E169" s="12">
        <f>IF($H169="","",$N169)</f>
      </c>
    </row>
    <row r="170" ht="90.00" customHeight="1">
      <c r="A170" s="39">
        <f>IF($H170="","",IFERROR(IMAGE($T170,1),""))</f>
      </c>
      <c r="B170" s="40">
        <f>IF($H170="","",$I170)</f>
      </c>
      <c r="C170" s="41">
        <f>IF($H170="","",IF($Y170="","Cód: "&amp;$H170,"Medidas: "&amp;$Y170&amp;"  ·  Cód: "&amp;$H170))</f>
      </c>
      <c r="D170" s="42">
        <f>IF($H170="","",IF($D$3="Mayor",$V170,$U170))</f>
      </c>
      <c r="E170" s="12">
        <f>IF($H170="","",$N170)</f>
      </c>
    </row>
    <row r="171" ht="90.00" customHeight="1">
      <c r="A171" s="39">
        <f>IF($H171="","",IFERROR(IMAGE($T171,1),""))</f>
      </c>
      <c r="B171" s="40">
        <f>IF($H171="","",$I171)</f>
      </c>
      <c r="C171" s="41">
        <f>IF($H171="","",IF($Y171="","Cód: "&amp;$H171,"Medidas: "&amp;$Y171&amp;"  ·  Cód: "&amp;$H171))</f>
      </c>
      <c r="D171" s="42">
        <f>IF($H171="","",IF($D$3="Mayor",$V171,$U171))</f>
      </c>
      <c r="E171" s="12">
        <f>IF($H171="","",$N171)</f>
      </c>
    </row>
    <row r="172" ht="90.00" customHeight="1">
      <c r="A172" s="39">
        <f>IF($H172="","",IFERROR(IMAGE($T172,1),""))</f>
      </c>
      <c r="B172" s="40">
        <f>IF($H172="","",$I172)</f>
      </c>
      <c r="C172" s="41">
        <f>IF($H172="","",IF($Y172="","Cód: "&amp;$H172,"Medidas: "&amp;$Y172&amp;"  ·  Cód: "&amp;$H172))</f>
      </c>
      <c r="D172" s="42">
        <f>IF($H172="","",IF($D$3="Mayor",$V172,$U172))</f>
      </c>
      <c r="E172" s="12">
        <f>IF($H172="","",$N172)</f>
      </c>
    </row>
    <row r="173" ht="90.00" customHeight="1">
      <c r="A173" s="39">
        <f>IF($H173="","",IFERROR(IMAGE($T173,1),""))</f>
      </c>
      <c r="B173" s="40">
        <f>IF($H173="","",$I173)</f>
      </c>
      <c r="C173" s="41">
        <f>IF($H173="","",IF($Y173="","Cód: "&amp;$H173,"Medidas: "&amp;$Y173&amp;"  ·  Cód: "&amp;$H173))</f>
      </c>
      <c r="D173" s="42">
        <f>IF($H173="","",IF($D$3="Mayor",$V173,$U173))</f>
      </c>
      <c r="E173" s="12">
        <f>IF($H173="","",$N173)</f>
      </c>
    </row>
    <row r="174" ht="90.00" customHeight="1">
      <c r="A174" s="39">
        <f>IF($H174="","",IFERROR(IMAGE($T174,1),""))</f>
      </c>
      <c r="B174" s="40">
        <f>IF($H174="","",$I174)</f>
      </c>
      <c r="C174" s="41">
        <f>IF($H174="","",IF($Y174="","Cód: "&amp;$H174,"Medidas: "&amp;$Y174&amp;"  ·  Cód: "&amp;$H174))</f>
      </c>
      <c r="D174" s="42">
        <f>IF($H174="","",IF($D$3="Mayor",$V174,$U174))</f>
      </c>
      <c r="E174" s="12">
        <f>IF($H174="","",$N174)</f>
      </c>
    </row>
    <row r="175" ht="90.00" customHeight="1">
      <c r="A175" s="39">
        <f>IF($H175="","",IFERROR(IMAGE($T175,1),""))</f>
      </c>
      <c r="B175" s="40">
        <f>IF($H175="","",$I175)</f>
      </c>
      <c r="C175" s="41">
        <f>IF($H175="","",IF($Y175="","Cód: "&amp;$H175,"Medidas: "&amp;$Y175&amp;"  ·  Cód: "&amp;$H175))</f>
      </c>
      <c r="D175" s="42">
        <f>IF($H175="","",IF($D$3="Mayor",$V175,$U175))</f>
      </c>
      <c r="E175" s="12">
        <f>IF($H175="","",$N175)</f>
      </c>
    </row>
    <row r="176" ht="90.00" customHeight="1">
      <c r="A176" s="39">
        <f>IF($H176="","",IFERROR(IMAGE($T176,1),""))</f>
      </c>
      <c r="B176" s="40">
        <f>IF($H176="","",$I176)</f>
      </c>
      <c r="C176" s="41">
        <f>IF($H176="","",IF($Y176="","Cód: "&amp;$H176,"Medidas: "&amp;$Y176&amp;"  ·  Cód: "&amp;$H176))</f>
      </c>
      <c r="D176" s="42">
        <f>IF($H176="","",IF($D$3="Mayor",$V176,$U176))</f>
      </c>
      <c r="E176" s="12">
        <f>IF($H176="","",$N176)</f>
      </c>
    </row>
    <row r="177" ht="90.00" customHeight="1">
      <c r="A177" s="39">
        <f>IF($H177="","",IFERROR(IMAGE($T177,1),""))</f>
      </c>
      <c r="B177" s="40">
        <f>IF($H177="","",$I177)</f>
      </c>
      <c r="C177" s="41">
        <f>IF($H177="","",IF($Y177="","Cód: "&amp;$H177,"Medidas: "&amp;$Y177&amp;"  ·  Cód: "&amp;$H177))</f>
      </c>
      <c r="D177" s="42">
        <f>IF($H177="","",IF($D$3="Mayor",$V177,$U177))</f>
      </c>
      <c r="E177" s="12">
        <f>IF($H177="","",$N177)</f>
      </c>
    </row>
    <row r="178" ht="90.00" customHeight="1">
      <c r="A178" s="39">
        <f>IF($H178="","",IFERROR(IMAGE($T178,1),""))</f>
      </c>
      <c r="B178" s="40">
        <f>IF($H178="","",$I178)</f>
      </c>
      <c r="C178" s="41">
        <f>IF($H178="","",IF($Y178="","Cód: "&amp;$H178,"Medidas: "&amp;$Y178&amp;"  ·  Cód: "&amp;$H178))</f>
      </c>
      <c r="D178" s="42">
        <f>IF($H178="","",IF($D$3="Mayor",$V178,$U178))</f>
      </c>
      <c r="E178" s="12">
        <f>IF($H178="","",$N178)</f>
      </c>
    </row>
    <row r="179" ht="90.00" customHeight="1">
      <c r="A179" s="39">
        <f>IF($H179="","",IFERROR(IMAGE($T179,1),""))</f>
      </c>
      <c r="B179" s="40">
        <f>IF($H179="","",$I179)</f>
      </c>
      <c r="C179" s="41">
        <f>IF($H179="","",IF($Y179="","Cód: "&amp;$H179,"Medidas: "&amp;$Y179&amp;"  ·  Cód: "&amp;$H179))</f>
      </c>
      <c r="D179" s="42">
        <f>IF($H179="","",IF($D$3="Mayor",$V179,$U179))</f>
      </c>
      <c r="E179" s="12">
        <f>IF($H179="","",$N179)</f>
      </c>
    </row>
    <row r="180" ht="90.00" customHeight="1">
      <c r="A180" s="39">
        <f>IF($H180="","",IFERROR(IMAGE($T180,1),""))</f>
      </c>
      <c r="B180" s="40">
        <f>IF($H180="","",$I180)</f>
      </c>
      <c r="C180" s="41">
        <f>IF($H180="","",IF($Y180="","Cód: "&amp;$H180,"Medidas: "&amp;$Y180&amp;"  ·  Cód: "&amp;$H180))</f>
      </c>
      <c r="D180" s="42">
        <f>IF($H180="","",IF($D$3="Mayor",$V180,$U180))</f>
      </c>
      <c r="E180" s="12">
        <f>IF($H180="","",$N180)</f>
      </c>
    </row>
    <row r="181" ht="90.00" customHeight="1">
      <c r="A181" s="39">
        <f>IF($H181="","",IFERROR(IMAGE($T181,1),""))</f>
      </c>
      <c r="B181" s="40">
        <f>IF($H181="","",$I181)</f>
      </c>
      <c r="C181" s="41">
        <f>IF($H181="","",IF($Y181="","Cód: "&amp;$H181,"Medidas: "&amp;$Y181&amp;"  ·  Cód: "&amp;$H181))</f>
      </c>
      <c r="D181" s="42">
        <f>IF($H181="","",IF($D$3="Mayor",$V181,$U181))</f>
      </c>
      <c r="E181" s="12">
        <f>IF($H181="","",$N181)</f>
      </c>
    </row>
    <row r="182" ht="90.00" customHeight="1">
      <c r="A182" s="39">
        <f>IF($H182="","",IFERROR(IMAGE($T182,1),""))</f>
      </c>
      <c r="B182" s="40">
        <f>IF($H182="","",$I182)</f>
      </c>
      <c r="C182" s="41">
        <f>IF($H182="","",IF($Y182="","Cód: "&amp;$H182,"Medidas: "&amp;$Y182&amp;"  ·  Cód: "&amp;$H182))</f>
      </c>
      <c r="D182" s="42">
        <f>IF($H182="","",IF($D$3="Mayor",$V182,$U182))</f>
      </c>
      <c r="E182" s="12">
        <f>IF($H182="","",$N182)</f>
      </c>
    </row>
    <row r="183" ht="90.00" customHeight="1">
      <c r="A183" s="39">
        <f>IF($H183="","",IFERROR(IMAGE($T183,1),""))</f>
      </c>
      <c r="B183" s="40">
        <f>IF($H183="","",$I183)</f>
      </c>
      <c r="C183" s="41">
        <f>IF($H183="","",IF($Y183="","Cód: "&amp;$H183,"Medidas: "&amp;$Y183&amp;"  ·  Cód: "&amp;$H183))</f>
      </c>
      <c r="D183" s="42">
        <f>IF($H183="","",IF($D$3="Mayor",$V183,$U183))</f>
      </c>
      <c r="E183" s="12">
        <f>IF($H183="","",$N183)</f>
      </c>
    </row>
    <row r="184" ht="90.00" customHeight="1">
      <c r="A184" s="39">
        <f>IF($H184="","",IFERROR(IMAGE($T184,1),""))</f>
      </c>
      <c r="B184" s="40">
        <f>IF($H184="","",$I184)</f>
      </c>
      <c r="C184" s="41">
        <f>IF($H184="","",IF($Y184="","Cód: "&amp;$H184,"Medidas: "&amp;$Y184&amp;"  ·  Cód: "&amp;$H184))</f>
      </c>
      <c r="D184" s="42">
        <f>IF($H184="","",IF($D$3="Mayor",$V184,$U184))</f>
      </c>
      <c r="E184" s="12">
        <f>IF($H184="","",$N184)</f>
      </c>
    </row>
    <row r="185" ht="90.00" customHeight="1">
      <c r="A185" s="39">
        <f>IF($H185="","",IFERROR(IMAGE($T185,1),""))</f>
      </c>
      <c r="B185" s="40">
        <f>IF($H185="","",$I185)</f>
      </c>
      <c r="C185" s="41">
        <f>IF($H185="","",IF($Y185="","Cód: "&amp;$H185,"Medidas: "&amp;$Y185&amp;"  ·  Cód: "&amp;$H185))</f>
      </c>
      <c r="D185" s="42">
        <f>IF($H185="","",IF($D$3="Mayor",$V185,$U185))</f>
      </c>
      <c r="E185" s="12">
        <f>IF($H185="","",$N185)</f>
      </c>
    </row>
    <row r="186" ht="90.00" customHeight="1">
      <c r="A186" s="39">
        <f>IF($H186="","",IFERROR(IMAGE($T186,1),""))</f>
      </c>
      <c r="B186" s="40">
        <f>IF($H186="","",$I186)</f>
      </c>
      <c r="C186" s="41">
        <f>IF($H186="","",IF($Y186="","Cód: "&amp;$H186,"Medidas: "&amp;$Y186&amp;"  ·  Cód: "&amp;$H186))</f>
      </c>
      <c r="D186" s="42">
        <f>IF($H186="","",IF($D$3="Mayor",$V186,$U186))</f>
      </c>
      <c r="E186" s="12">
        <f>IF($H186="","",$N186)</f>
      </c>
    </row>
    <row r="187" ht="90.00" customHeight="1">
      <c r="A187" s="39">
        <f>IF($H187="","",IFERROR(IMAGE($T187,1),""))</f>
      </c>
      <c r="B187" s="40">
        <f>IF($H187="","",$I187)</f>
      </c>
      <c r="C187" s="41">
        <f>IF($H187="","",IF($Y187="","Cód: "&amp;$H187,"Medidas: "&amp;$Y187&amp;"  ·  Cód: "&amp;$H187))</f>
      </c>
      <c r="D187" s="42">
        <f>IF($H187="","",IF($D$3="Mayor",$V187,$U187))</f>
      </c>
      <c r="E187" s="12">
        <f>IF($H187="","",$N187)</f>
      </c>
    </row>
    <row r="188" ht="90.00" customHeight="1">
      <c r="A188" s="39">
        <f>IF($H188="","",IFERROR(IMAGE($T188,1),""))</f>
      </c>
      <c r="B188" s="40">
        <f>IF($H188="","",$I188)</f>
      </c>
      <c r="C188" s="41">
        <f>IF($H188="","",IF($Y188="","Cód: "&amp;$H188,"Medidas: "&amp;$Y188&amp;"  ·  Cód: "&amp;$H188))</f>
      </c>
      <c r="D188" s="42">
        <f>IF($H188="","",IF($D$3="Mayor",$V188,$U188))</f>
      </c>
      <c r="E188" s="12">
        <f>IF($H188="","",$N188)</f>
      </c>
    </row>
    <row r="189" ht="90.00" customHeight="1">
      <c r="A189" s="39">
        <f>IF($H189="","",IFERROR(IMAGE($T189,1),""))</f>
      </c>
      <c r="B189" s="40">
        <f>IF($H189="","",$I189)</f>
      </c>
      <c r="C189" s="41">
        <f>IF($H189="","",IF($Y189="","Cód: "&amp;$H189,"Medidas: "&amp;$Y189&amp;"  ·  Cód: "&amp;$H189))</f>
      </c>
      <c r="D189" s="42">
        <f>IF($H189="","",IF($D$3="Mayor",$V189,$U189))</f>
      </c>
      <c r="E189" s="12">
        <f>IF($H189="","",$N189)</f>
      </c>
    </row>
    <row r="190" ht="90.00" customHeight="1">
      <c r="A190" s="39">
        <f>IF($H190="","",IFERROR(IMAGE($T190,1),""))</f>
      </c>
      <c r="B190" s="40">
        <f>IF($H190="","",$I190)</f>
      </c>
      <c r="C190" s="41">
        <f>IF($H190="","",IF($Y190="","Cód: "&amp;$H190,"Medidas: "&amp;$Y190&amp;"  ·  Cód: "&amp;$H190))</f>
      </c>
      <c r="D190" s="42">
        <f>IF($H190="","",IF($D$3="Mayor",$V190,$U190))</f>
      </c>
      <c r="E190" s="12">
        <f>IF($H190="","",$N190)</f>
      </c>
    </row>
    <row r="191" ht="90.00" customHeight="1">
      <c r="A191" s="39">
        <f>IF($H191="","",IFERROR(IMAGE($T191,1),""))</f>
      </c>
      <c r="B191" s="40">
        <f>IF($H191="","",$I191)</f>
      </c>
      <c r="C191" s="41">
        <f>IF($H191="","",IF($Y191="","Cód: "&amp;$H191,"Medidas: "&amp;$Y191&amp;"  ·  Cód: "&amp;$H191))</f>
      </c>
      <c r="D191" s="42">
        <f>IF($H191="","",IF($D$3="Mayor",$V191,$U191))</f>
      </c>
      <c r="E191" s="12">
        <f>IF($H191="","",$N191)</f>
      </c>
    </row>
    <row r="192" ht="90.00" customHeight="1">
      <c r="A192" s="39">
        <f>IF($H192="","",IFERROR(IMAGE($T192,1),""))</f>
      </c>
      <c r="B192" s="40">
        <f>IF($H192="","",$I192)</f>
      </c>
      <c r="C192" s="41">
        <f>IF($H192="","",IF($Y192="","Cód: "&amp;$H192,"Medidas: "&amp;$Y192&amp;"  ·  Cód: "&amp;$H192))</f>
      </c>
      <c r="D192" s="42">
        <f>IF($H192="","",IF($D$3="Mayor",$V192,$U192))</f>
      </c>
      <c r="E192" s="12">
        <f>IF($H192="","",$N192)</f>
      </c>
    </row>
    <row r="193" ht="90.00" customHeight="1">
      <c r="A193" s="39">
        <f>IF($H193="","",IFERROR(IMAGE($T193,1),""))</f>
      </c>
      <c r="B193" s="40">
        <f>IF($H193="","",$I193)</f>
      </c>
      <c r="C193" s="41">
        <f>IF($H193="","",IF($Y193="","Cód: "&amp;$H193,"Medidas: "&amp;$Y193&amp;"  ·  Cód: "&amp;$H193))</f>
      </c>
      <c r="D193" s="42">
        <f>IF($H193="","",IF($D$3="Mayor",$V193,$U193))</f>
      </c>
      <c r="E193" s="12">
        <f>IF($H193="","",$N193)</f>
      </c>
    </row>
    <row r="194" ht="90.00" customHeight="1">
      <c r="A194" s="39">
        <f>IF($H194="","",IFERROR(IMAGE($T194,1),""))</f>
      </c>
      <c r="B194" s="40">
        <f>IF($H194="","",$I194)</f>
      </c>
      <c r="C194" s="41">
        <f>IF($H194="","",IF($Y194="","Cód: "&amp;$H194,"Medidas: "&amp;$Y194&amp;"  ·  Cód: "&amp;$H194))</f>
      </c>
      <c r="D194" s="42">
        <f>IF($H194="","",IF($D$3="Mayor",$V194,$U194))</f>
      </c>
      <c r="E194" s="12">
        <f>IF($H194="","",$N194)</f>
      </c>
    </row>
    <row r="195" ht="90.00" customHeight="1">
      <c r="A195" s="39">
        <f>IF($H195="","",IFERROR(IMAGE($T195,1),""))</f>
      </c>
      <c r="B195" s="40">
        <f>IF($H195="","",$I195)</f>
      </c>
      <c r="C195" s="41">
        <f>IF($H195="","",IF($Y195="","Cód: "&amp;$H195,"Medidas: "&amp;$Y195&amp;"  ·  Cód: "&amp;$H195))</f>
      </c>
      <c r="D195" s="42">
        <f>IF($H195="","",IF($D$3="Mayor",$V195,$U195))</f>
      </c>
      <c r="E195" s="12">
        <f>IF($H195="","",$N195)</f>
      </c>
    </row>
    <row r="196" ht="90.00" customHeight="1">
      <c r="A196" s="39">
        <f>IF($H196="","",IFERROR(IMAGE($T196,1),""))</f>
      </c>
      <c r="B196" s="40">
        <f>IF($H196="","",$I196)</f>
      </c>
      <c r="C196" s="41">
        <f>IF($H196="","",IF($Y196="","Cód: "&amp;$H196,"Medidas: "&amp;$Y196&amp;"  ·  Cód: "&amp;$H196))</f>
      </c>
      <c r="D196" s="42">
        <f>IF($H196="","",IF($D$3="Mayor",$V196,$U196))</f>
      </c>
      <c r="E196" s="12">
        <f>IF($H196="","",$N196)</f>
      </c>
    </row>
    <row r="197" ht="90.00" customHeight="1">
      <c r="A197" s="39">
        <f>IF($H197="","",IFERROR(IMAGE($T197,1),""))</f>
      </c>
      <c r="B197" s="40">
        <f>IF($H197="","",$I197)</f>
      </c>
      <c r="C197" s="41">
        <f>IF($H197="","",IF($Y197="","Cód: "&amp;$H197,"Medidas: "&amp;$Y197&amp;"  ·  Cód: "&amp;$H197))</f>
      </c>
      <c r="D197" s="42">
        <f>IF($H197="","",IF($D$3="Mayor",$V197,$U197))</f>
      </c>
      <c r="E197" s="12">
        <f>IF($H197="","",$N197)</f>
      </c>
    </row>
    <row r="198" ht="90.00" customHeight="1">
      <c r="A198" s="39">
        <f>IF($H198="","",IFERROR(IMAGE($T198,1),""))</f>
      </c>
      <c r="B198" s="40">
        <f>IF($H198="","",$I198)</f>
      </c>
      <c r="C198" s="41">
        <f>IF($H198="","",IF($Y198="","Cód: "&amp;$H198,"Medidas: "&amp;$Y198&amp;"  ·  Cód: "&amp;$H198))</f>
      </c>
      <c r="D198" s="42">
        <f>IF($H198="","",IF($D$3="Mayor",$V198,$U198))</f>
      </c>
      <c r="E198" s="12">
        <f>IF($H198="","",$N198)</f>
      </c>
    </row>
    <row r="199" ht="90.00" customHeight="1">
      <c r="A199" s="39">
        <f>IF($H199="","",IFERROR(IMAGE($T199,1),""))</f>
      </c>
      <c r="B199" s="40">
        <f>IF($H199="","",$I199)</f>
      </c>
      <c r="C199" s="41">
        <f>IF($H199="","",IF($Y199="","Cód: "&amp;$H199,"Medidas: "&amp;$Y199&amp;"  ·  Cód: "&amp;$H199))</f>
      </c>
      <c r="D199" s="42">
        <f>IF($H199="","",IF($D$3="Mayor",$V199,$U199))</f>
      </c>
      <c r="E199" s="12">
        <f>IF($H199="","",$N199)</f>
      </c>
    </row>
    <row r="200" ht="90.00" customHeight="1">
      <c r="A200" s="39">
        <f>IF($H200="","",IFERROR(IMAGE($T200,1),""))</f>
      </c>
      <c r="B200" s="40">
        <f>IF($H200="","",$I200)</f>
      </c>
      <c r="C200" s="41">
        <f>IF($H200="","",IF($Y200="","Cód: "&amp;$H200,"Medidas: "&amp;$Y200&amp;"  ·  Cód: "&amp;$H200))</f>
      </c>
      <c r="D200" s="42">
        <f>IF($H200="","",IF($D$3="Mayor",$V200,$U200))</f>
      </c>
      <c r="E200" s="12">
        <f>IF($H200="","",$N200)</f>
      </c>
    </row>
    <row r="201" ht="90.00" customHeight="1">
      <c r="A201" s="39">
        <f>IF($H201="","",IFERROR(IMAGE($T201,1),""))</f>
      </c>
      <c r="B201" s="40">
        <f>IF($H201="","",$I201)</f>
      </c>
      <c r="C201" s="41">
        <f>IF($H201="","",IF($Y201="","Cód: "&amp;$H201,"Medidas: "&amp;$Y201&amp;"  ·  Cód: "&amp;$H201))</f>
      </c>
      <c r="D201" s="42">
        <f>IF($H201="","",IF($D$3="Mayor",$V201,$U201))</f>
      </c>
      <c r="E201" s="12">
        <f>IF($H201="","",$N201)</f>
      </c>
    </row>
    <row r="202" ht="90.00" customHeight="1">
      <c r="A202" s="39">
        <f>IF($H202="","",IFERROR(IMAGE($T202,1),""))</f>
      </c>
      <c r="B202" s="40">
        <f>IF($H202="","",$I202)</f>
      </c>
      <c r="C202" s="41">
        <f>IF($H202="","",IF($Y202="","Cód: "&amp;$H202,"Medidas: "&amp;$Y202&amp;"  ·  Cód: "&amp;$H202))</f>
      </c>
      <c r="D202" s="42">
        <f>IF($H202="","",IF($D$3="Mayor",$V202,$U202))</f>
      </c>
      <c r="E202" s="12">
        <f>IF($H202="","",$N202)</f>
      </c>
    </row>
    <row r="203" ht="90.00" customHeight="1">
      <c r="A203" s="39">
        <f>IF($H203="","",IFERROR(IMAGE($T203,1),""))</f>
      </c>
      <c r="B203" s="40">
        <f>IF($H203="","",$I203)</f>
      </c>
      <c r="C203" s="41">
        <f>IF($H203="","",IF($Y203="","Cód: "&amp;$H203,"Medidas: "&amp;$Y203&amp;"  ·  Cód: "&amp;$H203))</f>
      </c>
      <c r="D203" s="42">
        <f>IF($H203="","",IF($D$3="Mayor",$V203,$U203))</f>
      </c>
      <c r="E203" s="12">
        <f>IF($H203="","",$N203)</f>
      </c>
    </row>
    <row r="204" ht="90.00" customHeight="1">
      <c r="A204" s="39">
        <f>IF($H204="","",IFERROR(IMAGE($T204,1),""))</f>
      </c>
      <c r="B204" s="40">
        <f>IF($H204="","",$I204)</f>
      </c>
      <c r="C204" s="41">
        <f>IF($H204="","",IF($Y204="","Cód: "&amp;$H204,"Medidas: "&amp;$Y204&amp;"  ·  Cód: "&amp;$H204))</f>
      </c>
      <c r="D204" s="42">
        <f>IF($H204="","",IF($D$3="Mayor",$V204,$U204))</f>
      </c>
      <c r="E204" s="12">
        <f>IF($H204="","",$N204)</f>
      </c>
    </row>
    <row r="205" ht="90.00" customHeight="1">
      <c r="A205" s="39">
        <f>IF($H205="","",IFERROR(IMAGE($T205,1),""))</f>
      </c>
      <c r="B205" s="40">
        <f>IF($H205="","",$I205)</f>
      </c>
      <c r="C205" s="41">
        <f>IF($H205="","",IF($Y205="","Cód: "&amp;$H205,"Medidas: "&amp;$Y205&amp;"  ·  Cód: "&amp;$H205))</f>
      </c>
      <c r="D205" s="42">
        <f>IF($H205="","",IF($D$3="Mayor",$V205,$U205))</f>
      </c>
      <c r="E205" s="12">
        <f>IF($H205="","",$N205)</f>
      </c>
    </row>
    <row r="206" ht="90.00" customHeight="1">
      <c r="A206" s="39">
        <f>IF($H206="","",IFERROR(IMAGE($T206,1),""))</f>
      </c>
      <c r="B206" s="40">
        <f>IF($H206="","",$I206)</f>
      </c>
      <c r="C206" s="41">
        <f>IF($H206="","",IF($Y206="","Cód: "&amp;$H206,"Medidas: "&amp;$Y206&amp;"  ·  Cód: "&amp;$H206))</f>
      </c>
      <c r="D206" s="42">
        <f>IF($H206="","",IF($D$3="Mayor",$V206,$U206))</f>
      </c>
      <c r="E206" s="12">
        <f>IF($H206="","",$N206)</f>
      </c>
    </row>
    <row r="207" ht="90.00" customHeight="1">
      <c r="A207" s="39">
        <f>IF($H207="","",IFERROR(IMAGE($T207,1),""))</f>
      </c>
      <c r="B207" s="40">
        <f>IF($H207="","",$I207)</f>
      </c>
      <c r="C207" s="41">
        <f>IF($H207="","",IF($Y207="","Cód: "&amp;$H207,"Medidas: "&amp;$Y207&amp;"  ·  Cód: "&amp;$H207))</f>
      </c>
      <c r="D207" s="42">
        <f>IF($H207="","",IF($D$3="Mayor",$V207,$U207))</f>
      </c>
      <c r="E207" s="12">
        <f>IF($H207="","",$N207)</f>
      </c>
    </row>
    <row r="208" ht="90.00" customHeight="1">
      <c r="A208" s="39">
        <f>IF($H208="","",IFERROR(IMAGE($T208,1),""))</f>
      </c>
      <c r="B208" s="40">
        <f>IF($H208="","",$I208)</f>
      </c>
      <c r="C208" s="41">
        <f>IF($H208="","",IF($Y208="","Cód: "&amp;$H208,"Medidas: "&amp;$Y208&amp;"  ·  Cód: "&amp;$H208))</f>
      </c>
      <c r="D208" s="42">
        <f>IF($H208="","",IF($D$3="Mayor",$V208,$U208))</f>
      </c>
      <c r="E208" s="12">
        <f>IF($H208="","",$N208)</f>
      </c>
    </row>
    <row r="209" ht="90.00" customHeight="1">
      <c r="A209" s="39">
        <f>IF($H209="","",IFERROR(IMAGE($T209,1),""))</f>
      </c>
      <c r="B209" s="40">
        <f>IF($H209="","",$I209)</f>
      </c>
      <c r="C209" s="41">
        <f>IF($H209="","",IF($Y209="","Cód: "&amp;$H209,"Medidas: "&amp;$Y209&amp;"  ·  Cód: "&amp;$H209))</f>
      </c>
      <c r="D209" s="42">
        <f>IF($H209="","",IF($D$3="Mayor",$V209,$U209))</f>
      </c>
      <c r="E209" s="12">
        <f>IF($H209="","",$N209)</f>
      </c>
    </row>
    <row r="210" ht="90.00" customHeight="1">
      <c r="A210" s="39">
        <f>IF($H210="","",IFERROR(IMAGE($T210,1),""))</f>
      </c>
      <c r="B210" s="40">
        <f>IF($H210="","",$I210)</f>
      </c>
      <c r="C210" s="41">
        <f>IF($H210="","",IF($Y210="","Cód: "&amp;$H210,"Medidas: "&amp;$Y210&amp;"  ·  Cód: "&amp;$H210))</f>
      </c>
      <c r="D210" s="42">
        <f>IF($H210="","",IF($D$3="Mayor",$V210,$U210))</f>
      </c>
      <c r="E210" s="12">
        <f>IF($H210="","",$N210)</f>
      </c>
    </row>
    <row r="211" ht="90.00" customHeight="1">
      <c r="A211" s="39">
        <f>IF($H211="","",IFERROR(IMAGE($T211,1),""))</f>
      </c>
      <c r="B211" s="40">
        <f>IF($H211="","",$I211)</f>
      </c>
      <c r="C211" s="41">
        <f>IF($H211="","",IF($Y211="","Cód: "&amp;$H211,"Medidas: "&amp;$Y211&amp;"  ·  Cód: "&amp;$H211))</f>
      </c>
      <c r="D211" s="42">
        <f>IF($H211="","",IF($D$3="Mayor",$V211,$U211))</f>
      </c>
      <c r="E211" s="12">
        <f>IF($H211="","",$N211)</f>
      </c>
    </row>
    <row r="212" ht="90.00" customHeight="1">
      <c r="A212" s="39">
        <f>IF($H212="","",IFERROR(IMAGE($T212,1),""))</f>
      </c>
      <c r="B212" s="40">
        <f>IF($H212="","",$I212)</f>
      </c>
      <c r="C212" s="41">
        <f>IF($H212="","",IF($Y212="","Cód: "&amp;$H212,"Medidas: "&amp;$Y212&amp;"  ·  Cód: "&amp;$H212))</f>
      </c>
      <c r="D212" s="42">
        <f>IF($H212="","",IF($D$3="Mayor",$V212,$U212))</f>
      </c>
      <c r="E212" s="12">
        <f>IF($H212="","",$N212)</f>
      </c>
    </row>
    <row r="213" ht="90.00" customHeight="1">
      <c r="A213" s="39">
        <f>IF($H213="","",IFERROR(IMAGE($T213,1),""))</f>
      </c>
      <c r="B213" s="40">
        <f>IF($H213="","",$I213)</f>
      </c>
      <c r="C213" s="41">
        <f>IF($H213="","",IF($Y213="","Cód: "&amp;$H213,"Medidas: "&amp;$Y213&amp;"  ·  Cód: "&amp;$H213))</f>
      </c>
      <c r="D213" s="42">
        <f>IF($H213="","",IF($D$3="Mayor",$V213,$U213))</f>
      </c>
      <c r="E213" s="12">
        <f>IF($H213="","",$N213)</f>
      </c>
    </row>
    <row r="214" ht="90.00" customHeight="1">
      <c r="A214" s="39">
        <f>IF($H214="","",IFERROR(IMAGE($T214,1),""))</f>
      </c>
      <c r="B214" s="40">
        <f>IF($H214="","",$I214)</f>
      </c>
      <c r="C214" s="41">
        <f>IF($H214="","",IF($Y214="","Cód: "&amp;$H214,"Medidas: "&amp;$Y214&amp;"  ·  Cód: "&amp;$H214))</f>
      </c>
      <c r="D214" s="42">
        <f>IF($H214="","",IF($D$3="Mayor",$V214,$U214))</f>
      </c>
      <c r="E214" s="12">
        <f>IF($H214="","",$N214)</f>
      </c>
    </row>
    <row r="215" ht="90.00" customHeight="1">
      <c r="A215" s="39">
        <f>IF($H215="","",IFERROR(IMAGE($T215,1),""))</f>
      </c>
      <c r="B215" s="40">
        <f>IF($H215="","",$I215)</f>
      </c>
      <c r="C215" s="41">
        <f>IF($H215="","",IF($Y215="","Cód: "&amp;$H215,"Medidas: "&amp;$Y215&amp;"  ·  Cód: "&amp;$H215))</f>
      </c>
      <c r="D215" s="42">
        <f>IF($H215="","",IF($D$3="Mayor",$V215,$U215))</f>
      </c>
      <c r="E215" s="12">
        <f>IF($H215="","",$N215)</f>
      </c>
    </row>
    <row r="216" ht="90.00" customHeight="1">
      <c r="A216" s="39">
        <f>IF($H216="","",IFERROR(IMAGE($T216,1),""))</f>
      </c>
      <c r="B216" s="40">
        <f>IF($H216="","",$I216)</f>
      </c>
      <c r="C216" s="41">
        <f>IF($H216="","",IF($Y216="","Cód: "&amp;$H216,"Medidas: "&amp;$Y216&amp;"  ·  Cód: "&amp;$H216))</f>
      </c>
      <c r="D216" s="42">
        <f>IF($H216="","",IF($D$3="Mayor",$V216,$U216))</f>
      </c>
      <c r="E216" s="12">
        <f>IF($H216="","",$N216)</f>
      </c>
    </row>
    <row r="217" ht="90.00" customHeight="1">
      <c r="A217" s="39">
        <f>IF($H217="","",IFERROR(IMAGE($T217,1),""))</f>
      </c>
      <c r="B217" s="40">
        <f>IF($H217="","",$I217)</f>
      </c>
      <c r="C217" s="41">
        <f>IF($H217="","",IF($Y217="","Cód: "&amp;$H217,"Medidas: "&amp;$Y217&amp;"  ·  Cód: "&amp;$H217))</f>
      </c>
      <c r="D217" s="42">
        <f>IF($H217="","",IF($D$3="Mayor",$V217,$U217))</f>
      </c>
      <c r="E217" s="12">
        <f>IF($H217="","",$N217)</f>
      </c>
    </row>
    <row r="218" ht="90.00" customHeight="1">
      <c r="A218" s="39">
        <f>IF($H218="","",IFERROR(IMAGE($T218,1),""))</f>
      </c>
      <c r="B218" s="40">
        <f>IF($H218="","",$I218)</f>
      </c>
      <c r="C218" s="41">
        <f>IF($H218="","",IF($Y218="","Cód: "&amp;$H218,"Medidas: "&amp;$Y218&amp;"  ·  Cód: "&amp;$H218))</f>
      </c>
      <c r="D218" s="42">
        <f>IF($H218="","",IF($D$3="Mayor",$V218,$U218))</f>
      </c>
      <c r="E218" s="12">
        <f>IF($H218="","",$N218)</f>
      </c>
    </row>
    <row r="219" ht="90.00" customHeight="1">
      <c r="A219" s="39">
        <f>IF($H219="","",IFERROR(IMAGE($T219,1),""))</f>
      </c>
      <c r="B219" s="40">
        <f>IF($H219="","",$I219)</f>
      </c>
      <c r="C219" s="41">
        <f>IF($H219="","",IF($Y219="","Cód: "&amp;$H219,"Medidas: "&amp;$Y219&amp;"  ·  Cód: "&amp;$H219))</f>
      </c>
      <c r="D219" s="42">
        <f>IF($H219="","",IF($D$3="Mayor",$V219,$U219))</f>
      </c>
      <c r="E219" s="12">
        <f>IF($H219="","",$N219)</f>
      </c>
    </row>
    <row r="220" ht="90.00" customHeight="1">
      <c r="A220" s="39">
        <f>IF($H220="","",IFERROR(IMAGE($T220,1),""))</f>
      </c>
      <c r="B220" s="40">
        <f>IF($H220="","",$I220)</f>
      </c>
      <c r="C220" s="41">
        <f>IF($H220="","",IF($Y220="","Cód: "&amp;$H220,"Medidas: "&amp;$Y220&amp;"  ·  Cód: "&amp;$H220))</f>
      </c>
      <c r="D220" s="42">
        <f>IF($H220="","",IF($D$3="Mayor",$V220,$U220))</f>
      </c>
      <c r="E220" s="12">
        <f>IF($H220="","",$N220)</f>
      </c>
    </row>
    <row r="221" ht="90.00" customHeight="1">
      <c r="A221" s="39">
        <f>IF($H221="","",IFERROR(IMAGE($T221,1),""))</f>
      </c>
      <c r="B221" s="40">
        <f>IF($H221="","",$I221)</f>
      </c>
      <c r="C221" s="41">
        <f>IF($H221="","",IF($Y221="","Cód: "&amp;$H221,"Medidas: "&amp;$Y221&amp;"  ·  Cód: "&amp;$H221))</f>
      </c>
      <c r="D221" s="42">
        <f>IF($H221="","",IF($D$3="Mayor",$V221,$U221))</f>
      </c>
      <c r="E221" s="12">
        <f>IF($H221="","",$N221)</f>
      </c>
    </row>
    <row r="222" ht="90.00" customHeight="1">
      <c r="A222" s="39">
        <f>IF($H222="","",IFERROR(IMAGE($T222,1),""))</f>
      </c>
      <c r="B222" s="40">
        <f>IF($H222="","",$I222)</f>
      </c>
      <c r="C222" s="41">
        <f>IF($H222="","",IF($Y222="","Cód: "&amp;$H222,"Medidas: "&amp;$Y222&amp;"  ·  Cód: "&amp;$H222))</f>
      </c>
      <c r="D222" s="42">
        <f>IF($H222="","",IF($D$3="Mayor",$V222,$U222))</f>
      </c>
      <c r="E222" s="12">
        <f>IF($H222="","",$N222)</f>
      </c>
    </row>
    <row r="223" ht="90.00" customHeight="1">
      <c r="A223" s="39">
        <f>IF($H223="","",IFERROR(IMAGE($T223,1),""))</f>
      </c>
      <c r="B223" s="40">
        <f>IF($H223="","",$I223)</f>
      </c>
      <c r="C223" s="41">
        <f>IF($H223="","",IF($Y223="","Cód: "&amp;$H223,"Medidas: "&amp;$Y223&amp;"  ·  Cód: "&amp;$H223))</f>
      </c>
      <c r="D223" s="42">
        <f>IF($H223="","",IF($D$3="Mayor",$V223,$U223))</f>
      </c>
      <c r="E223" s="12">
        <f>IF($H223="","",$N223)</f>
      </c>
    </row>
    <row r="224" ht="90.00" customHeight="1">
      <c r="A224" s="39">
        <f>IF($H224="","",IFERROR(IMAGE($T224,1),""))</f>
      </c>
      <c r="B224" s="40">
        <f>IF($H224="","",$I224)</f>
      </c>
      <c r="C224" s="41">
        <f>IF($H224="","",IF($Y224="","Cód: "&amp;$H224,"Medidas: "&amp;$Y224&amp;"  ·  Cód: "&amp;$H224))</f>
      </c>
      <c r="D224" s="42">
        <f>IF($H224="","",IF($D$3="Mayor",$V224,$U224))</f>
      </c>
      <c r="E224" s="12">
        <f>IF($H224="","",$N224)</f>
      </c>
    </row>
    <row r="225" ht="90.00" customHeight="1">
      <c r="A225" s="39">
        <f>IF($H225="","",IFERROR(IMAGE($T225,1),""))</f>
      </c>
      <c r="B225" s="40">
        <f>IF($H225="","",$I225)</f>
      </c>
      <c r="C225" s="41">
        <f>IF($H225="","",IF($Y225="","Cód: "&amp;$H225,"Medidas: "&amp;$Y225&amp;"  ·  Cód: "&amp;$H225))</f>
      </c>
      <c r="D225" s="42">
        <f>IF($H225="","",IF($D$3="Mayor",$V225,$U225))</f>
      </c>
      <c r="E225" s="12">
        <f>IF($H225="","",$N225)</f>
      </c>
    </row>
    <row r="226" ht="90.00" customHeight="1">
      <c r="A226" s="39">
        <f>IF($H226="","",IFERROR(IMAGE($T226,1),""))</f>
      </c>
      <c r="B226" s="40">
        <f>IF($H226="","",$I226)</f>
      </c>
      <c r="C226" s="41">
        <f>IF($H226="","",IF($Y226="","Cód: "&amp;$H226,"Medidas: "&amp;$Y226&amp;"  ·  Cód: "&amp;$H226))</f>
      </c>
      <c r="D226" s="42">
        <f>IF($H226="","",IF($D$3="Mayor",$V226,$U226))</f>
      </c>
      <c r="E226" s="12">
        <f>IF($H226="","",$N226)</f>
      </c>
    </row>
    <row r="227" ht="90.00" customHeight="1">
      <c r="A227" s="39">
        <f>IF($H227="","",IFERROR(IMAGE($T227,1),""))</f>
      </c>
      <c r="B227" s="40">
        <f>IF($H227="","",$I227)</f>
      </c>
      <c r="C227" s="41">
        <f>IF($H227="","",IF($Y227="","Cód: "&amp;$H227,"Medidas: "&amp;$Y227&amp;"  ·  Cód: "&amp;$H227))</f>
      </c>
      <c r="D227" s="42">
        <f>IF($H227="","",IF($D$3="Mayor",$V227,$U227))</f>
      </c>
      <c r="E227" s="12">
        <f>IF($H227="","",$N227)</f>
      </c>
    </row>
    <row r="228" ht="90.00" customHeight="1">
      <c r="A228" s="39">
        <f>IF($H228="","",IFERROR(IMAGE($T228,1),""))</f>
      </c>
      <c r="B228" s="40">
        <f>IF($H228="","",$I228)</f>
      </c>
      <c r="C228" s="41">
        <f>IF($H228="","",IF($Y228="","Cód: "&amp;$H228,"Medidas: "&amp;$Y228&amp;"  ·  Cód: "&amp;$H228))</f>
      </c>
      <c r="D228" s="42">
        <f>IF($H228="","",IF($D$3="Mayor",$V228,$U228))</f>
      </c>
      <c r="E228" s="12">
        <f>IF($H228="","",$N228)</f>
      </c>
    </row>
    <row r="229" ht="90.00" customHeight="1">
      <c r="A229" s="39">
        <f>IF($H229="","",IFERROR(IMAGE($T229,1),""))</f>
      </c>
      <c r="B229" s="40">
        <f>IF($H229="","",$I229)</f>
      </c>
      <c r="C229" s="41">
        <f>IF($H229="","",IF($Y229="","Cód: "&amp;$H229,"Medidas: "&amp;$Y229&amp;"  ·  Cód: "&amp;$H229))</f>
      </c>
      <c r="D229" s="42">
        <f>IF($H229="","",IF($D$3="Mayor",$V229,$U229))</f>
      </c>
      <c r="E229" s="12">
        <f>IF($H229="","",$N229)</f>
      </c>
    </row>
    <row r="230" ht="90.00" customHeight="1">
      <c r="A230" s="39">
        <f>IF($H230="","",IFERROR(IMAGE($T230,1),""))</f>
      </c>
      <c r="B230" s="40">
        <f>IF($H230="","",$I230)</f>
      </c>
      <c r="C230" s="41">
        <f>IF($H230="","",IF($Y230="","Cód: "&amp;$H230,"Medidas: "&amp;$Y230&amp;"  ·  Cód: "&amp;$H230))</f>
      </c>
      <c r="D230" s="42">
        <f>IF($H230="","",IF($D$3="Mayor",$V230,$U230))</f>
      </c>
      <c r="E230" s="12">
        <f>IF($H230="","",$N230)</f>
      </c>
    </row>
    <row r="231" ht="90.00" customHeight="1">
      <c r="A231" s="39">
        <f>IF($H231="","",IFERROR(IMAGE($T231,1),""))</f>
      </c>
      <c r="B231" s="40">
        <f>IF($H231="","",$I231)</f>
      </c>
      <c r="C231" s="41">
        <f>IF($H231="","",IF($Y231="","Cód: "&amp;$H231,"Medidas: "&amp;$Y231&amp;"  ·  Cód: "&amp;$H231))</f>
      </c>
      <c r="D231" s="42">
        <f>IF($H231="","",IF($D$3="Mayor",$V231,$U231))</f>
      </c>
      <c r="E231" s="12">
        <f>IF($H231="","",$N231)</f>
      </c>
    </row>
    <row r="232" ht="90.00" customHeight="1">
      <c r="A232" s="39">
        <f>IF($H232="","",IFERROR(IMAGE($T232,1),""))</f>
      </c>
      <c r="B232" s="40">
        <f>IF($H232="","",$I232)</f>
      </c>
      <c r="C232" s="41">
        <f>IF($H232="","",IF($Y232="","Cód: "&amp;$H232,"Medidas: "&amp;$Y232&amp;"  ·  Cód: "&amp;$H232))</f>
      </c>
      <c r="D232" s="42">
        <f>IF($H232="","",IF($D$3="Mayor",$V232,$U232))</f>
      </c>
      <c r="E232" s="12">
        <f>IF($H232="","",$N232)</f>
      </c>
    </row>
    <row r="233" ht="90.00" customHeight="1">
      <c r="A233" s="39">
        <f>IF($H233="","",IFERROR(IMAGE($T233,1),""))</f>
      </c>
      <c r="B233" s="40">
        <f>IF($H233="","",$I233)</f>
      </c>
      <c r="C233" s="41">
        <f>IF($H233="","",IF($Y233="","Cód: "&amp;$H233,"Medidas: "&amp;$Y233&amp;"  ·  Cód: "&amp;$H233))</f>
      </c>
      <c r="D233" s="42">
        <f>IF($H233="","",IF($D$3="Mayor",$V233,$U233))</f>
      </c>
      <c r="E233" s="12">
        <f>IF($H233="","",$N233)</f>
      </c>
    </row>
    <row r="234" ht="90.00" customHeight="1">
      <c r="A234" s="39">
        <f>IF($H234="","",IFERROR(IMAGE($T234,1),""))</f>
      </c>
      <c r="B234" s="40">
        <f>IF($H234="","",$I234)</f>
      </c>
      <c r="C234" s="41">
        <f>IF($H234="","",IF($Y234="","Cód: "&amp;$H234,"Medidas: "&amp;$Y234&amp;"  ·  Cód: "&amp;$H234))</f>
      </c>
      <c r="D234" s="42">
        <f>IF($H234="","",IF($D$3="Mayor",$V234,$U234))</f>
      </c>
      <c r="E234" s="12">
        <f>IF($H234="","",$N234)</f>
      </c>
    </row>
    <row r="235" ht="90.00" customHeight="1">
      <c r="A235" s="39">
        <f>IF($H235="","",IFERROR(IMAGE($T235,1),""))</f>
      </c>
      <c r="B235" s="40">
        <f>IF($H235="","",$I235)</f>
      </c>
      <c r="C235" s="41">
        <f>IF($H235="","",IF($Y235="","Cód: "&amp;$H235,"Medidas: "&amp;$Y235&amp;"  ·  Cód: "&amp;$H235))</f>
      </c>
      <c r="D235" s="42">
        <f>IF($H235="","",IF($D$3="Mayor",$V235,$U235))</f>
      </c>
      <c r="E235" s="12">
        <f>IF($H235="","",$N235)</f>
      </c>
    </row>
    <row r="236" ht="90.00" customHeight="1">
      <c r="A236" s="39">
        <f>IF($H236="","",IFERROR(IMAGE($T236,1),""))</f>
      </c>
      <c r="B236" s="40">
        <f>IF($H236="","",$I236)</f>
      </c>
      <c r="C236" s="41">
        <f>IF($H236="","",IF($Y236="","Cód: "&amp;$H236,"Medidas: "&amp;$Y236&amp;"  ·  Cód: "&amp;$H236))</f>
      </c>
      <c r="D236" s="42">
        <f>IF($H236="","",IF($D$3="Mayor",$V236,$U236))</f>
      </c>
      <c r="E236" s="12">
        <f>IF($H236="","",$N236)</f>
      </c>
    </row>
    <row r="237" ht="90.00" customHeight="1">
      <c r="A237" s="39">
        <f>IF($H237="","",IFERROR(IMAGE($T237,1),""))</f>
      </c>
      <c r="B237" s="40">
        <f>IF($H237="","",$I237)</f>
      </c>
      <c r="C237" s="41">
        <f>IF($H237="","",IF($Y237="","Cód: "&amp;$H237,"Medidas: "&amp;$Y237&amp;"  ·  Cód: "&amp;$H237))</f>
      </c>
      <c r="D237" s="42">
        <f>IF($H237="","",IF($D$3="Mayor",$V237,$U237))</f>
      </c>
      <c r="E237" s="12">
        <f>IF($H237="","",$N237)</f>
      </c>
    </row>
    <row r="238" ht="90.00" customHeight="1">
      <c r="A238" s="39">
        <f>IF($H238="","",IFERROR(IMAGE($T238,1),""))</f>
      </c>
      <c r="B238" s="40">
        <f>IF($H238="","",$I238)</f>
      </c>
      <c r="C238" s="41">
        <f>IF($H238="","",IF($Y238="","Cód: "&amp;$H238,"Medidas: "&amp;$Y238&amp;"  ·  Cód: "&amp;$H238))</f>
      </c>
      <c r="D238" s="42">
        <f>IF($H238="","",IF($D$3="Mayor",$V238,$U238))</f>
      </c>
      <c r="E238" s="12">
        <f>IF($H238="","",$N238)</f>
      </c>
    </row>
    <row r="239" ht="90.00" customHeight="1">
      <c r="A239" s="39">
        <f>IF($H239="","",IFERROR(IMAGE($T239,1),""))</f>
      </c>
      <c r="B239" s="40">
        <f>IF($H239="","",$I239)</f>
      </c>
      <c r="C239" s="41">
        <f>IF($H239="","",IF($Y239="","Cód: "&amp;$H239,"Medidas: "&amp;$Y239&amp;"  ·  Cód: "&amp;$H239))</f>
      </c>
      <c r="D239" s="42">
        <f>IF($H239="","",IF($D$3="Mayor",$V239,$U239))</f>
      </c>
      <c r="E239" s="12">
        <f>IF($H239="","",$N239)</f>
      </c>
    </row>
    <row r="240" ht="90.00" customHeight="1">
      <c r="A240" s="39">
        <f>IF($H240="","",IFERROR(IMAGE($T240,1),""))</f>
      </c>
      <c r="B240" s="40">
        <f>IF($H240="","",$I240)</f>
      </c>
      <c r="C240" s="41">
        <f>IF($H240="","",IF($Y240="","Cód: "&amp;$H240,"Medidas: "&amp;$Y240&amp;"  ·  Cód: "&amp;$H240))</f>
      </c>
      <c r="D240" s="42">
        <f>IF($H240="","",IF($D$3="Mayor",$V240,$U240))</f>
      </c>
      <c r="E240" s="12">
        <f>IF($H240="","",$N240)</f>
      </c>
    </row>
    <row r="241" ht="90.00" customHeight="1">
      <c r="A241" s="39">
        <f>IF($H241="","",IFERROR(IMAGE($T241,1),""))</f>
      </c>
      <c r="B241" s="40">
        <f>IF($H241="","",$I241)</f>
      </c>
      <c r="C241" s="41">
        <f>IF($H241="","",IF($Y241="","Cód: "&amp;$H241,"Medidas: "&amp;$Y241&amp;"  ·  Cód: "&amp;$H241))</f>
      </c>
      <c r="D241" s="42">
        <f>IF($H241="","",IF($D$3="Mayor",$V241,$U241))</f>
      </c>
      <c r="E241" s="12">
        <f>IF($H241="","",$N241)</f>
      </c>
    </row>
    <row r="242" ht="90.00" customHeight="1">
      <c r="A242" s="39">
        <f>IF($H242="","",IFERROR(IMAGE($T242,1),""))</f>
      </c>
      <c r="B242" s="40">
        <f>IF($H242="","",$I242)</f>
      </c>
      <c r="C242" s="41">
        <f>IF($H242="","",IF($Y242="","Cód: "&amp;$H242,"Medidas: "&amp;$Y242&amp;"  ·  Cód: "&amp;$H242))</f>
      </c>
      <c r="D242" s="42">
        <f>IF($H242="","",IF($D$3="Mayor",$V242,$U242))</f>
      </c>
      <c r="E242" s="12">
        <f>IF($H242="","",$N242)</f>
      </c>
    </row>
    <row r="243" ht="90.00" customHeight="1">
      <c r="A243" s="39">
        <f>IF($H243="","",IFERROR(IMAGE($T243,1),""))</f>
      </c>
      <c r="B243" s="40">
        <f>IF($H243="","",$I243)</f>
      </c>
      <c r="C243" s="41">
        <f>IF($H243="","",IF($Y243="","Cód: "&amp;$H243,"Medidas: "&amp;$Y243&amp;"  ·  Cód: "&amp;$H243))</f>
      </c>
      <c r="D243" s="42">
        <f>IF($H243="","",IF($D$3="Mayor",$V243,$U243))</f>
      </c>
      <c r="E243" s="12">
        <f>IF($H243="","",$N243)</f>
      </c>
    </row>
    <row r="244" ht="90.00" customHeight="1">
      <c r="A244" s="39">
        <f>IF($H244="","",IFERROR(IMAGE($T244,1),""))</f>
      </c>
      <c r="B244" s="40">
        <f>IF($H244="","",$I244)</f>
      </c>
      <c r="C244" s="41">
        <f>IF($H244="","",IF($Y244="","Cód: "&amp;$H244,"Medidas: "&amp;$Y244&amp;"  ·  Cód: "&amp;$H244))</f>
      </c>
      <c r="D244" s="42">
        <f>IF($H244="","",IF($D$3="Mayor",$V244,$U244))</f>
      </c>
      <c r="E244" s="12">
        <f>IF($H244="","",$N244)</f>
      </c>
    </row>
    <row r="245" ht="90.00" customHeight="1">
      <c r="A245" s="39">
        <f>IF($H245="","",IFERROR(IMAGE($T245,1),""))</f>
      </c>
      <c r="B245" s="40">
        <f>IF($H245="","",$I245)</f>
      </c>
      <c r="C245" s="41">
        <f>IF($H245="","",IF($Y245="","Cód: "&amp;$H245,"Medidas: "&amp;$Y245&amp;"  ·  Cód: "&amp;$H245))</f>
      </c>
      <c r="D245" s="42">
        <f>IF($H245="","",IF($D$3="Mayor",$V245,$U245))</f>
      </c>
      <c r="E245" s="12">
        <f>IF($H245="","",$N245)</f>
      </c>
    </row>
    <row r="246" ht="90.00" customHeight="1">
      <c r="A246" s="39">
        <f>IF($H246="","",IFERROR(IMAGE($T246,1),""))</f>
      </c>
      <c r="B246" s="40">
        <f>IF($H246="","",$I246)</f>
      </c>
      <c r="C246" s="41">
        <f>IF($H246="","",IF($Y246="","Cód: "&amp;$H246,"Medidas: "&amp;$Y246&amp;"  ·  Cód: "&amp;$H246))</f>
      </c>
      <c r="D246" s="42">
        <f>IF($H246="","",IF($D$3="Mayor",$V246,$U246))</f>
      </c>
      <c r="E246" s="12">
        <f>IF($H246="","",$N246)</f>
      </c>
    </row>
    <row r="247" ht="90.00" customHeight="1">
      <c r="A247" s="39">
        <f>IF($H247="","",IFERROR(IMAGE($T247,1),""))</f>
      </c>
      <c r="B247" s="40">
        <f>IF($H247="","",$I247)</f>
      </c>
      <c r="C247" s="41">
        <f>IF($H247="","",IF($Y247="","Cód: "&amp;$H247,"Medidas: "&amp;$Y247&amp;"  ·  Cód: "&amp;$H247))</f>
      </c>
      <c r="D247" s="42">
        <f>IF($H247="","",IF($D$3="Mayor",$V247,$U247))</f>
      </c>
      <c r="E247" s="12">
        <f>IF($H247="","",$N247)</f>
      </c>
    </row>
    <row r="248" ht="90.00" customHeight="1">
      <c r="A248" s="39">
        <f>IF($H248="","",IFERROR(IMAGE($T248,1),""))</f>
      </c>
      <c r="B248" s="40">
        <f>IF($H248="","",$I248)</f>
      </c>
      <c r="C248" s="41">
        <f>IF($H248="","",IF($Y248="","Cód: "&amp;$H248,"Medidas: "&amp;$Y248&amp;"  ·  Cód: "&amp;$H248))</f>
      </c>
      <c r="D248" s="42">
        <f>IF($H248="","",IF($D$3="Mayor",$V248,$U248))</f>
      </c>
      <c r="E248" s="12">
        <f>IF($H248="","",$N248)</f>
      </c>
    </row>
    <row r="249" ht="90.00" customHeight="1">
      <c r="A249" s="39">
        <f>IF($H249="","",IFERROR(IMAGE($T249,1),""))</f>
      </c>
      <c r="B249" s="40">
        <f>IF($H249="","",$I249)</f>
      </c>
      <c r="C249" s="41">
        <f>IF($H249="","",IF($Y249="","Cód: "&amp;$H249,"Medidas: "&amp;$Y249&amp;"  ·  Cód: "&amp;$H249))</f>
      </c>
      <c r="D249" s="42">
        <f>IF($H249="","",IF($D$3="Mayor",$V249,$U249))</f>
      </c>
      <c r="E249" s="12">
        <f>IF($H249="","",$N249)</f>
      </c>
    </row>
    <row r="250" ht="90.00" customHeight="1">
      <c r="A250" s="39">
        <f>IF($H250="","",IFERROR(IMAGE($T250,1),""))</f>
      </c>
      <c r="B250" s="40">
        <f>IF($H250="","",$I250)</f>
      </c>
      <c r="C250" s="41">
        <f>IF($H250="","",IF($Y250="","Cód: "&amp;$H250,"Medidas: "&amp;$Y250&amp;"  ·  Cód: "&amp;$H250))</f>
      </c>
      <c r="D250" s="42">
        <f>IF($H250="","",IF($D$3="Mayor",$V250,$U250))</f>
      </c>
      <c r="E250" s="12">
        <f>IF($H250="","",$N250)</f>
      </c>
    </row>
    <row r="251" ht="90.00" customHeight="1">
      <c r="A251" s="39">
        <f>IF($H251="","",IFERROR(IMAGE($T251,1),""))</f>
      </c>
      <c r="B251" s="40">
        <f>IF($H251="","",$I251)</f>
      </c>
      <c r="C251" s="41">
        <f>IF($H251="","",IF($Y251="","Cód: "&amp;$H251,"Medidas: "&amp;$Y251&amp;"  ·  Cód: "&amp;$H251))</f>
      </c>
      <c r="D251" s="42">
        <f>IF($H251="","",IF($D$3="Mayor",$V251,$U251))</f>
      </c>
      <c r="E251" s="12">
        <f>IF($H251="","",$N251)</f>
      </c>
    </row>
    <row r="252" ht="90.00" customHeight="1">
      <c r="A252" s="39">
        <f>IF($H252="","",IFERROR(IMAGE($T252,1),""))</f>
      </c>
      <c r="B252" s="40">
        <f>IF($H252="","",$I252)</f>
      </c>
      <c r="C252" s="41">
        <f>IF($H252="","",IF($Y252="","Cód: "&amp;$H252,"Medidas: "&amp;$Y252&amp;"  ·  Cód: "&amp;$H252))</f>
      </c>
      <c r="D252" s="42">
        <f>IF($H252="","",IF($D$3="Mayor",$V252,$U252))</f>
      </c>
      <c r="E252" s="12">
        <f>IF($H252="","",$N252)</f>
      </c>
    </row>
    <row r="253" ht="90.00" customHeight="1">
      <c r="A253" s="39">
        <f>IF($H253="","",IFERROR(IMAGE($T253,1),""))</f>
      </c>
      <c r="B253" s="40">
        <f>IF($H253="","",$I253)</f>
      </c>
      <c r="C253" s="41">
        <f>IF($H253="","",IF($Y253="","Cód: "&amp;$H253,"Medidas: "&amp;$Y253&amp;"  ·  Cód: "&amp;$H253))</f>
      </c>
      <c r="D253" s="42">
        <f>IF($H253="","",IF($D$3="Mayor",$V253,$U253))</f>
      </c>
      <c r="E253" s="12">
        <f>IF($H253="","",$N253)</f>
      </c>
    </row>
    <row r="254" ht="90.00" customHeight="1">
      <c r="A254" s="39">
        <f>IF($H254="","",IFERROR(IMAGE($T254,1),""))</f>
      </c>
      <c r="B254" s="40">
        <f>IF($H254="","",$I254)</f>
      </c>
      <c r="C254" s="41">
        <f>IF($H254="","",IF($Y254="","Cód: "&amp;$H254,"Medidas: "&amp;$Y254&amp;"  ·  Cód: "&amp;$H254))</f>
      </c>
      <c r="D254" s="42">
        <f>IF($H254="","",IF($D$3="Mayor",$V254,$U254))</f>
      </c>
      <c r="E254" s="12">
        <f>IF($H254="","",$N254)</f>
      </c>
    </row>
    <row r="255" ht="90.00" customHeight="1">
      <c r="A255" s="39">
        <f>IF($H255="","",IFERROR(IMAGE($T255,1),""))</f>
      </c>
      <c r="B255" s="40">
        <f>IF($H255="","",$I255)</f>
      </c>
      <c r="C255" s="41">
        <f>IF($H255="","",IF($Y255="","Cód: "&amp;$H255,"Medidas: "&amp;$Y255&amp;"  ·  Cód: "&amp;$H255))</f>
      </c>
      <c r="D255" s="42">
        <f>IF($H255="","",IF($D$3="Mayor",$V255,$U255))</f>
      </c>
      <c r="E255" s="12">
        <f>IF($H255="","",$N255)</f>
      </c>
    </row>
  </sheetData>
  <mergeCells count="2">
    <mergeCell ref="A1:E1"/>
    <mergeCell ref="A2:E2"/>
  </mergeCells>
  <dataValidations count="2">
    <dataValidation type="list" allowBlank="1" showInputMessage="1" showErrorMessage="0" sqref="B3:B3">
      <formula1>'Config'!$L$2:$L$30</formula1>
    </dataValidation>
    <dataValidation type="list" allowBlank="1" showInputMessage="1" showErrorMessage="0" sqref="D3:D3">
      <formula1>"Detal,Mayor"</formula1>
    </dataValidation>
  </dataValidations>
  <pageMargins left="0.5" right="0.5" top="0.5" bottom="0.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0"/>
  <sheetViews>
    <sheetView workbookViewId="0">
      <pane xSplit="0" ySplit="1" topLeftCell="A2" activePane="bottomRight" state="frozen"/>
      <selection pane="bottomRight" activeCell="A2" sqref="A2"/>
    </sheetView>
  </sheetViews>
  <sheetFormatPr defaultRowHeight="15"/>
  <cols>
    <col min="1" max="1" width="34.00" customWidth="1"/>
    <col min="2" max="2" width="40.00" customWidth="1"/>
    <col min="4" max="4" width="22.00" customWidth="1"/>
    <col min="5" max="5" width="80.00" customWidth="1"/>
    <col min="6" max="6" width="22.00" customWidth="1"/>
    <col min="8" max="8" width="16.00" customWidth="1"/>
    <col min="10" max="10" width="26.00" customWidth="1"/>
    <col min="12" max="12" width="150.00" customWidth="1"/>
    <col min="14" max="14" width="220.00" customWidth="1"/>
    <col min="16" max="16" width="200.00" customWidth="1"/>
    <col min="18" max="18" width="240.00" customWidth="1"/>
  </cols>
  <sheetData>
    <row r="1">
      <c r="A1" s="1" t="inlineStr">
        <is>
          <t xml:space="preserve">Parámetro</t>
        </is>
      </c>
      <c r="B1" s="1" t="inlineStr">
        <is>
          <t xml:space="preserve">Valor</t>
        </is>
      </c>
      <c r="D1" s="6" t="inlineStr">
        <is>
          <t xml:space="preserve">Categorías</t>
        </is>
      </c>
      <c r="E1" s="6" t="inlineStr">
        <is>
          <t xml:space="preserve">IVA %</t>
        </is>
      </c>
      <c r="F1" s="6" t="inlineStr">
        <is>
          <t xml:space="preserve">Ubicaciones</t>
        </is>
      </c>
      <c r="H1" s="6" t="inlineStr">
        <is>
          <t xml:space="preserve">Estados</t>
        </is>
      </c>
      <c r="J1" s="6" t="inlineStr">
        <is>
          <t xml:space="preserve">Motivos de ajuste</t>
        </is>
      </c>
      <c r="L1" s="6" t="inlineStr">
        <is>
          <t xml:space="preserve">Selección catálogo</t>
        </is>
      </c>
      <c r="N1" s="6" t="inlineStr">
        <is>
          <t xml:space="preserve">Tarjetas de crédito</t>
        </is>
      </c>
      <c r="P1" s="6" t="inlineStr">
        <is>
          <t xml:space="preserve">Billeteras (formas de cobro)</t>
        </is>
      </c>
      <c r="R1" s="6" t="inlineStr">
        <is>
          <t xml:space="preserve">Medio de compra (billetera o tarjeta)</t>
        </is>
      </c>
    </row>
    <row r="2">
      <c r="A2" s="7" t="inlineStr">
        <is>
          <t xml:space="preserve">Nombre de la empresa</t>
        </is>
      </c>
      <c r="B2" s="9" t="inlineStr">
        <is>
          <t xml:space="preserve">Mi Negocio S.A.S.</t>
        </is>
      </c>
      <c r="D2" s="9" t="inlineStr">
        <is>
          <t xml:space="preserve">General</t>
        </is>
      </c>
      <c r="E2" s="21"/>
      <c r="F2" s="9" t="inlineStr">
        <is>
          <t xml:space="preserve">Casa</t>
        </is>
      </c>
      <c r="H2" s="9" t="inlineStr">
        <is>
          <t xml:space="preserve">Activo</t>
        </is>
      </c>
      <c r="J2" s="9" t="inlineStr">
        <is>
          <t xml:space="preserve">Producto dañado</t>
        </is>
      </c>
      <c r="L2" s="9" t="inlineStr">
        <is>
          <t xml:space="preserve">TODAS</t>
        </is>
      </c>
      <c r="N2" s="9" t="inlineStr">
        <is>
          <t xml:space="preserve">TC Bancolombia 1 (1517)</t>
        </is>
      </c>
      <c r="P2" s="9" t="inlineStr">
        <is>
          <t xml:space="preserve">Efectivo</t>
        </is>
      </c>
      <c r="R2" s="9" t="inlineStr">
        <is>
          <t xml:space="preserve">Inventario inicial (ya pagado)</t>
        </is>
      </c>
    </row>
    <row r="3">
      <c r="A3" s="7" t="inlineStr">
        <is>
          <t xml:space="preserve">NIT / Identificación</t>
        </is>
      </c>
      <c r="B3" s="9" t="inlineStr">
        <is>
          <t xml:space="preserve">000.000.000-0</t>
        </is>
      </c>
      <c r="D3" s="9" t="inlineStr">
        <is>
          <t xml:space="preserve">Electrónica</t>
        </is>
      </c>
      <c r="E3" s="21"/>
      <c r="F3" s="9" t="inlineStr">
        <is>
          <t xml:space="preserve">Mercado Libre</t>
        </is>
      </c>
      <c r="H3" s="9" t="inlineStr">
        <is>
          <t xml:space="preserve">Inactivo</t>
        </is>
      </c>
      <c r="J3" s="9" t="inlineStr">
        <is>
          <t xml:space="preserve">Pérdida</t>
        </is>
      </c>
      <c r="L3" s="9">
        <f>IF($D2="","",$D2)</f>
      </c>
      <c r="N3" s="9" t="inlineStr">
        <is>
          <t xml:space="preserve">TC Bancolombia 2 (0554)</t>
        </is>
      </c>
      <c r="P3" s="9" t="inlineStr">
        <is>
          <t xml:space="preserve">Nequi</t>
        </is>
      </c>
      <c r="R3" s="9" t="inlineStr">
        <is>
          <t xml:space="preserve">Efectivo</t>
        </is>
      </c>
    </row>
    <row r="4">
      <c r="A4" s="7" t="inlineStr">
        <is>
          <t xml:space="preserve">Dirección</t>
        </is>
      </c>
      <c r="B4" s="9" t="inlineStr">
        <is>
          <t xml:space="preserve">Calle 00 # 00-00, Ciudad</t>
        </is>
      </c>
      <c r="D4" s="9" t="inlineStr">
        <is>
          <t xml:space="preserve">Hogar</t>
        </is>
      </c>
      <c r="E4" s="21"/>
      <c r="J4" s="9" t="inlineStr">
        <is>
          <t xml:space="preserve">Corrección de conteo</t>
        </is>
      </c>
      <c r="L4" s="9">
        <f>IF($D3="","",$D3)</f>
      </c>
      <c r="N4" s="9" t="inlineStr">
        <is>
          <t xml:space="preserve">TC Bancolombia 3 (4582)</t>
        </is>
      </c>
      <c r="P4" s="9" t="inlineStr">
        <is>
          <t xml:space="preserve">Bancolombia</t>
        </is>
      </c>
      <c r="R4" s="9" t="inlineStr">
        <is>
          <t xml:space="preserve">Nequi</t>
        </is>
      </c>
    </row>
    <row r="5">
      <c r="A5" s="7" t="inlineStr">
        <is>
          <t xml:space="preserve">Teléfono</t>
        </is>
      </c>
      <c r="B5" s="9" t="inlineStr">
        <is>
          <t xml:space="preserve">+57 300 000 0000</t>
        </is>
      </c>
      <c r="D5" s="9" t="inlineStr">
        <is>
          <t xml:space="preserve">Ropa y calzado</t>
        </is>
      </c>
      <c r="E5" s="21"/>
      <c r="J5" s="9" t="inlineStr">
        <is>
          <t xml:space="preserve">Ajuste administrativo</t>
        </is>
      </c>
      <c r="L5" s="9">
        <f>IF($D4="","",$D4)</f>
      </c>
      <c r="N5" s="9" t="inlineStr">
        <is>
          <t xml:space="preserve">TC Bancolombia 4 (8366)</t>
        </is>
      </c>
      <c r="P5" s="9" t="inlineStr">
        <is>
          <t xml:space="preserve">Bancolombia MM</t>
        </is>
      </c>
      <c r="R5" s="9" t="inlineStr">
        <is>
          <t xml:space="preserve">Bancolombia</t>
        </is>
      </c>
    </row>
    <row r="6">
      <c r="A6" s="7" t="inlineStr">
        <is>
          <t xml:space="preserve">Correo electrónico</t>
        </is>
      </c>
      <c r="B6" s="9" t="inlineStr">
        <is>
          <t xml:space="preserve">correo@minegocio.com</t>
        </is>
      </c>
      <c r="D6" s="9" t="inlineStr">
        <is>
          <t xml:space="preserve">Accesorios</t>
        </is>
      </c>
      <c r="E6" s="21"/>
      <c r="J6" s="9" t="inlineStr">
        <is>
          <t xml:space="preserve">Devolución</t>
        </is>
      </c>
      <c r="L6" s="9">
        <f>IF($D5="","",$D5)</f>
      </c>
      <c r="N6" s="9" t="inlineStr">
        <is>
          <t xml:space="preserve">TC Bancolombia 5 (0623)</t>
        </is>
      </c>
      <c r="P6" s="9" t="inlineStr">
        <is>
          <t xml:space="preserve">Daviplata</t>
        </is>
      </c>
      <c r="R6" s="9" t="inlineStr">
        <is>
          <t xml:space="preserve">Bancolombia MM</t>
        </is>
      </c>
    </row>
    <row r="7">
      <c r="A7" s="7" t="inlineStr">
        <is>
          <t xml:space="preserve">Sitio web</t>
        </is>
      </c>
      <c r="B7" s="9" t="inlineStr">
        <is>
          <t xml:space="preserve">www.minegocio.com</t>
        </is>
      </c>
      <c r="D7" s="9" t="inlineStr">
        <is>
          <t xml:space="preserve">Papelería</t>
        </is>
      </c>
      <c r="E7" s="21"/>
      <c r="L7" s="9">
        <f>IF($D6="","",$D6)</f>
      </c>
      <c r="N7" s="9" t="inlineStr">
        <is>
          <t xml:space="preserve">TC Bancolombia MM 6 (6423)</t>
        </is>
      </c>
      <c r="P7" s="9" t="inlineStr">
        <is>
          <t xml:space="preserve">Davivienda</t>
        </is>
      </c>
      <c r="R7" s="9" t="inlineStr">
        <is>
          <t xml:space="preserve">Daviplata</t>
        </is>
      </c>
    </row>
    <row r="8">
      <c r="A8" s="7" t="inlineStr">
        <is>
          <t xml:space="preserve">Prefijo de factura</t>
        </is>
      </c>
      <c r="B8" s="9" t="inlineStr">
        <is>
          <t xml:space="preserve">FAC-</t>
        </is>
      </c>
      <c r="D8" s="9" t="inlineStr">
        <is>
          <t xml:space="preserve">Arte</t>
        </is>
      </c>
      <c r="E8" s="21"/>
      <c r="L8" s="9">
        <f>IF($D7="","",$D7)</f>
      </c>
      <c r="N8" s="9" t="inlineStr">
        <is>
          <t xml:space="preserve">TC Bancolombia MM 7 (2459)</t>
        </is>
      </c>
      <c r="P8" s="9" t="inlineStr">
        <is>
          <t xml:space="preserve">Mercado Libre</t>
        </is>
      </c>
      <c r="R8" s="9" t="inlineStr">
        <is>
          <t xml:space="preserve">Davivienda</t>
        </is>
      </c>
    </row>
    <row r="9">
      <c r="A9" s="7" t="inlineStr">
        <is>
          <t xml:space="preserve">Próximo número de factura</t>
        </is>
      </c>
      <c r="B9" s="9">
        <v>1</v>
      </c>
      <c r="D9" s="9" t="inlineStr">
        <is>
          <t xml:space="preserve">Otros</t>
        </is>
      </c>
      <c r="E9" s="21"/>
      <c r="L9" s="9">
        <f>IF($D8="","",$D8)</f>
      </c>
      <c r="N9" s="9" t="inlineStr">
        <is>
          <t xml:space="preserve">TC NU 8 (3750)</t>
        </is>
      </c>
      <c r="P9" s="9" t="inlineStr">
        <is>
          <t xml:space="preserve">Skydrops</t>
        </is>
      </c>
      <c r="R9" s="9" t="inlineStr">
        <is>
          <t xml:space="preserve">Mercado Libre</t>
        </is>
      </c>
    </row>
    <row r="10">
      <c r="A10" s="7" t="inlineStr">
        <is>
          <t xml:space="preserve">Mensaje pie de factura</t>
        </is>
      </c>
      <c r="B10" s="9" t="inlineStr">
        <is>
          <t xml:space="preserve">¡Gracias por su compra!</t>
        </is>
      </c>
      <c r="D10" s="20"/>
      <c r="E10" s="21"/>
      <c r="L10" s="9">
        <f>IF($D9="","",$D9)</f>
      </c>
      <c r="N10" s="20"/>
      <c r="P10" s="20"/>
      <c r="R10" s="9" t="inlineStr">
        <is>
          <t xml:space="preserve">Skydrops</t>
        </is>
      </c>
    </row>
    <row r="11">
      <c r="A11" s="7" t="inlineStr">
        <is>
          <t xml:space="preserve">Costo fijo por venta: envío (Mary)</t>
        </is>
      </c>
      <c r="B11" s="22">
        <v>1000</v>
      </c>
      <c r="D11" s="20"/>
      <c r="E11" s="21"/>
      <c r="L11" s="9">
        <f>IF($D10="","",$D10)</f>
      </c>
      <c r="N11" s="20"/>
      <c r="P11" s="20"/>
      <c r="R11" s="9" t="inlineStr">
        <is>
          <t xml:space="preserve">TC Bancolombia 1 (1517)</t>
        </is>
      </c>
    </row>
    <row r="12">
      <c r="A12" s="7" t="inlineStr">
        <is>
          <t xml:space="preserve">Costo fijo por venta: bolsa y etiqueta</t>
        </is>
      </c>
      <c r="B12" s="22">
        <v>1000</v>
      </c>
      <c r="D12" s="20"/>
      <c r="E12" s="21"/>
      <c r="L12" s="9">
        <f>IF($D11="","",$D11)</f>
      </c>
      <c r="N12" s="20"/>
      <c r="P12" s="20"/>
      <c r="R12" s="9" t="inlineStr">
        <is>
          <t xml:space="preserve">TC Bancolombia 2 (0554)</t>
        </is>
      </c>
    </row>
    <row r="13">
      <c r="A13" s="7" t="inlineStr">
        <is>
          <t xml:space="preserve">Día de cierre de tarjeta</t>
        </is>
      </c>
      <c r="B13" s="21">
        <v>30</v>
      </c>
      <c r="D13" s="20"/>
      <c r="E13" s="21"/>
      <c r="L13" s="9">
        <f>IF($D12="","",$D12)</f>
      </c>
      <c r="N13" s="20"/>
      <c r="P13" s="20"/>
      <c r="R13" s="9" t="inlineStr">
        <is>
          <t xml:space="preserve">TC Bancolombia 3 (4582)</t>
        </is>
      </c>
    </row>
    <row r="14">
      <c r="A14" s="7" t="inlineStr">
        <is>
          <t xml:space="preserve">Día de pago de tarjeta</t>
        </is>
      </c>
      <c r="B14" s="21">
        <v>16</v>
      </c>
      <c r="D14" s="20"/>
      <c r="E14" s="21"/>
      <c r="L14" s="9">
        <f>IF($D13="","",$D13)</f>
      </c>
      <c r="N14" s="20"/>
      <c r="P14" s="20"/>
      <c r="R14" s="9" t="inlineStr">
        <is>
          <t xml:space="preserve">TC Bancolombia 4 (8366)</t>
        </is>
      </c>
    </row>
    <row r="15">
      <c r="A15" s="7" t="inlineStr">
        <is>
          <t xml:space="preserve">Avisar si faltan (días) o menos</t>
        </is>
      </c>
      <c r="B15" s="21">
        <v>5</v>
      </c>
      <c r="D15" s="20"/>
      <c r="E15" s="21"/>
      <c r="L15" s="9">
        <f>IF($D14="","",$D14)</f>
      </c>
      <c r="N15" s="20"/>
      <c r="P15" s="20"/>
      <c r="R15" s="9" t="inlineStr">
        <is>
          <t xml:space="preserve">TC Bancolombia 5 (0623)</t>
        </is>
      </c>
    </row>
    <row r="16">
      <c r="D16" s="20"/>
      <c r="E16" s="21"/>
      <c r="L16" s="9">
        <f>IF($D15="","",$D15)</f>
      </c>
      <c r="N16" s="20"/>
      <c r="P16" s="20"/>
      <c r="R16" s="9" t="inlineStr">
        <is>
          <t xml:space="preserve">TC Bancolombia MM 6 (6423)</t>
        </is>
      </c>
    </row>
    <row r="17">
      <c r="D17" s="20"/>
      <c r="E17" s="21"/>
      <c r="L17" s="9">
        <f>IF($D16="","",$D16)</f>
      </c>
      <c r="N17" s="20"/>
      <c r="P17" s="20"/>
      <c r="R17" s="9" t="inlineStr">
        <is>
          <t xml:space="preserve">TC Bancolombia MM 7 (2459)</t>
        </is>
      </c>
    </row>
    <row r="18">
      <c r="D18" s="20"/>
      <c r="E18" s="21"/>
      <c r="L18" s="9">
        <f>IF($D17="","",$D17)</f>
      </c>
      <c r="N18" s="20"/>
      <c r="P18" s="20"/>
      <c r="R18" s="9" t="inlineStr">
        <is>
          <t xml:space="preserve">TC NU 8 (3750)</t>
        </is>
      </c>
    </row>
    <row r="19">
      <c r="D19" s="20"/>
      <c r="E19" s="21"/>
      <c r="L19" s="9">
        <f>IF($D18="","",$D18)</f>
      </c>
      <c r="N19" s="20"/>
      <c r="P19" s="20"/>
      <c r="R19" s="20"/>
    </row>
    <row r="20">
      <c r="D20" s="20"/>
      <c r="E20" s="21"/>
      <c r="L20" s="9">
        <f>IF($D19="","",$D19)</f>
      </c>
      <c r="N20" s="20"/>
      <c r="P20" s="20"/>
      <c r="R20" s="20"/>
    </row>
    <row r="21">
      <c r="D21" s="20"/>
      <c r="E21" s="21"/>
      <c r="L21" s="9">
        <f>IF($D20="","",$D20)</f>
      </c>
      <c r="R21" s="20"/>
    </row>
    <row r="22">
      <c r="D22" s="20"/>
      <c r="E22" s="21"/>
      <c r="L22" s="9">
        <f>IF($D21="","",$D21)</f>
      </c>
      <c r="R22" s="20"/>
    </row>
    <row r="23">
      <c r="D23" s="20"/>
      <c r="E23" s="21"/>
      <c r="L23" s="9">
        <f>IF($D22="","",$D22)</f>
      </c>
      <c r="R23" s="20"/>
    </row>
    <row r="24">
      <c r="D24" s="20"/>
      <c r="E24" s="21"/>
      <c r="L24" s="9">
        <f>IF($D23="","",$D23)</f>
      </c>
      <c r="R24" s="20"/>
    </row>
    <row r="25">
      <c r="D25" s="20"/>
      <c r="E25" s="21"/>
      <c r="L25" s="9">
        <f>IF($D24="","",$D24)</f>
      </c>
      <c r="R25" s="20"/>
    </row>
    <row r="26">
      <c r="D26" s="20"/>
      <c r="E26" s="21"/>
      <c r="L26" s="9">
        <f>IF($D25="","",$D25)</f>
      </c>
      <c r="R26" s="20"/>
    </row>
    <row r="27">
      <c r="D27" s="20"/>
      <c r="E27" s="21"/>
      <c r="L27" s="9">
        <f>IF($D26="","",$D26)</f>
      </c>
      <c r="R27" s="20"/>
    </row>
    <row r="28">
      <c r="D28" s="20"/>
      <c r="E28" s="21"/>
      <c r="L28" s="9">
        <f>IF($D27="","",$D27)</f>
      </c>
      <c r="R28" s="20"/>
    </row>
    <row r="29">
      <c r="D29" s="20"/>
      <c r="E29" s="21"/>
      <c r="L29" s="9">
        <f>IF($D28="","",$D28)</f>
      </c>
      <c r="R29" s="20"/>
    </row>
    <row r="30">
      <c r="D30" s="20"/>
      <c r="E30" s="21"/>
      <c r="L30" s="9">
        <f>IF($D29="","",$D29)</f>
      </c>
    </row>
  </sheetData>
  <pageMargins left="0.5" right="0.5" top="0.5" bottom="0.5" header="0.3" footer="0.3"/>
</worksheet>
</file>