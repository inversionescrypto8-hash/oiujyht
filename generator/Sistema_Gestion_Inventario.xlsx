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Traslados" sheetId="5" r:id="rId5"/>
    <sheet name="Ajustes" sheetId="6" r:id="rId6"/>
    <sheet name="Inventario" sheetId="7" r:id="rId7"/>
    <sheet name="Clientes" sheetId="8" r:id="rId8"/>
    <sheet name="Factura" sheetId="9" r:id="rId9"/>
    <sheet name="Catálogo Venta" sheetId="10" r:id="rId10"/>
    <sheet name="Config" sheetId="11" r:id="rId11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SUMIFS('Ventas'!$K:$K,'Ventas'!$A:$A,"&gt;="&amp;EOMONTH(TODAY(),-1)+1,'Ventas'!$A:$A,"&lt;="&amp;EOMONTH(TODAY(),0))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SUMIFS('Ventas'!$K:$K,'Ventas'!$A:$A,"&gt;="&amp;DATE(YEAR(EOMONTH(TODAY(),-5)),MONTH(EOMONTH(TODAY(),-5)),1),'Ventas'!$A:$A,"&lt;="&amp;EOMONTH(TODAY(),-5))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SUMIFS('Ventas'!$K:$K,'Ventas'!$A:$A,"&gt;="&amp;DATE(YEAR(EOMONTH(TODAY(),-4)),MONTH(EOMONTH(TODAY(),-4)),1),'Ventas'!$A:$A,"&lt;="&amp;EOMONTH(TODAY(),-4))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SUMIFS('Ventas'!$K:$K,'Ventas'!$A:$A,"&gt;="&amp;DATE(YEAR(EOMONTH(TODAY(),-3)),MONTH(EOMONTH(TODAY(),-3)),1),'Ventas'!$A:$A,"&lt;="&amp;EOMONTH(TODAY(),-3))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SUMIFS('Ventas'!$K:$K,'Ventas'!$A:$A,"&gt;="&amp;DATE(YEAR(EOMONTH(TODAY(),-2)),MONTH(EOMONTH(TODAY(),-2)),1),'Ventas'!$A:$A,"&lt;="&amp;EOMONTH(TODAY(),-2))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SUMIFS('Ventas'!$K:$K,'Ventas'!$A:$A,"&gt;="&amp;DATE(YEAR(EOMONTH(TODAY(),-1)),MONTH(EOMONTH(TODAY(),-1)),1),'Ventas'!$A:$A,"&lt;="&amp;EOMONTH(TODAY(),-1))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SUMIFS('Ventas'!$K:$K,'Ventas'!$A:$A,"&gt;="&amp;DATE(YEAR(EOMONTH(TODAY(),0)),MONTH(EOMONTH(TODAY(),0)),1),'Ventas'!$A:$A,"&lt;="&amp;EOMONTH(TODAY(),0))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TOTAL QUE DEBO (saldos)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SUMIF('Compras'!$O:$O,"Pendiente",'Compras'!$N:$N)+SUMIF('Compras'!$O:$O,"Abono parcial",'Compras'!$N:$N)</f>
      </c>
      <c r="D36" s="31">
        <f>COUNTIF('Compras'!$O:$O,"Pendiente")+COUNTIF('Compras'!$O:$O,"Abono parcial")</f>
      </c>
      <c r="G36" s="31">
        <f>SUMPRODUCT(('Compras'!$P$2:$P$301&lt;&gt;"")*(LEFT('Compras'!$P$2:$P$301,4)="🔴"))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IF(AND('Compras'!$J2="Sí",'Compras'!$N2&gt;0),'Compras'!$A2,"")</f>
      </c>
      <c r="B40" s="9">
        <f>IF(AND('Compras'!$J2="Sí",'Compras'!$N2&gt;0),'Compras'!$C2,"")</f>
      </c>
      <c r="E40" s="9">
        <f>IF(AND('Compras'!$J2="Sí",'Compras'!$N2&gt;0),'Compras'!$I2,"")</f>
      </c>
      <c r="G40" s="11">
        <f>IF(AND('Compras'!$J2="Sí",'Compras'!$N2&gt;0),'Compras'!$N2,"")</f>
      </c>
      <c r="H40" s="14">
        <f>IF(AND('Compras'!$J2="Sí",'Compras'!$N2&gt;0),'Compras'!$L2,"")</f>
      </c>
      <c r="I40" s="9">
        <f>IF(AND('Compras'!$J2="Sí",'Compras'!$N2&gt;0),'Compras'!$P2,"")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IF(AND('Compras'!$J3="Sí",'Compras'!$N3&gt;0),'Compras'!$A3,"")</f>
      </c>
      <c r="B41" s="9">
        <f>IF(AND('Compras'!$J3="Sí",'Compras'!$N3&gt;0),'Compras'!$C3,"")</f>
      </c>
      <c r="E41" s="9">
        <f>IF(AND('Compras'!$J3="Sí",'Compras'!$N3&gt;0),'Compras'!$I3,"")</f>
      </c>
      <c r="G41" s="11">
        <f>IF(AND('Compras'!$J3="Sí",'Compras'!$N3&gt;0),'Compras'!$N3,"")</f>
      </c>
      <c r="H41" s="14">
        <f>IF(AND('Compras'!$J3="Sí",'Compras'!$N3&gt;0),'Compras'!$L3,"")</f>
      </c>
      <c r="I41" s="9">
        <f>IF(AND('Compras'!$J3="Sí",'Compras'!$N3&gt;0),'Compras'!$P3,"")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IF(AND('Compras'!$J4="Sí",'Compras'!$N4&gt;0),'Compras'!$A4,"")</f>
      </c>
      <c r="B42" s="9">
        <f>IF(AND('Compras'!$J4="Sí",'Compras'!$N4&gt;0),'Compras'!$C4,"")</f>
      </c>
      <c r="E42" s="9">
        <f>IF(AND('Compras'!$J4="Sí",'Compras'!$N4&gt;0),'Compras'!$I4,"")</f>
      </c>
      <c r="G42" s="11">
        <f>IF(AND('Compras'!$J4="Sí",'Compras'!$N4&gt;0),'Compras'!$N4,"")</f>
      </c>
      <c r="H42" s="14">
        <f>IF(AND('Compras'!$J4="Sí",'Compras'!$N4&gt;0),'Compras'!$L4,"")</f>
      </c>
      <c r="I42" s="9">
        <f>IF(AND('Compras'!$J4="Sí",'Compras'!$N4&gt;0),'Compras'!$P4,"")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IF(AND('Compras'!$J5="Sí",'Compras'!$N5&gt;0),'Compras'!$A5,"")</f>
      </c>
      <c r="B43" s="9">
        <f>IF(AND('Compras'!$J5="Sí",'Compras'!$N5&gt;0),'Compras'!$C5,"")</f>
      </c>
      <c r="E43" s="9">
        <f>IF(AND('Compras'!$J5="Sí",'Compras'!$N5&gt;0),'Compras'!$I5,"")</f>
      </c>
      <c r="G43" s="11">
        <f>IF(AND('Compras'!$J5="Sí",'Compras'!$N5&gt;0),'Compras'!$N5,"")</f>
      </c>
      <c r="H43" s="14">
        <f>IF(AND('Compras'!$J5="Sí",'Compras'!$N5&gt;0),'Compras'!$L5,"")</f>
      </c>
      <c r="I43" s="9">
        <f>IF(AND('Compras'!$J5="Sí",'Compras'!$N5&gt;0),'Compras'!$P5,"")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IF(AND('Compras'!$J6="Sí",'Compras'!$N6&gt;0),'Compras'!$A6,"")</f>
      </c>
      <c r="B44" s="9">
        <f>IF(AND('Compras'!$J6="Sí",'Compras'!$N6&gt;0),'Compras'!$C6,"")</f>
      </c>
      <c r="E44" s="9">
        <f>IF(AND('Compras'!$J6="Sí",'Compras'!$N6&gt;0),'Compras'!$I6,"")</f>
      </c>
      <c r="G44" s="11">
        <f>IF(AND('Compras'!$J6="Sí",'Compras'!$N6&gt;0),'Compras'!$N6,"")</f>
      </c>
      <c r="H44" s="14">
        <f>IF(AND('Compras'!$J6="Sí",'Compras'!$N6&gt;0),'Compras'!$L6,"")</f>
      </c>
      <c r="I44" s="9">
        <f>IF(AND('Compras'!$J6="Sí",'Compras'!$N6&gt;0),'Compras'!$P6,"")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IF(AND('Compras'!$J7="Sí",'Compras'!$N7&gt;0),'Compras'!$A7,"")</f>
      </c>
      <c r="B45" s="9">
        <f>IF(AND('Compras'!$J7="Sí",'Compras'!$N7&gt;0),'Compras'!$C7,"")</f>
      </c>
      <c r="E45" s="9">
        <f>IF(AND('Compras'!$J7="Sí",'Compras'!$N7&gt;0),'Compras'!$I7,"")</f>
      </c>
      <c r="G45" s="11">
        <f>IF(AND('Compras'!$J7="Sí",'Compras'!$N7&gt;0),'Compras'!$N7,"")</f>
      </c>
      <c r="H45" s="14">
        <f>IF(AND('Compras'!$J7="Sí",'Compras'!$N7&gt;0),'Compras'!$L7,"")</f>
      </c>
      <c r="I45" s="9">
        <f>IF(AND('Compras'!$J7="Sí",'Compras'!$N7&gt;0),'Compras'!$P7,"")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IF(AND('Compras'!$J8="Sí",'Compras'!$N8&gt;0),'Compras'!$A8,"")</f>
      </c>
      <c r="B46" s="9">
        <f>IF(AND('Compras'!$J8="Sí",'Compras'!$N8&gt;0),'Compras'!$C8,"")</f>
      </c>
      <c r="E46" s="9">
        <f>IF(AND('Compras'!$J8="Sí",'Compras'!$N8&gt;0),'Compras'!$I8,"")</f>
      </c>
      <c r="G46" s="11">
        <f>IF(AND('Compras'!$J8="Sí",'Compras'!$N8&gt;0),'Compras'!$N8,"")</f>
      </c>
      <c r="H46" s="14">
        <f>IF(AND('Compras'!$J8="Sí",'Compras'!$N8&gt;0),'Compras'!$L8,"")</f>
      </c>
      <c r="I46" s="9">
        <f>IF(AND('Compras'!$J8="Sí",'Compras'!$N8&gt;0),'Compras'!$P8,"")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IF(AND('Compras'!$J9="Sí",'Compras'!$N9&gt;0),'Compras'!$A9,"")</f>
      </c>
      <c r="B47" s="9">
        <f>IF(AND('Compras'!$J9="Sí",'Compras'!$N9&gt;0),'Compras'!$C9,"")</f>
      </c>
      <c r="E47" s="9">
        <f>IF(AND('Compras'!$J9="Sí",'Compras'!$N9&gt;0),'Compras'!$I9,"")</f>
      </c>
      <c r="G47" s="11">
        <f>IF(AND('Compras'!$J9="Sí",'Compras'!$N9&gt;0),'Compras'!$N9,"")</f>
      </c>
      <c r="H47" s="14">
        <f>IF(AND('Compras'!$J9="Sí",'Compras'!$N9&gt;0),'Compras'!$L9,"")</f>
      </c>
      <c r="I47" s="9">
        <f>IF(AND('Compras'!$J9="Sí",'Compras'!$N9&gt;0),'Compras'!$P9,"")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IF(AND('Compras'!$J10="Sí",'Compras'!$N10&gt;0),'Compras'!$A10,"")</f>
      </c>
      <c r="B48" s="9">
        <f>IF(AND('Compras'!$J10="Sí",'Compras'!$N10&gt;0),'Compras'!$C10,"")</f>
      </c>
      <c r="E48" s="9">
        <f>IF(AND('Compras'!$J10="Sí",'Compras'!$N10&gt;0),'Compras'!$I10,"")</f>
      </c>
      <c r="G48" s="11">
        <f>IF(AND('Compras'!$J10="Sí",'Compras'!$N10&gt;0),'Compras'!$N10,"")</f>
      </c>
      <c r="H48" s="14">
        <f>IF(AND('Compras'!$J10="Sí",'Compras'!$N10&gt;0),'Compras'!$L10,"")</f>
      </c>
      <c r="I48" s="9">
        <f>IF(AND('Compras'!$J10="Sí",'Compras'!$N10&gt;0),'Compras'!$P10,"")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IF(AND('Compras'!$J11="Sí",'Compras'!$N11&gt;0),'Compras'!$A11,"")</f>
      </c>
      <c r="B49" s="9">
        <f>IF(AND('Compras'!$J11="Sí",'Compras'!$N11&gt;0),'Compras'!$C11,"")</f>
      </c>
      <c r="E49" s="9">
        <f>IF(AND('Compras'!$J11="Sí",'Compras'!$N11&gt;0),'Compras'!$I11,"")</f>
      </c>
      <c r="G49" s="11">
        <f>IF(AND('Compras'!$J11="Sí",'Compras'!$N11&gt;0),'Compras'!$N11,"")</f>
      </c>
      <c r="H49" s="14">
        <f>IF(AND('Compras'!$J11="Sí",'Compras'!$N11&gt;0),'Compras'!$L11,"")</f>
      </c>
      <c r="I49" s="9">
        <f>IF(AND('Compras'!$J11="Sí",'Compras'!$N11&gt;0),'Compras'!$P11,"")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IF(AND('Compras'!$J12="Sí",'Compras'!$N12&gt;0),'Compras'!$A12,"")</f>
      </c>
      <c r="B50" s="9">
        <f>IF(AND('Compras'!$J12="Sí",'Compras'!$N12&gt;0),'Compras'!$C12,"")</f>
      </c>
      <c r="E50" s="9">
        <f>IF(AND('Compras'!$J12="Sí",'Compras'!$N12&gt;0),'Compras'!$I12,"")</f>
      </c>
      <c r="G50" s="11">
        <f>IF(AND('Compras'!$J12="Sí",'Compras'!$N12&gt;0),'Compras'!$N12,"")</f>
      </c>
      <c r="H50" s="14">
        <f>IF(AND('Compras'!$J12="Sí",'Compras'!$N12&gt;0),'Compras'!$L12,"")</f>
      </c>
      <c r="I50" s="9">
        <f>IF(AND('Compras'!$J12="Sí",'Compras'!$N12&gt;0),'Compras'!$P12,"")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IF(AND('Compras'!$J13="Sí",'Compras'!$N13&gt;0),'Compras'!$A13,"")</f>
      </c>
      <c r="B51" s="9">
        <f>IF(AND('Compras'!$J13="Sí",'Compras'!$N13&gt;0),'Compras'!$C13,"")</f>
      </c>
      <c r="E51" s="9">
        <f>IF(AND('Compras'!$J13="Sí",'Compras'!$N13&gt;0),'Compras'!$I13,"")</f>
      </c>
      <c r="G51" s="11">
        <f>IF(AND('Compras'!$J13="Sí",'Compras'!$N13&gt;0),'Compras'!$N13,"")</f>
      </c>
      <c r="H51" s="14">
        <f>IF(AND('Compras'!$J13="Sí",'Compras'!$N13&gt;0),'Compras'!$L13,"")</f>
      </c>
      <c r="I51" s="9">
        <f>IF(AND('Compras'!$J13="Sí",'Compras'!$N13&gt;0),'Compras'!$P13,"")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IF(AND('Compras'!$J14="Sí",'Compras'!$N14&gt;0),'Compras'!$A14,"")</f>
      </c>
      <c r="B52" s="9">
        <f>IF(AND('Compras'!$J14="Sí",'Compras'!$N14&gt;0),'Compras'!$C14,"")</f>
      </c>
      <c r="E52" s="9">
        <f>IF(AND('Compras'!$J14="Sí",'Compras'!$N14&gt;0),'Compras'!$I14,"")</f>
      </c>
      <c r="G52" s="11">
        <f>IF(AND('Compras'!$J14="Sí",'Compras'!$N14&gt;0),'Compras'!$N14,"")</f>
      </c>
      <c r="H52" s="14">
        <f>IF(AND('Compras'!$J14="Sí",'Compras'!$N14&gt;0),'Compras'!$L14,"")</f>
      </c>
      <c r="I52" s="9">
        <f>IF(AND('Compras'!$J14="Sí",'Compras'!$N14&gt;0),'Compras'!$P14,"")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IF(AND('Compras'!$J15="Sí",'Compras'!$N15&gt;0),'Compras'!$A15,"")</f>
      </c>
      <c r="B53" s="9">
        <f>IF(AND('Compras'!$J15="Sí",'Compras'!$N15&gt;0),'Compras'!$C15,"")</f>
      </c>
      <c r="E53" s="9">
        <f>IF(AND('Compras'!$J15="Sí",'Compras'!$N15&gt;0),'Compras'!$I15,"")</f>
      </c>
      <c r="G53" s="11">
        <f>IF(AND('Compras'!$J15="Sí",'Compras'!$N15&gt;0),'Compras'!$N15,"")</f>
      </c>
      <c r="H53" s="14">
        <f>IF(AND('Compras'!$J15="Sí",'Compras'!$N15&gt;0),'Compras'!$L15,"")</f>
      </c>
      <c r="I53" s="9">
        <f>IF(AND('Compras'!$J15="Sí",'Compras'!$N15&gt;0),'Compras'!$P15,"")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IF(AND('Compras'!$J16="Sí",'Compras'!$N16&gt;0),'Compras'!$A16,"")</f>
      </c>
      <c r="B54" s="9">
        <f>IF(AND('Compras'!$J16="Sí",'Compras'!$N16&gt;0),'Compras'!$C16,"")</f>
      </c>
      <c r="E54" s="9">
        <f>IF(AND('Compras'!$J16="Sí",'Compras'!$N16&gt;0),'Compras'!$I16,"")</f>
      </c>
      <c r="G54" s="11">
        <f>IF(AND('Compras'!$J16="Sí",'Compras'!$N16&gt;0),'Compras'!$N16,"")</f>
      </c>
      <c r="H54" s="14">
        <f>IF(AND('Compras'!$J16="Sí",'Compras'!$N16&gt;0),'Compras'!$L16,"")</f>
      </c>
      <c r="I54" s="9">
        <f>IF(AND('Compras'!$J16="Sí",'Compras'!$N16&gt;0),'Compras'!$P16,"")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98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2.00" customWidth="1"/>
    <col min="8" max="8" width="14.00" customWidth="1"/>
    <col min="9" max="9" width="18.00" customWidth="1"/>
    <col min="10" max="10" width="11.00" customWidth="1"/>
    <col min="11" max="11" width="13.00" customWidth="1"/>
    <col min="12" max="12" width="14.00" customWidth="1"/>
    <col min="13" max="13" width="13.00" customWidth="1"/>
    <col min="14" max="14" width="14.00" customWidth="1"/>
    <col min="15" max="15" width="14.00" customWidth="1"/>
    <col min="16" max="16" width="30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Costos Fijos</t>
        </is>
      </c>
      <c r="H1" s="1" t="inlineStr">
        <is>
          <t xml:space="preserve">Total Pedido</t>
        </is>
      </c>
      <c r="I1" s="1" t="inlineStr">
        <is>
          <t xml:space="preserve">Medio de Pago</t>
        </is>
      </c>
      <c r="J1" s="1" t="inlineStr">
        <is>
          <t xml:space="preserve">¿A crédito?</t>
        </is>
      </c>
      <c r="K1" s="1" t="inlineStr">
        <is>
          <t xml:space="preserve">Fecha Cierre</t>
        </is>
      </c>
      <c r="L1" s="1" t="inlineStr">
        <is>
          <t xml:space="preserve">Fecha Límite Pago</t>
        </is>
      </c>
      <c r="M1" s="1" t="inlineStr">
        <is>
          <t xml:space="preserve">Abonado</t>
        </is>
      </c>
      <c r="N1" s="1" t="inlineStr">
        <is>
          <t xml:space="preserve">Saldo</t>
        </is>
      </c>
      <c r="O1" s="1" t="inlineStr">
        <is>
          <t xml:space="preserve">Estado Pago</t>
        </is>
      </c>
      <c r="P1" s="1" t="inlineStr">
        <is>
          <t xml:space="preserve">Alerta Pago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16">
        <f>IF($B2="","",'Config'!$B$11+'Config'!$B$12)</f>
      </c>
      <c r="H2" s="16">
        <f>IF($B2="","",$F2+$G2)</f>
      </c>
      <c r="I2" s="20" t="inlineStr">
        <is>
          <t xml:space="preserve">Tarjeta Crédito 1</t>
        </is>
      </c>
      <c r="J2" s="20" t="inlineStr">
        <is>
          <t xml:space="preserve">Sí</t>
        </is>
      </c>
      <c r="K2" s="14">
        <f>IF(OR($B2="",$J2&lt;&gt;"Sí"),"",IF(DAY($A2)&lt;='Config'!$B$13,DATE(YEAR($A2),MONTH($A2),'Config'!$B$13),EOMONTH($A2,0)+'Config'!$B$13))</f>
      </c>
      <c r="L2" s="14">
        <f>IF($K2="","",DATE(YEAR(EOMONTH($K2,0)+1),MONTH(EOMONTH($K2,0)+1),'Config'!$B$14))</f>
      </c>
      <c r="M2" s="22">
        <v>0</v>
      </c>
      <c r="N2" s="16">
        <f>IF($B2="","",MAX($H2-$M2,0))</f>
      </c>
      <c r="O2" s="19">
        <f>IF($B2="","",IF($J2&lt;&gt;"Sí","Pagado (contado)",IF($N2&lt;=0,"Pagado",IF($M2&gt;0,"Abono parcial","Pendiente"))))</f>
      </c>
      <c r="P2" s="19">
        <f>IF(OR($B2="",$J2&lt;&gt;"Sí",$N2&lt;=0),"",IF(TODAY()&gt;$L2,"🔴 VENCIDO hace "&amp;(TODAY()-$L2)&amp;" día(s)",IF($L2-TODAY()&lt;='Config'!$B$15,"🟠 Faltan "&amp;($L2-TODAY())&amp;" día(s) para pagar","🟢 Al día (paga el "&amp;TEXT($L2,"dd/mm")&amp;")")))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16">
        <f>IF($B3="","",'Config'!$B$11+'Config'!$B$12)</f>
      </c>
      <c r="H3" s="16">
        <f>IF($B3="","",$F3+$G3)</f>
      </c>
      <c r="I3" s="20" t="inlineStr">
        <is>
          <t xml:space="preserve">Efectivo</t>
        </is>
      </c>
      <c r="J3" s="20" t="inlineStr">
        <is>
          <t xml:space="preserve">No</t>
        </is>
      </c>
      <c r="K3" s="14">
        <f>IF(OR($B3="",$J3&lt;&gt;"Sí"),"",IF(DAY($A3)&lt;='Config'!$B$13,DATE(YEAR($A3),MONTH($A3),'Config'!$B$13),EOMONTH($A3,0)+'Config'!$B$13))</f>
      </c>
      <c r="L3" s="14">
        <f>IF($K3="","",DATE(YEAR(EOMONTH($K3,0)+1),MONTH(EOMONTH($K3,0)+1),'Config'!$B$14))</f>
      </c>
      <c r="M3" s="22">
        <v>0</v>
      </c>
      <c r="N3" s="16">
        <f>IF($B3="","",MAX($H3-$M3,0))</f>
      </c>
      <c r="O3" s="19">
        <f>IF($B3="","",IF($J3&lt;&gt;"Sí","Pagado (contado)",IF($N3&lt;=0,"Pagado",IF($M3&gt;0,"Abono parcial","Pendiente"))))</f>
      </c>
      <c r="P3" s="19">
        <f>IF(OR($B3="",$J3&lt;&gt;"Sí",$N3&lt;=0),"",IF(TODAY()&gt;$L3,"🔴 VENCIDO hace "&amp;(TODAY()-$L3)&amp;" día(s)",IF($L3-TODAY()&lt;='Config'!$B$15,"🟠 Faltan "&amp;($L3-TODAY())&amp;" día(s) para pagar","🟢 Al día (paga el "&amp;TEXT($L3,"dd/mm")&amp;")")))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16">
        <f>IF($B4="","",'Config'!$B$11+'Config'!$B$12)</f>
      </c>
      <c r="H4" s="16">
        <f>IF($B4="","",$F4+$G4)</f>
      </c>
      <c r="I4" s="20" t="inlineStr">
        <is>
          <t xml:space="preserve">Tarjeta Crédito 1</t>
        </is>
      </c>
      <c r="J4" s="20" t="inlineStr">
        <is>
          <t xml:space="preserve">Sí</t>
        </is>
      </c>
      <c r="K4" s="14">
        <f>IF(OR($B4="",$J4&lt;&gt;"Sí"),"",IF(DAY($A4)&lt;='Config'!$B$13,DATE(YEAR($A4),MONTH($A4),'Config'!$B$13),EOMONTH($A4,0)+'Config'!$B$13))</f>
      </c>
      <c r="L4" s="14">
        <f>IF($K4="","",DATE(YEAR(EOMONTH($K4,0)+1),MONTH(EOMONTH($K4,0)+1),'Config'!$B$14))</f>
      </c>
      <c r="M4" s="22">
        <v>200000</v>
      </c>
      <c r="N4" s="16">
        <f>IF($B4="","",MAX($H4-$M4,0))</f>
      </c>
      <c r="O4" s="19">
        <f>IF($B4="","",IF($J4&lt;&gt;"Sí","Pagado (contado)",IF($N4&lt;=0,"Pagado",IF($M4&gt;0,"Abono parcial","Pendiente"))))</f>
      </c>
      <c r="P4" s="19">
        <f>IF(OR($B4="",$J4&lt;&gt;"Sí",$N4&lt;=0),"",IF(TODAY()&gt;$L4,"🔴 VENCIDO hace "&amp;(TODAY()-$L4)&amp;" día(s)",IF($L4-TODAY()&lt;='Config'!$B$15,"🟠 Faltan "&amp;($L4-TODAY())&amp;" día(s) para pagar","🟢 Al día (paga el "&amp;TEXT($L4,"dd/mm")&amp;")")))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16">
        <f>IF($B5="","",'Config'!$B$11+'Config'!$B$12)</f>
      </c>
      <c r="H5" s="16">
        <f>IF($B5="","",$F5+$G5)</f>
      </c>
      <c r="I5" s="20" t="inlineStr">
        <is>
          <t xml:space="preserve">Transferencia</t>
        </is>
      </c>
      <c r="J5" s="20" t="inlineStr">
        <is>
          <t xml:space="preserve">No</t>
        </is>
      </c>
      <c r="K5" s="14">
        <f>IF(OR($B5="",$J5&lt;&gt;"Sí"),"",IF(DAY($A5)&lt;='Config'!$B$13,DATE(YEAR($A5),MONTH($A5),'Config'!$B$13),EOMONTH($A5,0)+'Config'!$B$13))</f>
      </c>
      <c r="L5" s="14">
        <f>IF($K5="","",DATE(YEAR(EOMONTH($K5,0)+1),MONTH(EOMONTH($K5,0)+1),'Config'!$B$14))</f>
      </c>
      <c r="M5" s="22">
        <v>0</v>
      </c>
      <c r="N5" s="16">
        <f>IF($B5="","",MAX($H5-$M5,0))</f>
      </c>
      <c r="O5" s="19">
        <f>IF($B5="","",IF($J5&lt;&gt;"Sí","Pagado (contado)",IF($N5&lt;=0,"Pagado",IF($M5&gt;0,"Abono parcial","Pendiente"))))</f>
      </c>
      <c r="P5" s="19">
        <f>IF(OR($B5="",$J5&lt;&gt;"Sí",$N5&lt;=0),"",IF(TODAY()&gt;$L5,"🔴 VENCIDO hace "&amp;(TODAY()-$L5)&amp;" día(s)",IF($L5-TODAY()&lt;='Config'!$B$15,"🟠 Faltan "&amp;($L5-TODAY())&amp;" día(s) para pagar","🟢 Al día (paga el "&amp;TEXT($L5,"dd/mm")&amp;")")))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16">
        <f>IF($B6="","",'Config'!$B$11+'Config'!$B$12)</f>
      </c>
      <c r="H6" s="16">
        <f>IF($B6="","",$F6+$G6)</f>
      </c>
      <c r="I6" s="20" t="inlineStr">
        <is>
          <t xml:space="preserve">Tarjeta Crédito 2</t>
        </is>
      </c>
      <c r="J6" s="20" t="inlineStr">
        <is>
          <t xml:space="preserve">Sí</t>
        </is>
      </c>
      <c r="K6" s="14">
        <f>IF(OR($B6="",$J6&lt;&gt;"Sí"),"",IF(DAY($A6)&lt;='Config'!$B$13,DATE(YEAR($A6),MONTH($A6),'Config'!$B$13),EOMONTH($A6,0)+'Config'!$B$13))</f>
      </c>
      <c r="L6" s="14">
        <f>IF($K6="","",DATE(YEAR(EOMONTH($K6,0)+1),MONTH(EOMONTH($K6,0)+1),'Config'!$B$14))</f>
      </c>
      <c r="M6" s="22">
        <v>0</v>
      </c>
      <c r="N6" s="16">
        <f>IF($B6="","",MAX($H6-$M6,0))</f>
      </c>
      <c r="O6" s="19">
        <f>IF($B6="","",IF($J6&lt;&gt;"Sí","Pagado (contado)",IF($N6&lt;=0,"Pagado",IF($M6&gt;0,"Abono parcial","Pendiente"))))</f>
      </c>
      <c r="P6" s="19">
        <f>IF(OR($B6="",$J6&lt;&gt;"Sí",$N6&lt;=0),"",IF(TODAY()&gt;$L6,"🔴 VENCIDO hace "&amp;(TODAY()-$L6)&amp;" día(s)",IF($L6-TODAY()&lt;='Config'!$B$15,"🟠 Faltan "&amp;($L6-TODAY())&amp;" día(s) para pagar","🟢 Al día (paga el "&amp;TEXT($L6,"dd/mm")&amp;")")))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16">
        <f>IF($B7="","",'Config'!$B$11+'Config'!$B$12)</f>
      </c>
      <c r="H7" s="16">
        <f>IF($B7="","",$F7+$G7)</f>
      </c>
      <c r="I7" s="20"/>
      <c r="J7" s="20"/>
      <c r="K7" s="14">
        <f>IF(OR($B7="",$J7&lt;&gt;"Sí"),"",IF(DAY($A7)&lt;='Config'!$B$13,DATE(YEAR($A7),MONTH($A7),'Config'!$B$13),EOMONTH($A7,0)+'Config'!$B$13))</f>
      </c>
      <c r="L7" s="14">
        <f>IF($K7="","",DATE(YEAR(EOMONTH($K7,0)+1),MONTH(EOMONTH($K7,0)+1),'Config'!$B$14))</f>
      </c>
      <c r="M7" s="22"/>
      <c r="N7" s="16">
        <f>IF($B7="","",MAX($H7-$M7,0))</f>
      </c>
      <c r="O7" s="19">
        <f>IF($B7="","",IF($J7&lt;&gt;"Sí","Pagado (contado)",IF($N7&lt;=0,"Pagado",IF($M7&gt;0,"Abono parcial","Pendiente"))))</f>
      </c>
      <c r="P7" s="19">
        <f>IF(OR($B7="",$J7&lt;&gt;"Sí",$N7&lt;=0),"",IF(TODAY()&gt;$L7,"🔴 VENCIDO hace "&amp;(TODAY()-$L7)&amp;" día(s)",IF($L7-TODAY()&lt;='Config'!$B$15,"🟠 Faltan "&amp;($L7-TODAY())&amp;" día(s) para pagar","🟢 Al día (paga el "&amp;TEXT($L7,"dd/mm")&amp;")")))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16">
        <f>IF($B8="","",'Config'!$B$11+'Config'!$B$12)</f>
      </c>
      <c r="H8" s="16">
        <f>IF($B8="","",$F8+$G8)</f>
      </c>
      <c r="I8" s="20"/>
      <c r="J8" s="20"/>
      <c r="K8" s="14">
        <f>IF(OR($B8="",$J8&lt;&gt;"Sí"),"",IF(DAY($A8)&lt;='Config'!$B$13,DATE(YEAR($A8),MONTH($A8),'Config'!$B$13),EOMONTH($A8,0)+'Config'!$B$13))</f>
      </c>
      <c r="L8" s="14">
        <f>IF($K8="","",DATE(YEAR(EOMONTH($K8,0)+1),MONTH(EOMONTH($K8,0)+1),'Config'!$B$14))</f>
      </c>
      <c r="M8" s="22"/>
      <c r="N8" s="16">
        <f>IF($B8="","",MAX($H8-$M8,0))</f>
      </c>
      <c r="O8" s="19">
        <f>IF($B8="","",IF($J8&lt;&gt;"Sí","Pagado (contado)",IF($N8&lt;=0,"Pagado",IF($M8&gt;0,"Abono parcial","Pendiente"))))</f>
      </c>
      <c r="P8" s="19">
        <f>IF(OR($B8="",$J8&lt;&gt;"Sí",$N8&lt;=0),"",IF(TODAY()&gt;$L8,"🔴 VENCIDO hace "&amp;(TODAY()-$L8)&amp;" día(s)",IF($L8-TODAY()&lt;='Config'!$B$15,"🟠 Faltan "&amp;($L8-TODAY())&amp;" día(s) para pagar","🟢 Al día (paga el "&amp;TEXT($L8,"dd/mm")&amp;")")))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16">
        <f>IF($B9="","",'Config'!$B$11+'Config'!$B$12)</f>
      </c>
      <c r="H9" s="16">
        <f>IF($B9="","",$F9+$G9)</f>
      </c>
      <c r="I9" s="20"/>
      <c r="J9" s="20"/>
      <c r="K9" s="14">
        <f>IF(OR($B9="",$J9&lt;&gt;"Sí"),"",IF(DAY($A9)&lt;='Config'!$B$13,DATE(YEAR($A9),MONTH($A9),'Config'!$B$13),EOMONTH($A9,0)+'Config'!$B$13))</f>
      </c>
      <c r="L9" s="14">
        <f>IF($K9="","",DATE(YEAR(EOMONTH($K9,0)+1),MONTH(EOMONTH($K9,0)+1),'Config'!$B$14))</f>
      </c>
      <c r="M9" s="22"/>
      <c r="N9" s="16">
        <f>IF($B9="","",MAX($H9-$M9,0))</f>
      </c>
      <c r="O9" s="19">
        <f>IF($B9="","",IF($J9&lt;&gt;"Sí","Pagado (contado)",IF($N9&lt;=0,"Pagado",IF($M9&gt;0,"Abono parcial","Pendiente"))))</f>
      </c>
      <c r="P9" s="19">
        <f>IF(OR($B9="",$J9&lt;&gt;"Sí",$N9&lt;=0),"",IF(TODAY()&gt;$L9,"🔴 VENCIDO hace "&amp;(TODAY()-$L9)&amp;" día(s)",IF($L9-TODAY()&lt;='Config'!$B$15,"🟠 Faltan "&amp;($L9-TODAY())&amp;" día(s) para pagar","🟢 Al día (paga el "&amp;TEXT($L9,"dd/mm")&amp;")")))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16">
        <f>IF($B10="","",'Config'!$B$11+'Config'!$B$12)</f>
      </c>
      <c r="H10" s="16">
        <f>IF($B10="","",$F10+$G10)</f>
      </c>
      <c r="I10" s="20"/>
      <c r="J10" s="20"/>
      <c r="K10" s="14">
        <f>IF(OR($B10="",$J10&lt;&gt;"Sí"),"",IF(DAY($A10)&lt;='Config'!$B$13,DATE(YEAR($A10),MONTH($A10),'Config'!$B$13),EOMONTH($A10,0)+'Config'!$B$13))</f>
      </c>
      <c r="L10" s="14">
        <f>IF($K10="","",DATE(YEAR(EOMONTH($K10,0)+1),MONTH(EOMONTH($K10,0)+1),'Config'!$B$14))</f>
      </c>
      <c r="M10" s="22"/>
      <c r="N10" s="16">
        <f>IF($B10="","",MAX($H10-$M10,0))</f>
      </c>
      <c r="O10" s="19">
        <f>IF($B10="","",IF($J10&lt;&gt;"Sí","Pagado (contado)",IF($N10&lt;=0,"Pagado",IF($M10&gt;0,"Abono parcial","Pendiente"))))</f>
      </c>
      <c r="P10" s="19">
        <f>IF(OR($B10="",$J10&lt;&gt;"Sí",$N10&lt;=0),"",IF(TODAY()&gt;$L10,"🔴 VENCIDO hace "&amp;(TODAY()-$L10)&amp;" día(s)",IF($L10-TODAY()&lt;='Config'!$B$15,"🟠 Faltan "&amp;($L10-TODAY())&amp;" día(s) para pagar","🟢 Al día (paga el "&amp;TEXT($L10,"dd/mm")&amp;")")))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16">
        <f>IF($B11="","",'Config'!$B$11+'Config'!$B$12)</f>
      </c>
      <c r="H11" s="16">
        <f>IF($B11="","",$F11+$G11)</f>
      </c>
      <c r="I11" s="20"/>
      <c r="J11" s="20"/>
      <c r="K11" s="14">
        <f>IF(OR($B11="",$J11&lt;&gt;"Sí"),"",IF(DAY($A11)&lt;='Config'!$B$13,DATE(YEAR($A11),MONTH($A11),'Config'!$B$13),EOMONTH($A11,0)+'Config'!$B$13))</f>
      </c>
      <c r="L11" s="14">
        <f>IF($K11="","",DATE(YEAR(EOMONTH($K11,0)+1),MONTH(EOMONTH($K11,0)+1),'Config'!$B$14))</f>
      </c>
      <c r="M11" s="22"/>
      <c r="N11" s="16">
        <f>IF($B11="","",MAX($H11-$M11,0))</f>
      </c>
      <c r="O11" s="19">
        <f>IF($B11="","",IF($J11&lt;&gt;"Sí","Pagado (contado)",IF($N11&lt;=0,"Pagado",IF($M11&gt;0,"Abono parcial","Pendiente"))))</f>
      </c>
      <c r="P11" s="19">
        <f>IF(OR($B11="",$J11&lt;&gt;"Sí",$N11&lt;=0),"",IF(TODAY()&gt;$L11,"🔴 VENCIDO hace "&amp;(TODAY()-$L11)&amp;" día(s)",IF($L11-TODAY()&lt;='Config'!$B$15,"🟠 Faltan "&amp;($L11-TODAY())&amp;" día(s) para pagar","🟢 Al día (paga el "&amp;TEXT($L11,"dd/mm")&amp;")")))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16">
        <f>IF($B12="","",'Config'!$B$11+'Config'!$B$12)</f>
      </c>
      <c r="H12" s="16">
        <f>IF($B12="","",$F12+$G12)</f>
      </c>
      <c r="I12" s="20"/>
      <c r="J12" s="20"/>
      <c r="K12" s="14">
        <f>IF(OR($B12="",$J12&lt;&gt;"Sí"),"",IF(DAY($A12)&lt;='Config'!$B$13,DATE(YEAR($A12),MONTH($A12),'Config'!$B$13),EOMONTH($A12,0)+'Config'!$B$13))</f>
      </c>
      <c r="L12" s="14">
        <f>IF($K12="","",DATE(YEAR(EOMONTH($K12,0)+1),MONTH(EOMONTH($K12,0)+1),'Config'!$B$14))</f>
      </c>
      <c r="M12" s="22"/>
      <c r="N12" s="16">
        <f>IF($B12="","",MAX($H12-$M12,0))</f>
      </c>
      <c r="O12" s="19">
        <f>IF($B12="","",IF($J12&lt;&gt;"Sí","Pagado (contado)",IF($N12&lt;=0,"Pagado",IF($M12&gt;0,"Abono parcial","Pendiente"))))</f>
      </c>
      <c r="P12" s="19">
        <f>IF(OR($B12="",$J12&lt;&gt;"Sí",$N12&lt;=0),"",IF(TODAY()&gt;$L12,"🔴 VENCIDO hace "&amp;(TODAY()-$L12)&amp;" día(s)",IF($L12-TODAY()&lt;='Config'!$B$15,"🟠 Faltan "&amp;($L12-TODAY())&amp;" día(s) para pagar","🟢 Al día (paga el "&amp;TEXT($L12,"dd/mm")&amp;")")))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16">
        <f>IF($B13="","",'Config'!$B$11+'Config'!$B$12)</f>
      </c>
      <c r="H13" s="16">
        <f>IF($B13="","",$F13+$G13)</f>
      </c>
      <c r="I13" s="20"/>
      <c r="J13" s="20"/>
      <c r="K13" s="14">
        <f>IF(OR($B13="",$J13&lt;&gt;"Sí"),"",IF(DAY($A13)&lt;='Config'!$B$13,DATE(YEAR($A13),MONTH($A13),'Config'!$B$13),EOMONTH($A13,0)+'Config'!$B$13))</f>
      </c>
      <c r="L13" s="14">
        <f>IF($K13="","",DATE(YEAR(EOMONTH($K13,0)+1),MONTH(EOMONTH($K13,0)+1),'Config'!$B$14))</f>
      </c>
      <c r="M13" s="22"/>
      <c r="N13" s="16">
        <f>IF($B13="","",MAX($H13-$M13,0))</f>
      </c>
      <c r="O13" s="19">
        <f>IF($B13="","",IF($J13&lt;&gt;"Sí","Pagado (contado)",IF($N13&lt;=0,"Pagado",IF($M13&gt;0,"Abono parcial","Pendiente"))))</f>
      </c>
      <c r="P13" s="19">
        <f>IF(OR($B13="",$J13&lt;&gt;"Sí",$N13&lt;=0),"",IF(TODAY()&gt;$L13,"🔴 VENCIDO hace "&amp;(TODAY()-$L13)&amp;" día(s)",IF($L13-TODAY()&lt;='Config'!$B$15,"🟠 Faltan "&amp;($L13-TODAY())&amp;" día(s) para pagar","🟢 Al día (paga el "&amp;TEXT($L13,"dd/mm")&amp;")")))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16">
        <f>IF($B14="","",'Config'!$B$11+'Config'!$B$12)</f>
      </c>
      <c r="H14" s="16">
        <f>IF($B14="","",$F14+$G14)</f>
      </c>
      <c r="I14" s="20"/>
      <c r="J14" s="20"/>
      <c r="K14" s="14">
        <f>IF(OR($B14="",$J14&lt;&gt;"Sí"),"",IF(DAY($A14)&lt;='Config'!$B$13,DATE(YEAR($A14),MONTH($A14),'Config'!$B$13),EOMONTH($A14,0)+'Config'!$B$13))</f>
      </c>
      <c r="L14" s="14">
        <f>IF($K14="","",DATE(YEAR(EOMONTH($K14,0)+1),MONTH(EOMONTH($K14,0)+1),'Config'!$B$14))</f>
      </c>
      <c r="M14" s="22"/>
      <c r="N14" s="16">
        <f>IF($B14="","",MAX($H14-$M14,0))</f>
      </c>
      <c r="O14" s="19">
        <f>IF($B14="","",IF($J14&lt;&gt;"Sí","Pagado (contado)",IF($N14&lt;=0,"Pagado",IF($M14&gt;0,"Abono parcial","Pendiente"))))</f>
      </c>
      <c r="P14" s="19">
        <f>IF(OR($B14="",$J14&lt;&gt;"Sí",$N14&lt;=0),"",IF(TODAY()&gt;$L14,"🔴 VENCIDO hace "&amp;(TODAY()-$L14)&amp;" día(s)",IF($L14-TODAY()&lt;='Config'!$B$15,"🟠 Faltan "&amp;($L14-TODAY())&amp;" día(s) para pagar","🟢 Al día (paga el "&amp;TEXT($L14,"dd/mm")&amp;")")))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16">
        <f>IF($B15="","",'Config'!$B$11+'Config'!$B$12)</f>
      </c>
      <c r="H15" s="16">
        <f>IF($B15="","",$F15+$G15)</f>
      </c>
      <c r="I15" s="20"/>
      <c r="J15" s="20"/>
      <c r="K15" s="14">
        <f>IF(OR($B15="",$J15&lt;&gt;"Sí"),"",IF(DAY($A15)&lt;='Config'!$B$13,DATE(YEAR($A15),MONTH($A15),'Config'!$B$13),EOMONTH($A15,0)+'Config'!$B$13))</f>
      </c>
      <c r="L15" s="14">
        <f>IF($K15="","",DATE(YEAR(EOMONTH($K15,0)+1),MONTH(EOMONTH($K15,0)+1),'Config'!$B$14))</f>
      </c>
      <c r="M15" s="22"/>
      <c r="N15" s="16">
        <f>IF($B15="","",MAX($H15-$M15,0))</f>
      </c>
      <c r="O15" s="19">
        <f>IF($B15="","",IF($J15&lt;&gt;"Sí","Pagado (contado)",IF($N15&lt;=0,"Pagado",IF($M15&gt;0,"Abono parcial","Pendiente"))))</f>
      </c>
      <c r="P15" s="19">
        <f>IF(OR($B15="",$J15&lt;&gt;"Sí",$N15&lt;=0),"",IF(TODAY()&gt;$L15,"🔴 VENCIDO hace "&amp;(TODAY()-$L15)&amp;" día(s)",IF($L15-TODAY()&lt;='Config'!$B$15,"🟠 Faltan "&amp;($L15-TODAY())&amp;" día(s) para pagar","🟢 Al día (paga el "&amp;TEXT($L15,"dd/mm")&amp;")")))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16">
        <f>IF($B16="","",'Config'!$B$11+'Config'!$B$12)</f>
      </c>
      <c r="H16" s="16">
        <f>IF($B16="","",$F16+$G16)</f>
      </c>
      <c r="I16" s="20"/>
      <c r="J16" s="20"/>
      <c r="K16" s="14">
        <f>IF(OR($B16="",$J16&lt;&gt;"Sí"),"",IF(DAY($A16)&lt;='Config'!$B$13,DATE(YEAR($A16),MONTH($A16),'Config'!$B$13),EOMONTH($A16,0)+'Config'!$B$13))</f>
      </c>
      <c r="L16" s="14">
        <f>IF($K16="","",DATE(YEAR(EOMONTH($K16,0)+1),MONTH(EOMONTH($K16,0)+1),'Config'!$B$14))</f>
      </c>
      <c r="M16" s="22"/>
      <c r="N16" s="16">
        <f>IF($B16="","",MAX($H16-$M16,0))</f>
      </c>
      <c r="O16" s="19">
        <f>IF($B16="","",IF($J16&lt;&gt;"Sí","Pagado (contado)",IF($N16&lt;=0,"Pagado",IF($M16&gt;0,"Abono parcial","Pendiente"))))</f>
      </c>
      <c r="P16" s="19">
        <f>IF(OR($B16="",$J16&lt;&gt;"Sí",$N16&lt;=0),"",IF(TODAY()&gt;$L16,"🔴 VENCIDO hace "&amp;(TODAY()-$L16)&amp;" día(s)",IF($L16-TODAY()&lt;='Config'!$B$15,"🟠 Faltan "&amp;($L16-TODAY())&amp;" día(s) para pagar","🟢 Al día (paga el "&amp;TEXT($L16,"dd/mm")&amp;")")))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16">
        <f>IF($B17="","",'Config'!$B$11+'Config'!$B$12)</f>
      </c>
      <c r="H17" s="16">
        <f>IF($B17="","",$F17+$G17)</f>
      </c>
      <c r="I17" s="20"/>
      <c r="J17" s="20"/>
      <c r="K17" s="14">
        <f>IF(OR($B17="",$J17&lt;&gt;"Sí"),"",IF(DAY($A17)&lt;='Config'!$B$13,DATE(YEAR($A17),MONTH($A17),'Config'!$B$13),EOMONTH($A17,0)+'Config'!$B$13))</f>
      </c>
      <c r="L17" s="14">
        <f>IF($K17="","",DATE(YEAR(EOMONTH($K17,0)+1),MONTH(EOMONTH($K17,0)+1),'Config'!$B$14))</f>
      </c>
      <c r="M17" s="22"/>
      <c r="N17" s="16">
        <f>IF($B17="","",MAX($H17-$M17,0))</f>
      </c>
      <c r="O17" s="19">
        <f>IF($B17="","",IF($J17&lt;&gt;"Sí","Pagado (contado)",IF($N17&lt;=0,"Pagado",IF($M17&gt;0,"Abono parcial","Pendiente"))))</f>
      </c>
      <c r="P17" s="19">
        <f>IF(OR($B17="",$J17&lt;&gt;"Sí",$N17&lt;=0),"",IF(TODAY()&gt;$L17,"🔴 VENCIDO hace "&amp;(TODAY()-$L17)&amp;" día(s)",IF($L17-TODAY()&lt;='Config'!$B$15,"🟠 Faltan "&amp;($L17-TODAY())&amp;" día(s) para pagar","🟢 Al día (paga el "&amp;TEXT($L17,"dd/mm")&amp;")")))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16">
        <f>IF($B18="","",'Config'!$B$11+'Config'!$B$12)</f>
      </c>
      <c r="H18" s="16">
        <f>IF($B18="","",$F18+$G18)</f>
      </c>
      <c r="I18" s="20"/>
      <c r="J18" s="20"/>
      <c r="K18" s="14">
        <f>IF(OR($B18="",$J18&lt;&gt;"Sí"),"",IF(DAY($A18)&lt;='Config'!$B$13,DATE(YEAR($A18),MONTH($A18),'Config'!$B$13),EOMONTH($A18,0)+'Config'!$B$13))</f>
      </c>
      <c r="L18" s="14">
        <f>IF($K18="","",DATE(YEAR(EOMONTH($K18,0)+1),MONTH(EOMONTH($K18,0)+1),'Config'!$B$14))</f>
      </c>
      <c r="M18" s="22"/>
      <c r="N18" s="16">
        <f>IF($B18="","",MAX($H18-$M18,0))</f>
      </c>
      <c r="O18" s="19">
        <f>IF($B18="","",IF($J18&lt;&gt;"Sí","Pagado (contado)",IF($N18&lt;=0,"Pagado",IF($M18&gt;0,"Abono parcial","Pendiente"))))</f>
      </c>
      <c r="P18" s="19">
        <f>IF(OR($B18="",$J18&lt;&gt;"Sí",$N18&lt;=0),"",IF(TODAY()&gt;$L18,"🔴 VENCIDO hace "&amp;(TODAY()-$L18)&amp;" día(s)",IF($L18-TODAY()&lt;='Config'!$B$15,"🟠 Faltan "&amp;($L18-TODAY())&amp;" día(s) para pagar","🟢 Al día (paga el "&amp;TEXT($L18,"dd/mm")&amp;")")))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16">
        <f>IF($B19="","",'Config'!$B$11+'Config'!$B$12)</f>
      </c>
      <c r="H19" s="16">
        <f>IF($B19="","",$F19+$G19)</f>
      </c>
      <c r="I19" s="20"/>
      <c r="J19" s="20"/>
      <c r="K19" s="14">
        <f>IF(OR($B19="",$J19&lt;&gt;"Sí"),"",IF(DAY($A19)&lt;='Config'!$B$13,DATE(YEAR($A19),MONTH($A19),'Config'!$B$13),EOMONTH($A19,0)+'Config'!$B$13))</f>
      </c>
      <c r="L19" s="14">
        <f>IF($K19="","",DATE(YEAR(EOMONTH($K19,0)+1),MONTH(EOMONTH($K19,0)+1),'Config'!$B$14))</f>
      </c>
      <c r="M19" s="22"/>
      <c r="N19" s="16">
        <f>IF($B19="","",MAX($H19-$M19,0))</f>
      </c>
      <c r="O19" s="19">
        <f>IF($B19="","",IF($J19&lt;&gt;"Sí","Pagado (contado)",IF($N19&lt;=0,"Pagado",IF($M19&gt;0,"Abono parcial","Pendiente"))))</f>
      </c>
      <c r="P19" s="19">
        <f>IF(OR($B19="",$J19&lt;&gt;"Sí",$N19&lt;=0),"",IF(TODAY()&gt;$L19,"🔴 VENCIDO hace "&amp;(TODAY()-$L19)&amp;" día(s)",IF($L19-TODAY()&lt;='Config'!$B$15,"🟠 Faltan "&amp;($L19-TODAY())&amp;" día(s) para pagar","🟢 Al día (paga el "&amp;TEXT($L19,"dd/mm")&amp;")")))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16">
        <f>IF($B20="","",'Config'!$B$11+'Config'!$B$12)</f>
      </c>
      <c r="H20" s="16">
        <f>IF($B20="","",$F20+$G20)</f>
      </c>
      <c r="I20" s="20"/>
      <c r="J20" s="20"/>
      <c r="K20" s="14">
        <f>IF(OR($B20="",$J20&lt;&gt;"Sí"),"",IF(DAY($A20)&lt;='Config'!$B$13,DATE(YEAR($A20),MONTH($A20),'Config'!$B$13),EOMONTH($A20,0)+'Config'!$B$13))</f>
      </c>
      <c r="L20" s="14">
        <f>IF($K20="","",DATE(YEAR(EOMONTH($K20,0)+1),MONTH(EOMONTH($K20,0)+1),'Config'!$B$14))</f>
      </c>
      <c r="M20" s="22"/>
      <c r="N20" s="16">
        <f>IF($B20="","",MAX($H20-$M20,0))</f>
      </c>
      <c r="O20" s="19">
        <f>IF($B20="","",IF($J20&lt;&gt;"Sí","Pagado (contado)",IF($N20&lt;=0,"Pagado",IF($M20&gt;0,"Abono parcial","Pendiente"))))</f>
      </c>
      <c r="P20" s="19">
        <f>IF(OR($B20="",$J20&lt;&gt;"Sí",$N20&lt;=0),"",IF(TODAY()&gt;$L20,"🔴 VENCIDO hace "&amp;(TODAY()-$L20)&amp;" día(s)",IF($L20-TODAY()&lt;='Config'!$B$15,"🟠 Faltan "&amp;($L20-TODAY())&amp;" día(s) para pagar","🟢 Al día (paga el "&amp;TEXT($L20,"dd/mm")&amp;")")))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16">
        <f>IF($B21="","",'Config'!$B$11+'Config'!$B$12)</f>
      </c>
      <c r="H21" s="16">
        <f>IF($B21="","",$F21+$G21)</f>
      </c>
      <c r="I21" s="20"/>
      <c r="J21" s="20"/>
      <c r="K21" s="14">
        <f>IF(OR($B21="",$J21&lt;&gt;"Sí"),"",IF(DAY($A21)&lt;='Config'!$B$13,DATE(YEAR($A21),MONTH($A21),'Config'!$B$13),EOMONTH($A21,0)+'Config'!$B$13))</f>
      </c>
      <c r="L21" s="14">
        <f>IF($K21="","",DATE(YEAR(EOMONTH($K21,0)+1),MONTH(EOMONTH($K21,0)+1),'Config'!$B$14))</f>
      </c>
      <c r="M21" s="22"/>
      <c r="N21" s="16">
        <f>IF($B21="","",MAX($H21-$M21,0))</f>
      </c>
      <c r="O21" s="19">
        <f>IF($B21="","",IF($J21&lt;&gt;"Sí","Pagado (contado)",IF($N21&lt;=0,"Pagado",IF($M21&gt;0,"Abono parcial","Pendiente"))))</f>
      </c>
      <c r="P21" s="19">
        <f>IF(OR($B21="",$J21&lt;&gt;"Sí",$N21&lt;=0),"",IF(TODAY()&gt;$L21,"🔴 VENCIDO hace "&amp;(TODAY()-$L21)&amp;" día(s)",IF($L21-TODAY()&lt;='Config'!$B$15,"🟠 Faltan "&amp;($L21-TODAY())&amp;" día(s) para pagar","🟢 Al día (paga el "&amp;TEXT($L21,"dd/mm")&amp;")")))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16">
        <f>IF($B22="","",'Config'!$B$11+'Config'!$B$12)</f>
      </c>
      <c r="H22" s="16">
        <f>IF($B22="","",$F22+$G22)</f>
      </c>
      <c r="I22" s="20"/>
      <c r="J22" s="20"/>
      <c r="K22" s="14">
        <f>IF(OR($B22="",$J22&lt;&gt;"Sí"),"",IF(DAY($A22)&lt;='Config'!$B$13,DATE(YEAR($A22),MONTH($A22),'Config'!$B$13),EOMONTH($A22,0)+'Config'!$B$13))</f>
      </c>
      <c r="L22" s="14">
        <f>IF($K22="","",DATE(YEAR(EOMONTH($K22,0)+1),MONTH(EOMONTH($K22,0)+1),'Config'!$B$14))</f>
      </c>
      <c r="M22" s="22"/>
      <c r="N22" s="16">
        <f>IF($B22="","",MAX($H22-$M22,0))</f>
      </c>
      <c r="O22" s="19">
        <f>IF($B22="","",IF($J22&lt;&gt;"Sí","Pagado (contado)",IF($N22&lt;=0,"Pagado",IF($M22&gt;0,"Abono parcial","Pendiente"))))</f>
      </c>
      <c r="P22" s="19">
        <f>IF(OR($B22="",$J22&lt;&gt;"Sí",$N22&lt;=0),"",IF(TODAY()&gt;$L22,"🔴 VENCIDO hace "&amp;(TODAY()-$L22)&amp;" día(s)",IF($L22-TODAY()&lt;='Config'!$B$15,"🟠 Faltan "&amp;($L22-TODAY())&amp;" día(s) para pagar","🟢 Al día (paga el "&amp;TEXT($L22,"dd/mm")&amp;")")))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16">
        <f>IF($B23="","",'Config'!$B$11+'Config'!$B$12)</f>
      </c>
      <c r="H23" s="16">
        <f>IF($B23="","",$F23+$G23)</f>
      </c>
      <c r="I23" s="20"/>
      <c r="J23" s="20"/>
      <c r="K23" s="14">
        <f>IF(OR($B23="",$J23&lt;&gt;"Sí"),"",IF(DAY($A23)&lt;='Config'!$B$13,DATE(YEAR($A23),MONTH($A23),'Config'!$B$13),EOMONTH($A23,0)+'Config'!$B$13))</f>
      </c>
      <c r="L23" s="14">
        <f>IF($K23="","",DATE(YEAR(EOMONTH($K23,0)+1),MONTH(EOMONTH($K23,0)+1),'Config'!$B$14))</f>
      </c>
      <c r="M23" s="22"/>
      <c r="N23" s="16">
        <f>IF($B23="","",MAX($H23-$M23,0))</f>
      </c>
      <c r="O23" s="19">
        <f>IF($B23="","",IF($J23&lt;&gt;"Sí","Pagado (contado)",IF($N23&lt;=0,"Pagado",IF($M23&gt;0,"Abono parcial","Pendiente"))))</f>
      </c>
      <c r="P23" s="19">
        <f>IF(OR($B23="",$J23&lt;&gt;"Sí",$N23&lt;=0),"",IF(TODAY()&gt;$L23,"🔴 VENCIDO hace "&amp;(TODAY()-$L23)&amp;" día(s)",IF($L23-TODAY()&lt;='Config'!$B$15,"🟠 Faltan "&amp;($L23-TODAY())&amp;" día(s) para pagar","🟢 Al día (paga el "&amp;TEXT($L23,"dd/mm")&amp;")")))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16">
        <f>IF($B24="","",'Config'!$B$11+'Config'!$B$12)</f>
      </c>
      <c r="H24" s="16">
        <f>IF($B24="","",$F24+$G24)</f>
      </c>
      <c r="I24" s="20"/>
      <c r="J24" s="20"/>
      <c r="K24" s="14">
        <f>IF(OR($B24="",$J24&lt;&gt;"Sí"),"",IF(DAY($A24)&lt;='Config'!$B$13,DATE(YEAR($A24),MONTH($A24),'Config'!$B$13),EOMONTH($A24,0)+'Config'!$B$13))</f>
      </c>
      <c r="L24" s="14">
        <f>IF($K24="","",DATE(YEAR(EOMONTH($K24,0)+1),MONTH(EOMONTH($K24,0)+1),'Config'!$B$14))</f>
      </c>
      <c r="M24" s="22"/>
      <c r="N24" s="16">
        <f>IF($B24="","",MAX($H24-$M24,0))</f>
      </c>
      <c r="O24" s="19">
        <f>IF($B24="","",IF($J24&lt;&gt;"Sí","Pagado (contado)",IF($N24&lt;=0,"Pagado",IF($M24&gt;0,"Abono parcial","Pendiente"))))</f>
      </c>
      <c r="P24" s="19">
        <f>IF(OR($B24="",$J24&lt;&gt;"Sí",$N24&lt;=0),"",IF(TODAY()&gt;$L24,"🔴 VENCIDO hace "&amp;(TODAY()-$L24)&amp;" día(s)",IF($L24-TODAY()&lt;='Config'!$B$15,"🟠 Faltan "&amp;($L24-TODAY())&amp;" día(s) para pagar","🟢 Al día (paga el "&amp;TEXT($L24,"dd/mm")&amp;")")))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16">
        <f>IF($B25="","",'Config'!$B$11+'Config'!$B$12)</f>
      </c>
      <c r="H25" s="16">
        <f>IF($B25="","",$F25+$G25)</f>
      </c>
      <c r="I25" s="20"/>
      <c r="J25" s="20"/>
      <c r="K25" s="14">
        <f>IF(OR($B25="",$J25&lt;&gt;"Sí"),"",IF(DAY($A25)&lt;='Config'!$B$13,DATE(YEAR($A25),MONTH($A25),'Config'!$B$13),EOMONTH($A25,0)+'Config'!$B$13))</f>
      </c>
      <c r="L25" s="14">
        <f>IF($K25="","",DATE(YEAR(EOMONTH($K25,0)+1),MONTH(EOMONTH($K25,0)+1),'Config'!$B$14))</f>
      </c>
      <c r="M25" s="22"/>
      <c r="N25" s="16">
        <f>IF($B25="","",MAX($H25-$M25,0))</f>
      </c>
      <c r="O25" s="19">
        <f>IF($B25="","",IF($J25&lt;&gt;"Sí","Pagado (contado)",IF($N25&lt;=0,"Pagado",IF($M25&gt;0,"Abono parcial","Pendiente"))))</f>
      </c>
      <c r="P25" s="19">
        <f>IF(OR($B25="",$J25&lt;&gt;"Sí",$N25&lt;=0),"",IF(TODAY()&gt;$L25,"🔴 VENCIDO hace "&amp;(TODAY()-$L25)&amp;" día(s)",IF($L25-TODAY()&lt;='Config'!$B$15,"🟠 Faltan "&amp;($L25-TODAY())&amp;" día(s) para pagar","🟢 Al día (paga el "&amp;TEXT($L25,"dd/mm")&amp;")")))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16">
        <f>IF($B26="","",'Config'!$B$11+'Config'!$B$12)</f>
      </c>
      <c r="H26" s="16">
        <f>IF($B26="","",$F26+$G26)</f>
      </c>
      <c r="I26" s="20"/>
      <c r="J26" s="20"/>
      <c r="K26" s="14">
        <f>IF(OR($B26="",$J26&lt;&gt;"Sí"),"",IF(DAY($A26)&lt;='Config'!$B$13,DATE(YEAR($A26),MONTH($A26),'Config'!$B$13),EOMONTH($A26,0)+'Config'!$B$13))</f>
      </c>
      <c r="L26" s="14">
        <f>IF($K26="","",DATE(YEAR(EOMONTH($K26,0)+1),MONTH(EOMONTH($K26,0)+1),'Config'!$B$14))</f>
      </c>
      <c r="M26" s="22"/>
      <c r="N26" s="16">
        <f>IF($B26="","",MAX($H26-$M26,0))</f>
      </c>
      <c r="O26" s="19">
        <f>IF($B26="","",IF($J26&lt;&gt;"Sí","Pagado (contado)",IF($N26&lt;=0,"Pagado",IF($M26&gt;0,"Abono parcial","Pendiente"))))</f>
      </c>
      <c r="P26" s="19">
        <f>IF(OR($B26="",$J26&lt;&gt;"Sí",$N26&lt;=0),"",IF(TODAY()&gt;$L26,"🔴 VENCIDO hace "&amp;(TODAY()-$L26)&amp;" día(s)",IF($L26-TODAY()&lt;='Config'!$B$15,"🟠 Faltan "&amp;($L26-TODAY())&amp;" día(s) para pagar","🟢 Al día (paga el "&amp;TEXT($L26,"dd/mm")&amp;")")))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16">
        <f>IF($B27="","",'Config'!$B$11+'Config'!$B$12)</f>
      </c>
      <c r="H27" s="16">
        <f>IF($B27="","",$F27+$G27)</f>
      </c>
      <c r="I27" s="20"/>
      <c r="J27" s="20"/>
      <c r="K27" s="14">
        <f>IF(OR($B27="",$J27&lt;&gt;"Sí"),"",IF(DAY($A27)&lt;='Config'!$B$13,DATE(YEAR($A27),MONTH($A27),'Config'!$B$13),EOMONTH($A27,0)+'Config'!$B$13))</f>
      </c>
      <c r="L27" s="14">
        <f>IF($K27="","",DATE(YEAR(EOMONTH($K27,0)+1),MONTH(EOMONTH($K27,0)+1),'Config'!$B$14))</f>
      </c>
      <c r="M27" s="22"/>
      <c r="N27" s="16">
        <f>IF($B27="","",MAX($H27-$M27,0))</f>
      </c>
      <c r="O27" s="19">
        <f>IF($B27="","",IF($J27&lt;&gt;"Sí","Pagado (contado)",IF($N27&lt;=0,"Pagado",IF($M27&gt;0,"Abono parcial","Pendiente"))))</f>
      </c>
      <c r="P27" s="19">
        <f>IF(OR($B27="",$J27&lt;&gt;"Sí",$N27&lt;=0),"",IF(TODAY()&gt;$L27,"🔴 VENCIDO hace "&amp;(TODAY()-$L27)&amp;" día(s)",IF($L27-TODAY()&lt;='Config'!$B$15,"🟠 Faltan "&amp;($L27-TODAY())&amp;" día(s) para pagar","🟢 Al día (paga el "&amp;TEXT($L27,"dd/mm")&amp;")")))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16">
        <f>IF($B28="","",'Config'!$B$11+'Config'!$B$12)</f>
      </c>
      <c r="H28" s="16">
        <f>IF($B28="","",$F28+$G28)</f>
      </c>
      <c r="I28" s="20"/>
      <c r="J28" s="20"/>
      <c r="K28" s="14">
        <f>IF(OR($B28="",$J28&lt;&gt;"Sí"),"",IF(DAY($A28)&lt;='Config'!$B$13,DATE(YEAR($A28),MONTH($A28),'Config'!$B$13),EOMONTH($A28,0)+'Config'!$B$13))</f>
      </c>
      <c r="L28" s="14">
        <f>IF($K28="","",DATE(YEAR(EOMONTH($K28,0)+1),MONTH(EOMONTH($K28,0)+1),'Config'!$B$14))</f>
      </c>
      <c r="M28" s="22"/>
      <c r="N28" s="16">
        <f>IF($B28="","",MAX($H28-$M28,0))</f>
      </c>
      <c r="O28" s="19">
        <f>IF($B28="","",IF($J28&lt;&gt;"Sí","Pagado (contado)",IF($N28&lt;=0,"Pagado",IF($M28&gt;0,"Abono parcial","Pendiente"))))</f>
      </c>
      <c r="P28" s="19">
        <f>IF(OR($B28="",$J28&lt;&gt;"Sí",$N28&lt;=0),"",IF(TODAY()&gt;$L28,"🔴 VENCIDO hace "&amp;(TODAY()-$L28)&amp;" día(s)",IF($L28-TODAY()&lt;='Config'!$B$15,"🟠 Faltan "&amp;($L28-TODAY())&amp;" día(s) para pagar","🟢 Al día (paga el "&amp;TEXT($L28,"dd/mm")&amp;")")))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16">
        <f>IF($B29="","",'Config'!$B$11+'Config'!$B$12)</f>
      </c>
      <c r="H29" s="16">
        <f>IF($B29="","",$F29+$G29)</f>
      </c>
      <c r="I29" s="20"/>
      <c r="J29" s="20"/>
      <c r="K29" s="14">
        <f>IF(OR($B29="",$J29&lt;&gt;"Sí"),"",IF(DAY($A29)&lt;='Config'!$B$13,DATE(YEAR($A29),MONTH($A29),'Config'!$B$13),EOMONTH($A29,0)+'Config'!$B$13))</f>
      </c>
      <c r="L29" s="14">
        <f>IF($K29="","",DATE(YEAR(EOMONTH($K29,0)+1),MONTH(EOMONTH($K29,0)+1),'Config'!$B$14))</f>
      </c>
      <c r="M29" s="22"/>
      <c r="N29" s="16">
        <f>IF($B29="","",MAX($H29-$M29,0))</f>
      </c>
      <c r="O29" s="19">
        <f>IF($B29="","",IF($J29&lt;&gt;"Sí","Pagado (contado)",IF($N29&lt;=0,"Pagado",IF($M29&gt;0,"Abono parcial","Pendiente"))))</f>
      </c>
      <c r="P29" s="19">
        <f>IF(OR($B29="",$J29&lt;&gt;"Sí",$N29&lt;=0),"",IF(TODAY()&gt;$L29,"🔴 VENCIDO hace "&amp;(TODAY()-$L29)&amp;" día(s)",IF($L29-TODAY()&lt;='Config'!$B$15,"🟠 Faltan "&amp;($L29-TODAY())&amp;" día(s) para pagar","🟢 Al día (paga el "&amp;TEXT($L29,"dd/mm")&amp;")")))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16">
        <f>IF($B30="","",'Config'!$B$11+'Config'!$B$12)</f>
      </c>
      <c r="H30" s="16">
        <f>IF($B30="","",$F30+$G30)</f>
      </c>
      <c r="I30" s="20"/>
      <c r="J30" s="20"/>
      <c r="K30" s="14">
        <f>IF(OR($B30="",$J30&lt;&gt;"Sí"),"",IF(DAY($A30)&lt;='Config'!$B$13,DATE(YEAR($A30),MONTH($A30),'Config'!$B$13),EOMONTH($A30,0)+'Config'!$B$13))</f>
      </c>
      <c r="L30" s="14">
        <f>IF($K30="","",DATE(YEAR(EOMONTH($K30,0)+1),MONTH(EOMONTH($K30,0)+1),'Config'!$B$14))</f>
      </c>
      <c r="M30" s="22"/>
      <c r="N30" s="16">
        <f>IF($B30="","",MAX($H30-$M30,0))</f>
      </c>
      <c r="O30" s="19">
        <f>IF($B30="","",IF($J30&lt;&gt;"Sí","Pagado (contado)",IF($N30&lt;=0,"Pagado",IF($M30&gt;0,"Abono parcial","Pendiente"))))</f>
      </c>
      <c r="P30" s="19">
        <f>IF(OR($B30="",$J30&lt;&gt;"Sí",$N30&lt;=0),"",IF(TODAY()&gt;$L30,"🔴 VENCIDO hace "&amp;(TODAY()-$L30)&amp;" día(s)",IF($L30-TODAY()&lt;='Config'!$B$15,"🟠 Faltan "&amp;($L30-TODAY())&amp;" día(s) para pagar","🟢 Al día (paga el "&amp;TEXT($L30,"dd/mm")&amp;")")))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16">
        <f>IF($B31="","",'Config'!$B$11+'Config'!$B$12)</f>
      </c>
      <c r="H31" s="16">
        <f>IF($B31="","",$F31+$G31)</f>
      </c>
      <c r="I31" s="20"/>
      <c r="J31" s="20"/>
      <c r="K31" s="14">
        <f>IF(OR($B31="",$J31&lt;&gt;"Sí"),"",IF(DAY($A31)&lt;='Config'!$B$13,DATE(YEAR($A31),MONTH($A31),'Config'!$B$13),EOMONTH($A31,0)+'Config'!$B$13))</f>
      </c>
      <c r="L31" s="14">
        <f>IF($K31="","",DATE(YEAR(EOMONTH($K31,0)+1),MONTH(EOMONTH($K31,0)+1),'Config'!$B$14))</f>
      </c>
      <c r="M31" s="22"/>
      <c r="N31" s="16">
        <f>IF($B31="","",MAX($H31-$M31,0))</f>
      </c>
      <c r="O31" s="19">
        <f>IF($B31="","",IF($J31&lt;&gt;"Sí","Pagado (contado)",IF($N31&lt;=0,"Pagado",IF($M31&gt;0,"Abono parcial","Pendiente"))))</f>
      </c>
      <c r="P31" s="19">
        <f>IF(OR($B31="",$J31&lt;&gt;"Sí",$N31&lt;=0),"",IF(TODAY()&gt;$L31,"🔴 VENCIDO hace "&amp;(TODAY()-$L31)&amp;" día(s)",IF($L31-TODAY()&lt;='Config'!$B$15,"🟠 Faltan "&amp;($L31-TODAY())&amp;" día(s) para pagar","🟢 Al día (paga el "&amp;TEXT($L31,"dd/mm")&amp;")")))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16">
        <f>IF($B32="","",'Config'!$B$11+'Config'!$B$12)</f>
      </c>
      <c r="H32" s="16">
        <f>IF($B32="","",$F32+$G32)</f>
      </c>
      <c r="I32" s="20"/>
      <c r="J32" s="20"/>
      <c r="K32" s="14">
        <f>IF(OR($B32="",$J32&lt;&gt;"Sí"),"",IF(DAY($A32)&lt;='Config'!$B$13,DATE(YEAR($A32),MONTH($A32),'Config'!$B$13),EOMONTH($A32,0)+'Config'!$B$13))</f>
      </c>
      <c r="L32" s="14">
        <f>IF($K32="","",DATE(YEAR(EOMONTH($K32,0)+1),MONTH(EOMONTH($K32,0)+1),'Config'!$B$14))</f>
      </c>
      <c r="M32" s="22"/>
      <c r="N32" s="16">
        <f>IF($B32="","",MAX($H32-$M32,0))</f>
      </c>
      <c r="O32" s="19">
        <f>IF($B32="","",IF($J32&lt;&gt;"Sí","Pagado (contado)",IF($N32&lt;=0,"Pagado",IF($M32&gt;0,"Abono parcial","Pendiente"))))</f>
      </c>
      <c r="P32" s="19">
        <f>IF(OR($B32="",$J32&lt;&gt;"Sí",$N32&lt;=0),"",IF(TODAY()&gt;$L32,"🔴 VENCIDO hace "&amp;(TODAY()-$L32)&amp;" día(s)",IF($L32-TODAY()&lt;='Config'!$B$15,"🟠 Faltan "&amp;($L32-TODAY())&amp;" día(s) para pagar","🟢 Al día (paga el "&amp;TEXT($L32,"dd/mm")&amp;")")))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16">
        <f>IF($B33="","",'Config'!$B$11+'Config'!$B$12)</f>
      </c>
      <c r="H33" s="16">
        <f>IF($B33="","",$F33+$G33)</f>
      </c>
      <c r="I33" s="20"/>
      <c r="J33" s="20"/>
      <c r="K33" s="14">
        <f>IF(OR($B33="",$J33&lt;&gt;"Sí"),"",IF(DAY($A33)&lt;='Config'!$B$13,DATE(YEAR($A33),MONTH($A33),'Config'!$B$13),EOMONTH($A33,0)+'Config'!$B$13))</f>
      </c>
      <c r="L33" s="14">
        <f>IF($K33="","",DATE(YEAR(EOMONTH($K33,0)+1),MONTH(EOMONTH($K33,0)+1),'Config'!$B$14))</f>
      </c>
      <c r="M33" s="22"/>
      <c r="N33" s="16">
        <f>IF($B33="","",MAX($H33-$M33,0))</f>
      </c>
      <c r="O33" s="19">
        <f>IF($B33="","",IF($J33&lt;&gt;"Sí","Pagado (contado)",IF($N33&lt;=0,"Pagado",IF($M33&gt;0,"Abono parcial","Pendiente"))))</f>
      </c>
      <c r="P33" s="19">
        <f>IF(OR($B33="",$J33&lt;&gt;"Sí",$N33&lt;=0),"",IF(TODAY()&gt;$L33,"🔴 VENCIDO hace "&amp;(TODAY()-$L33)&amp;" día(s)",IF($L33-TODAY()&lt;='Config'!$B$15,"🟠 Faltan "&amp;($L33-TODAY())&amp;" día(s) para pagar","🟢 Al día (paga el "&amp;TEXT($L33,"dd/mm")&amp;")")))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16">
        <f>IF($B34="","",'Config'!$B$11+'Config'!$B$12)</f>
      </c>
      <c r="H34" s="16">
        <f>IF($B34="","",$F34+$G34)</f>
      </c>
      <c r="I34" s="20"/>
      <c r="J34" s="20"/>
      <c r="K34" s="14">
        <f>IF(OR($B34="",$J34&lt;&gt;"Sí"),"",IF(DAY($A34)&lt;='Config'!$B$13,DATE(YEAR($A34),MONTH($A34),'Config'!$B$13),EOMONTH($A34,0)+'Config'!$B$13))</f>
      </c>
      <c r="L34" s="14">
        <f>IF($K34="","",DATE(YEAR(EOMONTH($K34,0)+1),MONTH(EOMONTH($K34,0)+1),'Config'!$B$14))</f>
      </c>
      <c r="M34" s="22"/>
      <c r="N34" s="16">
        <f>IF($B34="","",MAX($H34-$M34,0))</f>
      </c>
      <c r="O34" s="19">
        <f>IF($B34="","",IF($J34&lt;&gt;"Sí","Pagado (contado)",IF($N34&lt;=0,"Pagado",IF($M34&gt;0,"Abono parcial","Pendiente"))))</f>
      </c>
      <c r="P34" s="19">
        <f>IF(OR($B34="",$J34&lt;&gt;"Sí",$N34&lt;=0),"",IF(TODAY()&gt;$L34,"🔴 VENCIDO hace "&amp;(TODAY()-$L34)&amp;" día(s)",IF($L34-TODAY()&lt;='Config'!$B$15,"🟠 Faltan "&amp;($L34-TODAY())&amp;" día(s) para pagar","🟢 Al día (paga el "&amp;TEXT($L34,"dd/mm")&amp;")")))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16">
        <f>IF($B35="","",'Config'!$B$11+'Config'!$B$12)</f>
      </c>
      <c r="H35" s="16">
        <f>IF($B35="","",$F35+$G35)</f>
      </c>
      <c r="I35" s="20"/>
      <c r="J35" s="20"/>
      <c r="K35" s="14">
        <f>IF(OR($B35="",$J35&lt;&gt;"Sí"),"",IF(DAY($A35)&lt;='Config'!$B$13,DATE(YEAR($A35),MONTH($A35),'Config'!$B$13),EOMONTH($A35,0)+'Config'!$B$13))</f>
      </c>
      <c r="L35" s="14">
        <f>IF($K35="","",DATE(YEAR(EOMONTH($K35,0)+1),MONTH(EOMONTH($K35,0)+1),'Config'!$B$14))</f>
      </c>
      <c r="M35" s="22"/>
      <c r="N35" s="16">
        <f>IF($B35="","",MAX($H35-$M35,0))</f>
      </c>
      <c r="O35" s="19">
        <f>IF($B35="","",IF($J35&lt;&gt;"Sí","Pagado (contado)",IF($N35&lt;=0,"Pagado",IF($M35&gt;0,"Abono parcial","Pendiente"))))</f>
      </c>
      <c r="P35" s="19">
        <f>IF(OR($B35="",$J35&lt;&gt;"Sí",$N35&lt;=0),"",IF(TODAY()&gt;$L35,"🔴 VENCIDO hace "&amp;(TODAY()-$L35)&amp;" día(s)",IF($L35-TODAY()&lt;='Config'!$B$15,"🟠 Faltan "&amp;($L35-TODAY())&amp;" día(s) para pagar","🟢 Al día (paga el "&amp;TEXT($L35,"dd/mm")&amp;")")))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16">
        <f>IF($B36="","",'Config'!$B$11+'Config'!$B$12)</f>
      </c>
      <c r="H36" s="16">
        <f>IF($B36="","",$F36+$G36)</f>
      </c>
      <c r="I36" s="20"/>
      <c r="J36" s="20"/>
      <c r="K36" s="14">
        <f>IF(OR($B36="",$J36&lt;&gt;"Sí"),"",IF(DAY($A36)&lt;='Config'!$B$13,DATE(YEAR($A36),MONTH($A36),'Config'!$B$13),EOMONTH($A36,0)+'Config'!$B$13))</f>
      </c>
      <c r="L36" s="14">
        <f>IF($K36="","",DATE(YEAR(EOMONTH($K36,0)+1),MONTH(EOMONTH($K36,0)+1),'Config'!$B$14))</f>
      </c>
      <c r="M36" s="22"/>
      <c r="N36" s="16">
        <f>IF($B36="","",MAX($H36-$M36,0))</f>
      </c>
      <c r="O36" s="19">
        <f>IF($B36="","",IF($J36&lt;&gt;"Sí","Pagado (contado)",IF($N36&lt;=0,"Pagado",IF($M36&gt;0,"Abono parcial","Pendiente"))))</f>
      </c>
      <c r="P36" s="19">
        <f>IF(OR($B36="",$J36&lt;&gt;"Sí",$N36&lt;=0),"",IF(TODAY()&gt;$L36,"🔴 VENCIDO hace "&amp;(TODAY()-$L36)&amp;" día(s)",IF($L36-TODAY()&lt;='Config'!$B$15,"🟠 Faltan "&amp;($L36-TODAY())&amp;" día(s) para pagar","🟢 Al día (paga el "&amp;TEXT($L36,"dd/mm")&amp;")")))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16">
        <f>IF($B37="","",'Config'!$B$11+'Config'!$B$12)</f>
      </c>
      <c r="H37" s="16">
        <f>IF($B37="","",$F37+$G37)</f>
      </c>
      <c r="I37" s="20"/>
      <c r="J37" s="20"/>
      <c r="K37" s="14">
        <f>IF(OR($B37="",$J37&lt;&gt;"Sí"),"",IF(DAY($A37)&lt;='Config'!$B$13,DATE(YEAR($A37),MONTH($A37),'Config'!$B$13),EOMONTH($A37,0)+'Config'!$B$13))</f>
      </c>
      <c r="L37" s="14">
        <f>IF($K37="","",DATE(YEAR(EOMONTH($K37,0)+1),MONTH(EOMONTH($K37,0)+1),'Config'!$B$14))</f>
      </c>
      <c r="M37" s="22"/>
      <c r="N37" s="16">
        <f>IF($B37="","",MAX($H37-$M37,0))</f>
      </c>
      <c r="O37" s="19">
        <f>IF($B37="","",IF($J37&lt;&gt;"Sí","Pagado (contado)",IF($N37&lt;=0,"Pagado",IF($M37&gt;0,"Abono parcial","Pendiente"))))</f>
      </c>
      <c r="P37" s="19">
        <f>IF(OR($B37="",$J37&lt;&gt;"Sí",$N37&lt;=0),"",IF(TODAY()&gt;$L37,"🔴 VENCIDO hace "&amp;(TODAY()-$L37)&amp;" día(s)",IF($L37-TODAY()&lt;='Config'!$B$15,"🟠 Faltan "&amp;($L37-TODAY())&amp;" día(s) para pagar","🟢 Al día (paga el "&amp;TEXT($L37,"dd/mm")&amp;")")))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16">
        <f>IF($B38="","",'Config'!$B$11+'Config'!$B$12)</f>
      </c>
      <c r="H38" s="16">
        <f>IF($B38="","",$F38+$G38)</f>
      </c>
      <c r="I38" s="20"/>
      <c r="J38" s="20"/>
      <c r="K38" s="14">
        <f>IF(OR($B38="",$J38&lt;&gt;"Sí"),"",IF(DAY($A38)&lt;='Config'!$B$13,DATE(YEAR($A38),MONTH($A38),'Config'!$B$13),EOMONTH($A38,0)+'Config'!$B$13))</f>
      </c>
      <c r="L38" s="14">
        <f>IF($K38="","",DATE(YEAR(EOMONTH($K38,0)+1),MONTH(EOMONTH($K38,0)+1),'Config'!$B$14))</f>
      </c>
      <c r="M38" s="22"/>
      <c r="N38" s="16">
        <f>IF($B38="","",MAX($H38-$M38,0))</f>
      </c>
      <c r="O38" s="19">
        <f>IF($B38="","",IF($J38&lt;&gt;"Sí","Pagado (contado)",IF($N38&lt;=0,"Pagado",IF($M38&gt;0,"Abono parcial","Pendiente"))))</f>
      </c>
      <c r="P38" s="19">
        <f>IF(OR($B38="",$J38&lt;&gt;"Sí",$N38&lt;=0),"",IF(TODAY()&gt;$L38,"🔴 VENCIDO hace "&amp;(TODAY()-$L38)&amp;" día(s)",IF($L38-TODAY()&lt;='Config'!$B$15,"🟠 Faltan "&amp;($L38-TODAY())&amp;" día(s) para pagar","🟢 Al día (paga el "&amp;TEXT($L38,"dd/mm")&amp;")")))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16">
        <f>IF($B39="","",'Config'!$B$11+'Config'!$B$12)</f>
      </c>
      <c r="H39" s="16">
        <f>IF($B39="","",$F39+$G39)</f>
      </c>
      <c r="I39" s="20"/>
      <c r="J39" s="20"/>
      <c r="K39" s="14">
        <f>IF(OR($B39="",$J39&lt;&gt;"Sí"),"",IF(DAY($A39)&lt;='Config'!$B$13,DATE(YEAR($A39),MONTH($A39),'Config'!$B$13),EOMONTH($A39,0)+'Config'!$B$13))</f>
      </c>
      <c r="L39" s="14">
        <f>IF($K39="","",DATE(YEAR(EOMONTH($K39,0)+1),MONTH(EOMONTH($K39,0)+1),'Config'!$B$14))</f>
      </c>
      <c r="M39" s="22"/>
      <c r="N39" s="16">
        <f>IF($B39="","",MAX($H39-$M39,0))</f>
      </c>
      <c r="O39" s="19">
        <f>IF($B39="","",IF($J39&lt;&gt;"Sí","Pagado (contado)",IF($N39&lt;=0,"Pagado",IF($M39&gt;0,"Abono parcial","Pendiente"))))</f>
      </c>
      <c r="P39" s="19">
        <f>IF(OR($B39="",$J39&lt;&gt;"Sí",$N39&lt;=0),"",IF(TODAY()&gt;$L39,"🔴 VENCIDO hace "&amp;(TODAY()-$L39)&amp;" día(s)",IF($L39-TODAY()&lt;='Config'!$B$15,"🟠 Faltan "&amp;($L39-TODAY())&amp;" día(s) para pagar","🟢 Al día (paga el "&amp;TEXT($L39,"dd/mm")&amp;")")))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16">
        <f>IF($B40="","",'Config'!$B$11+'Config'!$B$12)</f>
      </c>
      <c r="H40" s="16">
        <f>IF($B40="","",$F40+$G40)</f>
      </c>
      <c r="I40" s="20"/>
      <c r="J40" s="20"/>
      <c r="K40" s="14">
        <f>IF(OR($B40="",$J40&lt;&gt;"Sí"),"",IF(DAY($A40)&lt;='Config'!$B$13,DATE(YEAR($A40),MONTH($A40),'Config'!$B$13),EOMONTH($A40,0)+'Config'!$B$13))</f>
      </c>
      <c r="L40" s="14">
        <f>IF($K40="","",DATE(YEAR(EOMONTH($K40,0)+1),MONTH(EOMONTH($K40,0)+1),'Config'!$B$14))</f>
      </c>
      <c r="M40" s="22"/>
      <c r="N40" s="16">
        <f>IF($B40="","",MAX($H40-$M40,0))</f>
      </c>
      <c r="O40" s="19">
        <f>IF($B40="","",IF($J40&lt;&gt;"Sí","Pagado (contado)",IF($N40&lt;=0,"Pagado",IF($M40&gt;0,"Abono parcial","Pendiente"))))</f>
      </c>
      <c r="P40" s="19">
        <f>IF(OR($B40="",$J40&lt;&gt;"Sí",$N40&lt;=0),"",IF(TODAY()&gt;$L40,"🔴 VENCIDO hace "&amp;(TODAY()-$L40)&amp;" día(s)",IF($L40-TODAY()&lt;='Config'!$B$15,"🟠 Faltan "&amp;($L40-TODAY())&amp;" día(s) para pagar","🟢 Al día (paga el "&amp;TEXT($L40,"dd/mm")&amp;")")))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16">
        <f>IF($B41="","",'Config'!$B$11+'Config'!$B$12)</f>
      </c>
      <c r="H41" s="16">
        <f>IF($B41="","",$F41+$G41)</f>
      </c>
      <c r="I41" s="20"/>
      <c r="J41" s="20"/>
      <c r="K41" s="14">
        <f>IF(OR($B41="",$J41&lt;&gt;"Sí"),"",IF(DAY($A41)&lt;='Config'!$B$13,DATE(YEAR($A41),MONTH($A41),'Config'!$B$13),EOMONTH($A41,0)+'Config'!$B$13))</f>
      </c>
      <c r="L41" s="14">
        <f>IF($K41="","",DATE(YEAR(EOMONTH($K41,0)+1),MONTH(EOMONTH($K41,0)+1),'Config'!$B$14))</f>
      </c>
      <c r="M41" s="22"/>
      <c r="N41" s="16">
        <f>IF($B41="","",MAX($H41-$M41,0))</f>
      </c>
      <c r="O41" s="19">
        <f>IF($B41="","",IF($J41&lt;&gt;"Sí","Pagado (contado)",IF($N41&lt;=0,"Pagado",IF($M41&gt;0,"Abono parcial","Pendiente"))))</f>
      </c>
      <c r="P41" s="19">
        <f>IF(OR($B41="",$J41&lt;&gt;"Sí",$N41&lt;=0),"",IF(TODAY()&gt;$L41,"🔴 VENCIDO hace "&amp;(TODAY()-$L41)&amp;" día(s)",IF($L41-TODAY()&lt;='Config'!$B$15,"🟠 Faltan "&amp;($L41-TODAY())&amp;" día(s) para pagar","🟢 Al día (paga el "&amp;TEXT($L41,"dd/mm")&amp;")")))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16">
        <f>IF($B42="","",'Config'!$B$11+'Config'!$B$12)</f>
      </c>
      <c r="H42" s="16">
        <f>IF($B42="","",$F42+$G42)</f>
      </c>
      <c r="I42" s="20"/>
      <c r="J42" s="20"/>
      <c r="K42" s="14">
        <f>IF(OR($B42="",$J42&lt;&gt;"Sí"),"",IF(DAY($A42)&lt;='Config'!$B$13,DATE(YEAR($A42),MONTH($A42),'Config'!$B$13),EOMONTH($A42,0)+'Config'!$B$13))</f>
      </c>
      <c r="L42" s="14">
        <f>IF($K42="","",DATE(YEAR(EOMONTH($K42,0)+1),MONTH(EOMONTH($K42,0)+1),'Config'!$B$14))</f>
      </c>
      <c r="M42" s="22"/>
      <c r="N42" s="16">
        <f>IF($B42="","",MAX($H42-$M42,0))</f>
      </c>
      <c r="O42" s="19">
        <f>IF($B42="","",IF($J42&lt;&gt;"Sí","Pagado (contado)",IF($N42&lt;=0,"Pagado",IF($M42&gt;0,"Abono parcial","Pendiente"))))</f>
      </c>
      <c r="P42" s="19">
        <f>IF(OR($B42="",$J42&lt;&gt;"Sí",$N42&lt;=0),"",IF(TODAY()&gt;$L42,"🔴 VENCIDO hace "&amp;(TODAY()-$L42)&amp;" día(s)",IF($L42-TODAY()&lt;='Config'!$B$15,"🟠 Faltan "&amp;($L42-TODAY())&amp;" día(s) para pagar","🟢 Al día (paga el "&amp;TEXT($L42,"dd/mm")&amp;")")))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16">
        <f>IF($B43="","",'Config'!$B$11+'Config'!$B$12)</f>
      </c>
      <c r="H43" s="16">
        <f>IF($B43="","",$F43+$G43)</f>
      </c>
      <c r="I43" s="20"/>
      <c r="J43" s="20"/>
      <c r="K43" s="14">
        <f>IF(OR($B43="",$J43&lt;&gt;"Sí"),"",IF(DAY($A43)&lt;='Config'!$B$13,DATE(YEAR($A43),MONTH($A43),'Config'!$B$13),EOMONTH($A43,0)+'Config'!$B$13))</f>
      </c>
      <c r="L43" s="14">
        <f>IF($K43="","",DATE(YEAR(EOMONTH($K43,0)+1),MONTH(EOMONTH($K43,0)+1),'Config'!$B$14))</f>
      </c>
      <c r="M43" s="22"/>
      <c r="N43" s="16">
        <f>IF($B43="","",MAX($H43-$M43,0))</f>
      </c>
      <c r="O43" s="19">
        <f>IF($B43="","",IF($J43&lt;&gt;"Sí","Pagado (contado)",IF($N43&lt;=0,"Pagado",IF($M43&gt;0,"Abono parcial","Pendiente"))))</f>
      </c>
      <c r="P43" s="19">
        <f>IF(OR($B43="",$J43&lt;&gt;"Sí",$N43&lt;=0),"",IF(TODAY()&gt;$L43,"🔴 VENCIDO hace "&amp;(TODAY()-$L43)&amp;" día(s)",IF($L43-TODAY()&lt;='Config'!$B$15,"🟠 Faltan "&amp;($L43-TODAY())&amp;" día(s) para pagar","🟢 Al día (paga el "&amp;TEXT($L43,"dd/mm")&amp;")")))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16">
        <f>IF($B44="","",'Config'!$B$11+'Config'!$B$12)</f>
      </c>
      <c r="H44" s="16">
        <f>IF($B44="","",$F44+$G44)</f>
      </c>
      <c r="I44" s="20"/>
      <c r="J44" s="20"/>
      <c r="K44" s="14">
        <f>IF(OR($B44="",$J44&lt;&gt;"Sí"),"",IF(DAY($A44)&lt;='Config'!$B$13,DATE(YEAR($A44),MONTH($A44),'Config'!$B$13),EOMONTH($A44,0)+'Config'!$B$13))</f>
      </c>
      <c r="L44" s="14">
        <f>IF($K44="","",DATE(YEAR(EOMONTH($K44,0)+1),MONTH(EOMONTH($K44,0)+1),'Config'!$B$14))</f>
      </c>
      <c r="M44" s="22"/>
      <c r="N44" s="16">
        <f>IF($B44="","",MAX($H44-$M44,0))</f>
      </c>
      <c r="O44" s="19">
        <f>IF($B44="","",IF($J44&lt;&gt;"Sí","Pagado (contado)",IF($N44&lt;=0,"Pagado",IF($M44&gt;0,"Abono parcial","Pendiente"))))</f>
      </c>
      <c r="P44" s="19">
        <f>IF(OR($B44="",$J44&lt;&gt;"Sí",$N44&lt;=0),"",IF(TODAY()&gt;$L44,"🔴 VENCIDO hace "&amp;(TODAY()-$L44)&amp;" día(s)",IF($L44-TODAY()&lt;='Config'!$B$15,"🟠 Faltan "&amp;($L44-TODAY())&amp;" día(s) para pagar","🟢 Al día (paga el "&amp;TEXT($L44,"dd/mm")&amp;")")))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16">
        <f>IF($B45="","",'Config'!$B$11+'Config'!$B$12)</f>
      </c>
      <c r="H45" s="16">
        <f>IF($B45="","",$F45+$G45)</f>
      </c>
      <c r="I45" s="20"/>
      <c r="J45" s="20"/>
      <c r="K45" s="14">
        <f>IF(OR($B45="",$J45&lt;&gt;"Sí"),"",IF(DAY($A45)&lt;='Config'!$B$13,DATE(YEAR($A45),MONTH($A45),'Config'!$B$13),EOMONTH($A45,0)+'Config'!$B$13))</f>
      </c>
      <c r="L45" s="14">
        <f>IF($K45="","",DATE(YEAR(EOMONTH($K45,0)+1),MONTH(EOMONTH($K45,0)+1),'Config'!$B$14))</f>
      </c>
      <c r="M45" s="22"/>
      <c r="N45" s="16">
        <f>IF($B45="","",MAX($H45-$M45,0))</f>
      </c>
      <c r="O45" s="19">
        <f>IF($B45="","",IF($J45&lt;&gt;"Sí","Pagado (contado)",IF($N45&lt;=0,"Pagado",IF($M45&gt;0,"Abono parcial","Pendiente"))))</f>
      </c>
      <c r="P45" s="19">
        <f>IF(OR($B45="",$J45&lt;&gt;"Sí",$N45&lt;=0),"",IF(TODAY()&gt;$L45,"🔴 VENCIDO hace "&amp;(TODAY()-$L45)&amp;" día(s)",IF($L45-TODAY()&lt;='Config'!$B$15,"🟠 Faltan "&amp;($L45-TODAY())&amp;" día(s) para pagar","🟢 Al día (paga el "&amp;TEXT($L45,"dd/mm")&amp;")")))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16">
        <f>IF($B46="","",'Config'!$B$11+'Config'!$B$12)</f>
      </c>
      <c r="H46" s="16">
        <f>IF($B46="","",$F46+$G46)</f>
      </c>
      <c r="I46" s="20"/>
      <c r="J46" s="20"/>
      <c r="K46" s="14">
        <f>IF(OR($B46="",$J46&lt;&gt;"Sí"),"",IF(DAY($A46)&lt;='Config'!$B$13,DATE(YEAR($A46),MONTH($A46),'Config'!$B$13),EOMONTH($A46,0)+'Config'!$B$13))</f>
      </c>
      <c r="L46" s="14">
        <f>IF($K46="","",DATE(YEAR(EOMONTH($K46,0)+1),MONTH(EOMONTH($K46,0)+1),'Config'!$B$14))</f>
      </c>
      <c r="M46" s="22"/>
      <c r="N46" s="16">
        <f>IF($B46="","",MAX($H46-$M46,0))</f>
      </c>
      <c r="O46" s="19">
        <f>IF($B46="","",IF($J46&lt;&gt;"Sí","Pagado (contado)",IF($N46&lt;=0,"Pagado",IF($M46&gt;0,"Abono parcial","Pendiente"))))</f>
      </c>
      <c r="P46" s="19">
        <f>IF(OR($B46="",$J46&lt;&gt;"Sí",$N46&lt;=0),"",IF(TODAY()&gt;$L46,"🔴 VENCIDO hace "&amp;(TODAY()-$L46)&amp;" día(s)",IF($L46-TODAY()&lt;='Config'!$B$15,"🟠 Faltan "&amp;($L46-TODAY())&amp;" día(s) para pagar","🟢 Al día (paga el "&amp;TEXT($L46,"dd/mm")&amp;")")))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16">
        <f>IF($B47="","",'Config'!$B$11+'Config'!$B$12)</f>
      </c>
      <c r="H47" s="16">
        <f>IF($B47="","",$F47+$G47)</f>
      </c>
      <c r="I47" s="20"/>
      <c r="J47" s="20"/>
      <c r="K47" s="14">
        <f>IF(OR($B47="",$J47&lt;&gt;"Sí"),"",IF(DAY($A47)&lt;='Config'!$B$13,DATE(YEAR($A47),MONTH($A47),'Config'!$B$13),EOMONTH($A47,0)+'Config'!$B$13))</f>
      </c>
      <c r="L47" s="14">
        <f>IF($K47="","",DATE(YEAR(EOMONTH($K47,0)+1),MONTH(EOMONTH($K47,0)+1),'Config'!$B$14))</f>
      </c>
      <c r="M47" s="22"/>
      <c r="N47" s="16">
        <f>IF($B47="","",MAX($H47-$M47,0))</f>
      </c>
      <c r="O47" s="19">
        <f>IF($B47="","",IF($J47&lt;&gt;"Sí","Pagado (contado)",IF($N47&lt;=0,"Pagado",IF($M47&gt;0,"Abono parcial","Pendiente"))))</f>
      </c>
      <c r="P47" s="19">
        <f>IF(OR($B47="",$J47&lt;&gt;"Sí",$N47&lt;=0),"",IF(TODAY()&gt;$L47,"🔴 VENCIDO hace "&amp;(TODAY()-$L47)&amp;" día(s)",IF($L47-TODAY()&lt;='Config'!$B$15,"🟠 Faltan "&amp;($L47-TODAY())&amp;" día(s) para pagar","🟢 Al día (paga el "&amp;TEXT($L47,"dd/mm")&amp;")")))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16">
        <f>IF($B48="","",'Config'!$B$11+'Config'!$B$12)</f>
      </c>
      <c r="H48" s="16">
        <f>IF($B48="","",$F48+$G48)</f>
      </c>
      <c r="I48" s="20"/>
      <c r="J48" s="20"/>
      <c r="K48" s="14">
        <f>IF(OR($B48="",$J48&lt;&gt;"Sí"),"",IF(DAY($A48)&lt;='Config'!$B$13,DATE(YEAR($A48),MONTH($A48),'Config'!$B$13),EOMONTH($A48,0)+'Config'!$B$13))</f>
      </c>
      <c r="L48" s="14">
        <f>IF($K48="","",DATE(YEAR(EOMONTH($K48,0)+1),MONTH(EOMONTH($K48,0)+1),'Config'!$B$14))</f>
      </c>
      <c r="M48" s="22"/>
      <c r="N48" s="16">
        <f>IF($B48="","",MAX($H48-$M48,0))</f>
      </c>
      <c r="O48" s="19">
        <f>IF($B48="","",IF($J48&lt;&gt;"Sí","Pagado (contado)",IF($N48&lt;=0,"Pagado",IF($M48&gt;0,"Abono parcial","Pendiente"))))</f>
      </c>
      <c r="P48" s="19">
        <f>IF(OR($B48="",$J48&lt;&gt;"Sí",$N48&lt;=0),"",IF(TODAY()&gt;$L48,"🔴 VENCIDO hace "&amp;(TODAY()-$L48)&amp;" día(s)",IF($L48-TODAY()&lt;='Config'!$B$15,"🟠 Faltan "&amp;($L48-TODAY())&amp;" día(s) para pagar","🟢 Al día (paga el "&amp;TEXT($L48,"dd/mm")&amp;")")))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16">
        <f>IF($B49="","",'Config'!$B$11+'Config'!$B$12)</f>
      </c>
      <c r="H49" s="16">
        <f>IF($B49="","",$F49+$G49)</f>
      </c>
      <c r="I49" s="20"/>
      <c r="J49" s="20"/>
      <c r="K49" s="14">
        <f>IF(OR($B49="",$J49&lt;&gt;"Sí"),"",IF(DAY($A49)&lt;='Config'!$B$13,DATE(YEAR($A49),MONTH($A49),'Config'!$B$13),EOMONTH($A49,0)+'Config'!$B$13))</f>
      </c>
      <c r="L49" s="14">
        <f>IF($K49="","",DATE(YEAR(EOMONTH($K49,0)+1),MONTH(EOMONTH($K49,0)+1),'Config'!$B$14))</f>
      </c>
      <c r="M49" s="22"/>
      <c r="N49" s="16">
        <f>IF($B49="","",MAX($H49-$M49,0))</f>
      </c>
      <c r="O49" s="19">
        <f>IF($B49="","",IF($J49&lt;&gt;"Sí","Pagado (contado)",IF($N49&lt;=0,"Pagado",IF($M49&gt;0,"Abono parcial","Pendiente"))))</f>
      </c>
      <c r="P49" s="19">
        <f>IF(OR($B49="",$J49&lt;&gt;"Sí",$N49&lt;=0),"",IF(TODAY()&gt;$L49,"🔴 VENCIDO hace "&amp;(TODAY()-$L49)&amp;" día(s)",IF($L49-TODAY()&lt;='Config'!$B$15,"🟠 Faltan "&amp;($L49-TODAY())&amp;" día(s) para pagar","🟢 Al día (paga el "&amp;TEXT($L49,"dd/mm")&amp;")")))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16">
        <f>IF($B50="","",'Config'!$B$11+'Config'!$B$12)</f>
      </c>
      <c r="H50" s="16">
        <f>IF($B50="","",$F50+$G50)</f>
      </c>
      <c r="I50" s="20"/>
      <c r="J50" s="20"/>
      <c r="K50" s="14">
        <f>IF(OR($B50="",$J50&lt;&gt;"Sí"),"",IF(DAY($A50)&lt;='Config'!$B$13,DATE(YEAR($A50),MONTH($A50),'Config'!$B$13),EOMONTH($A50,0)+'Config'!$B$13))</f>
      </c>
      <c r="L50" s="14">
        <f>IF($K50="","",DATE(YEAR(EOMONTH($K50,0)+1),MONTH(EOMONTH($K50,0)+1),'Config'!$B$14))</f>
      </c>
      <c r="M50" s="22"/>
      <c r="N50" s="16">
        <f>IF($B50="","",MAX($H50-$M50,0))</f>
      </c>
      <c r="O50" s="19">
        <f>IF($B50="","",IF($J50&lt;&gt;"Sí","Pagado (contado)",IF($N50&lt;=0,"Pagado",IF($M50&gt;0,"Abono parcial","Pendiente"))))</f>
      </c>
      <c r="P50" s="19">
        <f>IF(OR($B50="",$J50&lt;&gt;"Sí",$N50&lt;=0),"",IF(TODAY()&gt;$L50,"🔴 VENCIDO hace "&amp;(TODAY()-$L50)&amp;" día(s)",IF($L50-TODAY()&lt;='Config'!$B$15,"🟠 Faltan "&amp;($L50-TODAY())&amp;" día(s) para pagar","🟢 Al día (paga el "&amp;TEXT($L50,"dd/mm")&amp;")")))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16">
        <f>IF($B51="","",'Config'!$B$11+'Config'!$B$12)</f>
      </c>
      <c r="H51" s="16">
        <f>IF($B51="","",$F51+$G51)</f>
      </c>
      <c r="I51" s="20"/>
      <c r="J51" s="20"/>
      <c r="K51" s="14">
        <f>IF(OR($B51="",$J51&lt;&gt;"Sí"),"",IF(DAY($A51)&lt;='Config'!$B$13,DATE(YEAR($A51),MONTH($A51),'Config'!$B$13),EOMONTH($A51,0)+'Config'!$B$13))</f>
      </c>
      <c r="L51" s="14">
        <f>IF($K51="","",DATE(YEAR(EOMONTH($K51,0)+1),MONTH(EOMONTH($K51,0)+1),'Config'!$B$14))</f>
      </c>
      <c r="M51" s="22"/>
      <c r="N51" s="16">
        <f>IF($B51="","",MAX($H51-$M51,0))</f>
      </c>
      <c r="O51" s="19">
        <f>IF($B51="","",IF($J51&lt;&gt;"Sí","Pagado (contado)",IF($N51&lt;=0,"Pagado",IF($M51&gt;0,"Abono parcial","Pendiente"))))</f>
      </c>
      <c r="P51" s="19">
        <f>IF(OR($B51="",$J51&lt;&gt;"Sí",$N51&lt;=0),"",IF(TODAY()&gt;$L51,"🔴 VENCIDO hace "&amp;(TODAY()-$L51)&amp;" día(s)",IF($L51-TODAY()&lt;='Config'!$B$15,"🟠 Faltan "&amp;($L51-TODAY())&amp;" día(s) para pagar","🟢 Al día (paga el "&amp;TEXT($L51,"dd/mm")&amp;")")))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16">
        <f>IF($B52="","",'Config'!$B$11+'Config'!$B$12)</f>
      </c>
      <c r="H52" s="16">
        <f>IF($B52="","",$F52+$G52)</f>
      </c>
      <c r="I52" s="20"/>
      <c r="J52" s="20"/>
      <c r="K52" s="14">
        <f>IF(OR($B52="",$J52&lt;&gt;"Sí"),"",IF(DAY($A52)&lt;='Config'!$B$13,DATE(YEAR($A52),MONTH($A52),'Config'!$B$13),EOMONTH($A52,0)+'Config'!$B$13))</f>
      </c>
      <c r="L52" s="14">
        <f>IF($K52="","",DATE(YEAR(EOMONTH($K52,0)+1),MONTH(EOMONTH($K52,0)+1),'Config'!$B$14))</f>
      </c>
      <c r="M52" s="22"/>
      <c r="N52" s="16">
        <f>IF($B52="","",MAX($H52-$M52,0))</f>
      </c>
      <c r="O52" s="19">
        <f>IF($B52="","",IF($J52&lt;&gt;"Sí","Pagado (contado)",IF($N52&lt;=0,"Pagado",IF($M52&gt;0,"Abono parcial","Pendiente"))))</f>
      </c>
      <c r="P52" s="19">
        <f>IF(OR($B52="",$J52&lt;&gt;"Sí",$N52&lt;=0),"",IF(TODAY()&gt;$L52,"🔴 VENCIDO hace "&amp;(TODAY()-$L52)&amp;" día(s)",IF($L52-TODAY()&lt;='Config'!$B$15,"🟠 Faltan "&amp;($L52-TODAY())&amp;" día(s) para pagar","🟢 Al día (paga el "&amp;TEXT($L52,"dd/mm")&amp;")")))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16">
        <f>IF($B53="","",'Config'!$B$11+'Config'!$B$12)</f>
      </c>
      <c r="H53" s="16">
        <f>IF($B53="","",$F53+$G53)</f>
      </c>
      <c r="I53" s="20"/>
      <c r="J53" s="20"/>
      <c r="K53" s="14">
        <f>IF(OR($B53="",$J53&lt;&gt;"Sí"),"",IF(DAY($A53)&lt;='Config'!$B$13,DATE(YEAR($A53),MONTH($A53),'Config'!$B$13),EOMONTH($A53,0)+'Config'!$B$13))</f>
      </c>
      <c r="L53" s="14">
        <f>IF($K53="","",DATE(YEAR(EOMONTH($K53,0)+1),MONTH(EOMONTH($K53,0)+1),'Config'!$B$14))</f>
      </c>
      <c r="M53" s="22"/>
      <c r="N53" s="16">
        <f>IF($B53="","",MAX($H53-$M53,0))</f>
      </c>
      <c r="O53" s="19">
        <f>IF($B53="","",IF($J53&lt;&gt;"Sí","Pagado (contado)",IF($N53&lt;=0,"Pagado",IF($M53&gt;0,"Abono parcial","Pendiente"))))</f>
      </c>
      <c r="P53" s="19">
        <f>IF(OR($B53="",$J53&lt;&gt;"Sí",$N53&lt;=0),"",IF(TODAY()&gt;$L53,"🔴 VENCIDO hace "&amp;(TODAY()-$L53)&amp;" día(s)",IF($L53-TODAY()&lt;='Config'!$B$15,"🟠 Faltan "&amp;($L53-TODAY())&amp;" día(s) para pagar","🟢 Al día (paga el "&amp;TEXT($L53,"dd/mm")&amp;")")))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16">
        <f>IF($B54="","",'Config'!$B$11+'Config'!$B$12)</f>
      </c>
      <c r="H54" s="16">
        <f>IF($B54="","",$F54+$G54)</f>
      </c>
      <c r="I54" s="20"/>
      <c r="J54" s="20"/>
      <c r="K54" s="14">
        <f>IF(OR($B54="",$J54&lt;&gt;"Sí"),"",IF(DAY($A54)&lt;='Config'!$B$13,DATE(YEAR($A54),MONTH($A54),'Config'!$B$13),EOMONTH($A54,0)+'Config'!$B$13))</f>
      </c>
      <c r="L54" s="14">
        <f>IF($K54="","",DATE(YEAR(EOMONTH($K54,0)+1),MONTH(EOMONTH($K54,0)+1),'Config'!$B$14))</f>
      </c>
      <c r="M54" s="22"/>
      <c r="N54" s="16">
        <f>IF($B54="","",MAX($H54-$M54,0))</f>
      </c>
      <c r="O54" s="19">
        <f>IF($B54="","",IF($J54&lt;&gt;"Sí","Pagado (contado)",IF($N54&lt;=0,"Pagado",IF($M54&gt;0,"Abono parcial","Pendiente"))))</f>
      </c>
      <c r="P54" s="19">
        <f>IF(OR($B54="",$J54&lt;&gt;"Sí",$N54&lt;=0),"",IF(TODAY()&gt;$L54,"🔴 VENCIDO hace "&amp;(TODAY()-$L54)&amp;" día(s)",IF($L54-TODAY()&lt;='Config'!$B$15,"🟠 Faltan "&amp;($L54-TODAY())&amp;" día(s) para pagar","🟢 Al día (paga el "&amp;TEXT($L54,"dd/mm")&amp;")")))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16">
        <f>IF($B55="","",'Config'!$B$11+'Config'!$B$12)</f>
      </c>
      <c r="H55" s="16">
        <f>IF($B55="","",$F55+$G55)</f>
      </c>
      <c r="I55" s="20"/>
      <c r="J55" s="20"/>
      <c r="K55" s="14">
        <f>IF(OR($B55="",$J55&lt;&gt;"Sí"),"",IF(DAY($A55)&lt;='Config'!$B$13,DATE(YEAR($A55),MONTH($A55),'Config'!$B$13),EOMONTH($A55,0)+'Config'!$B$13))</f>
      </c>
      <c r="L55" s="14">
        <f>IF($K55="","",DATE(YEAR(EOMONTH($K55,0)+1),MONTH(EOMONTH($K55,0)+1),'Config'!$B$14))</f>
      </c>
      <c r="M55" s="22"/>
      <c r="N55" s="16">
        <f>IF($B55="","",MAX($H55-$M55,0))</f>
      </c>
      <c r="O55" s="19">
        <f>IF($B55="","",IF($J55&lt;&gt;"Sí","Pagado (contado)",IF($N55&lt;=0,"Pagado",IF($M55&gt;0,"Abono parcial","Pendiente"))))</f>
      </c>
      <c r="P55" s="19">
        <f>IF(OR($B55="",$J55&lt;&gt;"Sí",$N55&lt;=0),"",IF(TODAY()&gt;$L55,"🔴 VENCIDO hace "&amp;(TODAY()-$L55)&amp;" día(s)",IF($L55-TODAY()&lt;='Config'!$B$15,"🟠 Faltan "&amp;($L55-TODAY())&amp;" día(s) para pagar","🟢 Al día (paga el "&amp;TEXT($L55,"dd/mm")&amp;")")))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16">
        <f>IF($B56="","",'Config'!$B$11+'Config'!$B$12)</f>
      </c>
      <c r="H56" s="16">
        <f>IF($B56="","",$F56+$G56)</f>
      </c>
      <c r="I56" s="20"/>
      <c r="J56" s="20"/>
      <c r="K56" s="14">
        <f>IF(OR($B56="",$J56&lt;&gt;"Sí"),"",IF(DAY($A56)&lt;='Config'!$B$13,DATE(YEAR($A56),MONTH($A56),'Config'!$B$13),EOMONTH($A56,0)+'Config'!$B$13))</f>
      </c>
      <c r="L56" s="14">
        <f>IF($K56="","",DATE(YEAR(EOMONTH($K56,0)+1),MONTH(EOMONTH($K56,0)+1),'Config'!$B$14))</f>
      </c>
      <c r="M56" s="22"/>
      <c r="N56" s="16">
        <f>IF($B56="","",MAX($H56-$M56,0))</f>
      </c>
      <c r="O56" s="19">
        <f>IF($B56="","",IF($J56&lt;&gt;"Sí","Pagado (contado)",IF($N56&lt;=0,"Pagado",IF($M56&gt;0,"Abono parcial","Pendiente"))))</f>
      </c>
      <c r="P56" s="19">
        <f>IF(OR($B56="",$J56&lt;&gt;"Sí",$N56&lt;=0),"",IF(TODAY()&gt;$L56,"🔴 VENCIDO hace "&amp;(TODAY()-$L56)&amp;" día(s)",IF($L56-TODAY()&lt;='Config'!$B$15,"🟠 Faltan "&amp;($L56-TODAY())&amp;" día(s) para pagar","🟢 Al día (paga el "&amp;TEXT($L56,"dd/mm")&amp;")")))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16">
        <f>IF($B57="","",'Config'!$B$11+'Config'!$B$12)</f>
      </c>
      <c r="H57" s="16">
        <f>IF($B57="","",$F57+$G57)</f>
      </c>
      <c r="I57" s="20"/>
      <c r="J57" s="20"/>
      <c r="K57" s="14">
        <f>IF(OR($B57="",$J57&lt;&gt;"Sí"),"",IF(DAY($A57)&lt;='Config'!$B$13,DATE(YEAR($A57),MONTH($A57),'Config'!$B$13),EOMONTH($A57,0)+'Config'!$B$13))</f>
      </c>
      <c r="L57" s="14">
        <f>IF($K57="","",DATE(YEAR(EOMONTH($K57,0)+1),MONTH(EOMONTH($K57,0)+1),'Config'!$B$14))</f>
      </c>
      <c r="M57" s="22"/>
      <c r="N57" s="16">
        <f>IF($B57="","",MAX($H57-$M57,0))</f>
      </c>
      <c r="O57" s="19">
        <f>IF($B57="","",IF($J57&lt;&gt;"Sí","Pagado (contado)",IF($N57&lt;=0,"Pagado",IF($M57&gt;0,"Abono parcial","Pendiente"))))</f>
      </c>
      <c r="P57" s="19">
        <f>IF(OR($B57="",$J57&lt;&gt;"Sí",$N57&lt;=0),"",IF(TODAY()&gt;$L57,"🔴 VENCIDO hace "&amp;(TODAY()-$L57)&amp;" día(s)",IF($L57-TODAY()&lt;='Config'!$B$15,"🟠 Faltan "&amp;($L57-TODAY())&amp;" día(s) para pagar","🟢 Al día (paga el "&amp;TEXT($L57,"dd/mm")&amp;")")))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16">
        <f>IF($B58="","",'Config'!$B$11+'Config'!$B$12)</f>
      </c>
      <c r="H58" s="16">
        <f>IF($B58="","",$F58+$G58)</f>
      </c>
      <c r="I58" s="20"/>
      <c r="J58" s="20"/>
      <c r="K58" s="14">
        <f>IF(OR($B58="",$J58&lt;&gt;"Sí"),"",IF(DAY($A58)&lt;='Config'!$B$13,DATE(YEAR($A58),MONTH($A58),'Config'!$B$13),EOMONTH($A58,0)+'Config'!$B$13))</f>
      </c>
      <c r="L58" s="14">
        <f>IF($K58="","",DATE(YEAR(EOMONTH($K58,0)+1),MONTH(EOMONTH($K58,0)+1),'Config'!$B$14))</f>
      </c>
      <c r="M58" s="22"/>
      <c r="N58" s="16">
        <f>IF($B58="","",MAX($H58-$M58,0))</f>
      </c>
      <c r="O58" s="19">
        <f>IF($B58="","",IF($J58&lt;&gt;"Sí","Pagado (contado)",IF($N58&lt;=0,"Pagado",IF($M58&gt;0,"Abono parcial","Pendiente"))))</f>
      </c>
      <c r="P58" s="19">
        <f>IF(OR($B58="",$J58&lt;&gt;"Sí",$N58&lt;=0),"",IF(TODAY()&gt;$L58,"🔴 VENCIDO hace "&amp;(TODAY()-$L58)&amp;" día(s)",IF($L58-TODAY()&lt;='Config'!$B$15,"🟠 Faltan "&amp;($L58-TODAY())&amp;" día(s) para pagar","🟢 Al día (paga el "&amp;TEXT($L58,"dd/mm")&amp;")")))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16">
        <f>IF($B59="","",'Config'!$B$11+'Config'!$B$12)</f>
      </c>
      <c r="H59" s="16">
        <f>IF($B59="","",$F59+$G59)</f>
      </c>
      <c r="I59" s="20"/>
      <c r="J59" s="20"/>
      <c r="K59" s="14">
        <f>IF(OR($B59="",$J59&lt;&gt;"Sí"),"",IF(DAY($A59)&lt;='Config'!$B$13,DATE(YEAR($A59),MONTH($A59),'Config'!$B$13),EOMONTH($A59,0)+'Config'!$B$13))</f>
      </c>
      <c r="L59" s="14">
        <f>IF($K59="","",DATE(YEAR(EOMONTH($K59,0)+1),MONTH(EOMONTH($K59,0)+1),'Config'!$B$14))</f>
      </c>
      <c r="M59" s="22"/>
      <c r="N59" s="16">
        <f>IF($B59="","",MAX($H59-$M59,0))</f>
      </c>
      <c r="O59" s="19">
        <f>IF($B59="","",IF($J59&lt;&gt;"Sí","Pagado (contado)",IF($N59&lt;=0,"Pagado",IF($M59&gt;0,"Abono parcial","Pendiente"))))</f>
      </c>
      <c r="P59" s="19">
        <f>IF(OR($B59="",$J59&lt;&gt;"Sí",$N59&lt;=0),"",IF(TODAY()&gt;$L59,"🔴 VENCIDO hace "&amp;(TODAY()-$L59)&amp;" día(s)",IF($L59-TODAY()&lt;='Config'!$B$15,"🟠 Faltan "&amp;($L59-TODAY())&amp;" día(s) para pagar","🟢 Al día (paga el "&amp;TEXT($L59,"dd/mm")&amp;")")))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16">
        <f>IF($B60="","",'Config'!$B$11+'Config'!$B$12)</f>
      </c>
      <c r="H60" s="16">
        <f>IF($B60="","",$F60+$G60)</f>
      </c>
      <c r="I60" s="20"/>
      <c r="J60" s="20"/>
      <c r="K60" s="14">
        <f>IF(OR($B60="",$J60&lt;&gt;"Sí"),"",IF(DAY($A60)&lt;='Config'!$B$13,DATE(YEAR($A60),MONTH($A60),'Config'!$B$13),EOMONTH($A60,0)+'Config'!$B$13))</f>
      </c>
      <c r="L60" s="14">
        <f>IF($K60="","",DATE(YEAR(EOMONTH($K60,0)+1),MONTH(EOMONTH($K60,0)+1),'Config'!$B$14))</f>
      </c>
      <c r="M60" s="22"/>
      <c r="N60" s="16">
        <f>IF($B60="","",MAX($H60-$M60,0))</f>
      </c>
      <c r="O60" s="19">
        <f>IF($B60="","",IF($J60&lt;&gt;"Sí","Pagado (contado)",IF($N60&lt;=0,"Pagado",IF($M60&gt;0,"Abono parcial","Pendiente"))))</f>
      </c>
      <c r="P60" s="19">
        <f>IF(OR($B60="",$J60&lt;&gt;"Sí",$N60&lt;=0),"",IF(TODAY()&gt;$L60,"🔴 VENCIDO hace "&amp;(TODAY()-$L60)&amp;" día(s)",IF($L60-TODAY()&lt;='Config'!$B$15,"🟠 Faltan "&amp;($L60-TODAY())&amp;" día(s) para pagar","🟢 Al día (paga el "&amp;TEXT($L60,"dd/mm")&amp;")")))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16">
        <f>IF($B61="","",'Config'!$B$11+'Config'!$B$12)</f>
      </c>
      <c r="H61" s="16">
        <f>IF($B61="","",$F61+$G61)</f>
      </c>
      <c r="I61" s="20"/>
      <c r="J61" s="20"/>
      <c r="K61" s="14">
        <f>IF(OR($B61="",$J61&lt;&gt;"Sí"),"",IF(DAY($A61)&lt;='Config'!$B$13,DATE(YEAR($A61),MONTH($A61),'Config'!$B$13),EOMONTH($A61,0)+'Config'!$B$13))</f>
      </c>
      <c r="L61" s="14">
        <f>IF($K61="","",DATE(YEAR(EOMONTH($K61,0)+1),MONTH(EOMONTH($K61,0)+1),'Config'!$B$14))</f>
      </c>
      <c r="M61" s="22"/>
      <c r="N61" s="16">
        <f>IF($B61="","",MAX($H61-$M61,0))</f>
      </c>
      <c r="O61" s="19">
        <f>IF($B61="","",IF($J61&lt;&gt;"Sí","Pagado (contado)",IF($N61&lt;=0,"Pagado",IF($M61&gt;0,"Abono parcial","Pendiente"))))</f>
      </c>
      <c r="P61" s="19">
        <f>IF(OR($B61="",$J61&lt;&gt;"Sí",$N61&lt;=0),"",IF(TODAY()&gt;$L61,"🔴 VENCIDO hace "&amp;(TODAY()-$L61)&amp;" día(s)",IF($L61-TODAY()&lt;='Config'!$B$15,"🟠 Faltan "&amp;($L61-TODAY())&amp;" día(s) para pagar","🟢 Al día (paga el "&amp;TEXT($L61,"dd/mm")&amp;")")))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16">
        <f>IF($B62="","",'Config'!$B$11+'Config'!$B$12)</f>
      </c>
      <c r="H62" s="16">
        <f>IF($B62="","",$F62+$G62)</f>
      </c>
      <c r="I62" s="20"/>
      <c r="J62" s="20"/>
      <c r="K62" s="14">
        <f>IF(OR($B62="",$J62&lt;&gt;"Sí"),"",IF(DAY($A62)&lt;='Config'!$B$13,DATE(YEAR($A62),MONTH($A62),'Config'!$B$13),EOMONTH($A62,0)+'Config'!$B$13))</f>
      </c>
      <c r="L62" s="14">
        <f>IF($K62="","",DATE(YEAR(EOMONTH($K62,0)+1),MONTH(EOMONTH($K62,0)+1),'Config'!$B$14))</f>
      </c>
      <c r="M62" s="22"/>
      <c r="N62" s="16">
        <f>IF($B62="","",MAX($H62-$M62,0))</f>
      </c>
      <c r="O62" s="19">
        <f>IF($B62="","",IF($J62&lt;&gt;"Sí","Pagado (contado)",IF($N62&lt;=0,"Pagado",IF($M62&gt;0,"Abono parcial","Pendiente"))))</f>
      </c>
      <c r="P62" s="19">
        <f>IF(OR($B62="",$J62&lt;&gt;"Sí",$N62&lt;=0),"",IF(TODAY()&gt;$L62,"🔴 VENCIDO hace "&amp;(TODAY()-$L62)&amp;" día(s)",IF($L62-TODAY()&lt;='Config'!$B$15,"🟠 Faltan "&amp;($L62-TODAY())&amp;" día(s) para pagar","🟢 Al día (paga el "&amp;TEXT($L62,"dd/mm")&amp;")")))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16">
        <f>IF($B63="","",'Config'!$B$11+'Config'!$B$12)</f>
      </c>
      <c r="H63" s="16">
        <f>IF($B63="","",$F63+$G63)</f>
      </c>
      <c r="I63" s="20"/>
      <c r="J63" s="20"/>
      <c r="K63" s="14">
        <f>IF(OR($B63="",$J63&lt;&gt;"Sí"),"",IF(DAY($A63)&lt;='Config'!$B$13,DATE(YEAR($A63),MONTH($A63),'Config'!$B$13),EOMONTH($A63,0)+'Config'!$B$13))</f>
      </c>
      <c r="L63" s="14">
        <f>IF($K63="","",DATE(YEAR(EOMONTH($K63,0)+1),MONTH(EOMONTH($K63,0)+1),'Config'!$B$14))</f>
      </c>
      <c r="M63" s="22"/>
      <c r="N63" s="16">
        <f>IF($B63="","",MAX($H63-$M63,0))</f>
      </c>
      <c r="O63" s="19">
        <f>IF($B63="","",IF($J63&lt;&gt;"Sí","Pagado (contado)",IF($N63&lt;=0,"Pagado",IF($M63&gt;0,"Abono parcial","Pendiente"))))</f>
      </c>
      <c r="P63" s="19">
        <f>IF(OR($B63="",$J63&lt;&gt;"Sí",$N63&lt;=0),"",IF(TODAY()&gt;$L63,"🔴 VENCIDO hace "&amp;(TODAY()-$L63)&amp;" día(s)",IF($L63-TODAY()&lt;='Config'!$B$15,"🟠 Faltan "&amp;($L63-TODAY())&amp;" día(s) para pagar","🟢 Al día (paga el "&amp;TEXT($L63,"dd/mm")&amp;")")))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16">
        <f>IF($B64="","",'Config'!$B$11+'Config'!$B$12)</f>
      </c>
      <c r="H64" s="16">
        <f>IF($B64="","",$F64+$G64)</f>
      </c>
      <c r="I64" s="20"/>
      <c r="J64" s="20"/>
      <c r="K64" s="14">
        <f>IF(OR($B64="",$J64&lt;&gt;"Sí"),"",IF(DAY($A64)&lt;='Config'!$B$13,DATE(YEAR($A64),MONTH($A64),'Config'!$B$13),EOMONTH($A64,0)+'Config'!$B$13))</f>
      </c>
      <c r="L64" s="14">
        <f>IF($K64="","",DATE(YEAR(EOMONTH($K64,0)+1),MONTH(EOMONTH($K64,0)+1),'Config'!$B$14))</f>
      </c>
      <c r="M64" s="22"/>
      <c r="N64" s="16">
        <f>IF($B64="","",MAX($H64-$M64,0))</f>
      </c>
      <c r="O64" s="19">
        <f>IF($B64="","",IF($J64&lt;&gt;"Sí","Pagado (contado)",IF($N64&lt;=0,"Pagado",IF($M64&gt;0,"Abono parcial","Pendiente"))))</f>
      </c>
      <c r="P64" s="19">
        <f>IF(OR($B64="",$J64&lt;&gt;"Sí",$N64&lt;=0),"",IF(TODAY()&gt;$L64,"🔴 VENCIDO hace "&amp;(TODAY()-$L64)&amp;" día(s)",IF($L64-TODAY()&lt;='Config'!$B$15,"🟠 Faltan "&amp;($L64-TODAY())&amp;" día(s) para pagar","🟢 Al día (paga el "&amp;TEXT($L64,"dd/mm")&amp;")")))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16">
        <f>IF($B65="","",'Config'!$B$11+'Config'!$B$12)</f>
      </c>
      <c r="H65" s="16">
        <f>IF($B65="","",$F65+$G65)</f>
      </c>
      <c r="I65" s="20"/>
      <c r="J65" s="20"/>
      <c r="K65" s="14">
        <f>IF(OR($B65="",$J65&lt;&gt;"Sí"),"",IF(DAY($A65)&lt;='Config'!$B$13,DATE(YEAR($A65),MONTH($A65),'Config'!$B$13),EOMONTH($A65,0)+'Config'!$B$13))</f>
      </c>
      <c r="L65" s="14">
        <f>IF($K65="","",DATE(YEAR(EOMONTH($K65,0)+1),MONTH(EOMONTH($K65,0)+1),'Config'!$B$14))</f>
      </c>
      <c r="M65" s="22"/>
      <c r="N65" s="16">
        <f>IF($B65="","",MAX($H65-$M65,0))</f>
      </c>
      <c r="O65" s="19">
        <f>IF($B65="","",IF($J65&lt;&gt;"Sí","Pagado (contado)",IF($N65&lt;=0,"Pagado",IF($M65&gt;0,"Abono parcial","Pendiente"))))</f>
      </c>
      <c r="P65" s="19">
        <f>IF(OR($B65="",$J65&lt;&gt;"Sí",$N65&lt;=0),"",IF(TODAY()&gt;$L65,"🔴 VENCIDO hace "&amp;(TODAY()-$L65)&amp;" día(s)",IF($L65-TODAY()&lt;='Config'!$B$15,"🟠 Faltan "&amp;($L65-TODAY())&amp;" día(s) para pagar","🟢 Al día (paga el "&amp;TEXT($L65,"dd/mm")&amp;")")))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16">
        <f>IF($B66="","",'Config'!$B$11+'Config'!$B$12)</f>
      </c>
      <c r="H66" s="16">
        <f>IF($B66="","",$F66+$G66)</f>
      </c>
      <c r="I66" s="20"/>
      <c r="J66" s="20"/>
      <c r="K66" s="14">
        <f>IF(OR($B66="",$J66&lt;&gt;"Sí"),"",IF(DAY($A66)&lt;='Config'!$B$13,DATE(YEAR($A66),MONTH($A66),'Config'!$B$13),EOMONTH($A66,0)+'Config'!$B$13))</f>
      </c>
      <c r="L66" s="14">
        <f>IF($K66="","",DATE(YEAR(EOMONTH($K66,0)+1),MONTH(EOMONTH($K66,0)+1),'Config'!$B$14))</f>
      </c>
      <c r="M66" s="22"/>
      <c r="N66" s="16">
        <f>IF($B66="","",MAX($H66-$M66,0))</f>
      </c>
      <c r="O66" s="19">
        <f>IF($B66="","",IF($J66&lt;&gt;"Sí","Pagado (contado)",IF($N66&lt;=0,"Pagado",IF($M66&gt;0,"Abono parcial","Pendiente"))))</f>
      </c>
      <c r="P66" s="19">
        <f>IF(OR($B66="",$J66&lt;&gt;"Sí",$N66&lt;=0),"",IF(TODAY()&gt;$L66,"🔴 VENCIDO hace "&amp;(TODAY()-$L66)&amp;" día(s)",IF($L66-TODAY()&lt;='Config'!$B$15,"🟠 Faltan "&amp;($L66-TODAY())&amp;" día(s) para pagar","🟢 Al día (paga el "&amp;TEXT($L66,"dd/mm")&amp;")")))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16">
        <f>IF($B67="","",'Config'!$B$11+'Config'!$B$12)</f>
      </c>
      <c r="H67" s="16">
        <f>IF($B67="","",$F67+$G67)</f>
      </c>
      <c r="I67" s="20"/>
      <c r="J67" s="20"/>
      <c r="K67" s="14">
        <f>IF(OR($B67="",$J67&lt;&gt;"Sí"),"",IF(DAY($A67)&lt;='Config'!$B$13,DATE(YEAR($A67),MONTH($A67),'Config'!$B$13),EOMONTH($A67,0)+'Config'!$B$13))</f>
      </c>
      <c r="L67" s="14">
        <f>IF($K67="","",DATE(YEAR(EOMONTH($K67,0)+1),MONTH(EOMONTH($K67,0)+1),'Config'!$B$14))</f>
      </c>
      <c r="M67" s="22"/>
      <c r="N67" s="16">
        <f>IF($B67="","",MAX($H67-$M67,0))</f>
      </c>
      <c r="O67" s="19">
        <f>IF($B67="","",IF($J67&lt;&gt;"Sí","Pagado (contado)",IF($N67&lt;=0,"Pagado",IF($M67&gt;0,"Abono parcial","Pendiente"))))</f>
      </c>
      <c r="P67" s="19">
        <f>IF(OR($B67="",$J67&lt;&gt;"Sí",$N67&lt;=0),"",IF(TODAY()&gt;$L67,"🔴 VENCIDO hace "&amp;(TODAY()-$L67)&amp;" día(s)",IF($L67-TODAY()&lt;='Config'!$B$15,"🟠 Faltan "&amp;($L67-TODAY())&amp;" día(s) para pagar","🟢 Al día (paga el "&amp;TEXT($L67,"dd/mm")&amp;")")))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16">
        <f>IF($B68="","",'Config'!$B$11+'Config'!$B$12)</f>
      </c>
      <c r="H68" s="16">
        <f>IF($B68="","",$F68+$G68)</f>
      </c>
      <c r="I68" s="20"/>
      <c r="J68" s="20"/>
      <c r="K68" s="14">
        <f>IF(OR($B68="",$J68&lt;&gt;"Sí"),"",IF(DAY($A68)&lt;='Config'!$B$13,DATE(YEAR($A68),MONTH($A68),'Config'!$B$13),EOMONTH($A68,0)+'Config'!$B$13))</f>
      </c>
      <c r="L68" s="14">
        <f>IF($K68="","",DATE(YEAR(EOMONTH($K68,0)+1),MONTH(EOMONTH($K68,0)+1),'Config'!$B$14))</f>
      </c>
      <c r="M68" s="22"/>
      <c r="N68" s="16">
        <f>IF($B68="","",MAX($H68-$M68,0))</f>
      </c>
      <c r="O68" s="19">
        <f>IF($B68="","",IF($J68&lt;&gt;"Sí","Pagado (contado)",IF($N68&lt;=0,"Pagado",IF($M68&gt;0,"Abono parcial","Pendiente"))))</f>
      </c>
      <c r="P68" s="19">
        <f>IF(OR($B68="",$J68&lt;&gt;"Sí",$N68&lt;=0),"",IF(TODAY()&gt;$L68,"🔴 VENCIDO hace "&amp;(TODAY()-$L68)&amp;" día(s)",IF($L68-TODAY()&lt;='Config'!$B$15,"🟠 Faltan "&amp;($L68-TODAY())&amp;" día(s) para pagar","🟢 Al día (paga el "&amp;TEXT($L68,"dd/mm")&amp;")")))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16">
        <f>IF($B69="","",'Config'!$B$11+'Config'!$B$12)</f>
      </c>
      <c r="H69" s="16">
        <f>IF($B69="","",$F69+$G69)</f>
      </c>
      <c r="I69" s="20"/>
      <c r="J69" s="20"/>
      <c r="K69" s="14">
        <f>IF(OR($B69="",$J69&lt;&gt;"Sí"),"",IF(DAY($A69)&lt;='Config'!$B$13,DATE(YEAR($A69),MONTH($A69),'Config'!$B$13),EOMONTH($A69,0)+'Config'!$B$13))</f>
      </c>
      <c r="L69" s="14">
        <f>IF($K69="","",DATE(YEAR(EOMONTH($K69,0)+1),MONTH(EOMONTH($K69,0)+1),'Config'!$B$14))</f>
      </c>
      <c r="M69" s="22"/>
      <c r="N69" s="16">
        <f>IF($B69="","",MAX($H69-$M69,0))</f>
      </c>
      <c r="O69" s="19">
        <f>IF($B69="","",IF($J69&lt;&gt;"Sí","Pagado (contado)",IF($N69&lt;=0,"Pagado",IF($M69&gt;0,"Abono parcial","Pendiente"))))</f>
      </c>
      <c r="P69" s="19">
        <f>IF(OR($B69="",$J69&lt;&gt;"Sí",$N69&lt;=0),"",IF(TODAY()&gt;$L69,"🔴 VENCIDO hace "&amp;(TODAY()-$L69)&amp;" día(s)",IF($L69-TODAY()&lt;='Config'!$B$15,"🟠 Faltan "&amp;($L69-TODAY())&amp;" día(s) para pagar","🟢 Al día (paga el "&amp;TEXT($L69,"dd/mm")&amp;")")))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16">
        <f>IF($B70="","",'Config'!$B$11+'Config'!$B$12)</f>
      </c>
      <c r="H70" s="16">
        <f>IF($B70="","",$F70+$G70)</f>
      </c>
      <c r="I70" s="20"/>
      <c r="J70" s="20"/>
      <c r="K70" s="14">
        <f>IF(OR($B70="",$J70&lt;&gt;"Sí"),"",IF(DAY($A70)&lt;='Config'!$B$13,DATE(YEAR($A70),MONTH($A70),'Config'!$B$13),EOMONTH($A70,0)+'Config'!$B$13))</f>
      </c>
      <c r="L70" s="14">
        <f>IF($K70="","",DATE(YEAR(EOMONTH($K70,0)+1),MONTH(EOMONTH($K70,0)+1),'Config'!$B$14))</f>
      </c>
      <c r="M70" s="22"/>
      <c r="N70" s="16">
        <f>IF($B70="","",MAX($H70-$M70,0))</f>
      </c>
      <c r="O70" s="19">
        <f>IF($B70="","",IF($J70&lt;&gt;"Sí","Pagado (contado)",IF($N70&lt;=0,"Pagado",IF($M70&gt;0,"Abono parcial","Pendiente"))))</f>
      </c>
      <c r="P70" s="19">
        <f>IF(OR($B70="",$J70&lt;&gt;"Sí",$N70&lt;=0),"",IF(TODAY()&gt;$L70,"🔴 VENCIDO hace "&amp;(TODAY()-$L70)&amp;" día(s)",IF($L70-TODAY()&lt;='Config'!$B$15,"🟠 Faltan "&amp;($L70-TODAY())&amp;" día(s) para pagar","🟢 Al día (paga el "&amp;TEXT($L70,"dd/mm")&amp;")")))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16">
        <f>IF($B71="","",'Config'!$B$11+'Config'!$B$12)</f>
      </c>
      <c r="H71" s="16">
        <f>IF($B71="","",$F71+$G71)</f>
      </c>
      <c r="I71" s="20"/>
      <c r="J71" s="20"/>
      <c r="K71" s="14">
        <f>IF(OR($B71="",$J71&lt;&gt;"Sí"),"",IF(DAY($A71)&lt;='Config'!$B$13,DATE(YEAR($A71),MONTH($A71),'Config'!$B$13),EOMONTH($A71,0)+'Config'!$B$13))</f>
      </c>
      <c r="L71" s="14">
        <f>IF($K71="","",DATE(YEAR(EOMONTH($K71,0)+1),MONTH(EOMONTH($K71,0)+1),'Config'!$B$14))</f>
      </c>
      <c r="M71" s="22"/>
      <c r="N71" s="16">
        <f>IF($B71="","",MAX($H71-$M71,0))</f>
      </c>
      <c r="O71" s="19">
        <f>IF($B71="","",IF($J71&lt;&gt;"Sí","Pagado (contado)",IF($N71&lt;=0,"Pagado",IF($M71&gt;0,"Abono parcial","Pendiente"))))</f>
      </c>
      <c r="P71" s="19">
        <f>IF(OR($B71="",$J71&lt;&gt;"Sí",$N71&lt;=0),"",IF(TODAY()&gt;$L71,"🔴 VENCIDO hace "&amp;(TODAY()-$L71)&amp;" día(s)",IF($L71-TODAY()&lt;='Config'!$B$15,"🟠 Faltan "&amp;($L71-TODAY())&amp;" día(s) para pagar","🟢 Al día (paga el "&amp;TEXT($L71,"dd/mm")&amp;")")))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16">
        <f>IF($B72="","",'Config'!$B$11+'Config'!$B$12)</f>
      </c>
      <c r="H72" s="16">
        <f>IF($B72="","",$F72+$G72)</f>
      </c>
      <c r="I72" s="20"/>
      <c r="J72" s="20"/>
      <c r="K72" s="14">
        <f>IF(OR($B72="",$J72&lt;&gt;"Sí"),"",IF(DAY($A72)&lt;='Config'!$B$13,DATE(YEAR($A72),MONTH($A72),'Config'!$B$13),EOMONTH($A72,0)+'Config'!$B$13))</f>
      </c>
      <c r="L72" s="14">
        <f>IF($K72="","",DATE(YEAR(EOMONTH($K72,0)+1),MONTH(EOMONTH($K72,0)+1),'Config'!$B$14))</f>
      </c>
      <c r="M72" s="22"/>
      <c r="N72" s="16">
        <f>IF($B72="","",MAX($H72-$M72,0))</f>
      </c>
      <c r="O72" s="19">
        <f>IF($B72="","",IF($J72&lt;&gt;"Sí","Pagado (contado)",IF($N72&lt;=0,"Pagado",IF($M72&gt;0,"Abono parcial","Pendiente"))))</f>
      </c>
      <c r="P72" s="19">
        <f>IF(OR($B72="",$J72&lt;&gt;"Sí",$N72&lt;=0),"",IF(TODAY()&gt;$L72,"🔴 VENCIDO hace "&amp;(TODAY()-$L72)&amp;" día(s)",IF($L72-TODAY()&lt;='Config'!$B$15,"🟠 Faltan "&amp;($L72-TODAY())&amp;" día(s) para pagar","🟢 Al día (paga el "&amp;TEXT($L72,"dd/mm")&amp;")")))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16">
        <f>IF($B73="","",'Config'!$B$11+'Config'!$B$12)</f>
      </c>
      <c r="H73" s="16">
        <f>IF($B73="","",$F73+$G73)</f>
      </c>
      <c r="I73" s="20"/>
      <c r="J73" s="20"/>
      <c r="K73" s="14">
        <f>IF(OR($B73="",$J73&lt;&gt;"Sí"),"",IF(DAY($A73)&lt;='Config'!$B$13,DATE(YEAR($A73),MONTH($A73),'Config'!$B$13),EOMONTH($A73,0)+'Config'!$B$13))</f>
      </c>
      <c r="L73" s="14">
        <f>IF($K73="","",DATE(YEAR(EOMONTH($K73,0)+1),MONTH(EOMONTH($K73,0)+1),'Config'!$B$14))</f>
      </c>
      <c r="M73" s="22"/>
      <c r="N73" s="16">
        <f>IF($B73="","",MAX($H73-$M73,0))</f>
      </c>
      <c r="O73" s="19">
        <f>IF($B73="","",IF($J73&lt;&gt;"Sí","Pagado (contado)",IF($N73&lt;=0,"Pagado",IF($M73&gt;0,"Abono parcial","Pendiente"))))</f>
      </c>
      <c r="P73" s="19">
        <f>IF(OR($B73="",$J73&lt;&gt;"Sí",$N73&lt;=0),"",IF(TODAY()&gt;$L73,"🔴 VENCIDO hace "&amp;(TODAY()-$L73)&amp;" día(s)",IF($L73-TODAY()&lt;='Config'!$B$15,"🟠 Faltan "&amp;($L73-TODAY())&amp;" día(s) para pagar","🟢 Al día (paga el "&amp;TEXT($L73,"dd/mm")&amp;")")))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16">
        <f>IF($B74="","",'Config'!$B$11+'Config'!$B$12)</f>
      </c>
      <c r="H74" s="16">
        <f>IF($B74="","",$F74+$G74)</f>
      </c>
      <c r="I74" s="20"/>
      <c r="J74" s="20"/>
      <c r="K74" s="14">
        <f>IF(OR($B74="",$J74&lt;&gt;"Sí"),"",IF(DAY($A74)&lt;='Config'!$B$13,DATE(YEAR($A74),MONTH($A74),'Config'!$B$13),EOMONTH($A74,0)+'Config'!$B$13))</f>
      </c>
      <c r="L74" s="14">
        <f>IF($K74="","",DATE(YEAR(EOMONTH($K74,0)+1),MONTH(EOMONTH($K74,0)+1),'Config'!$B$14))</f>
      </c>
      <c r="M74" s="22"/>
      <c r="N74" s="16">
        <f>IF($B74="","",MAX($H74-$M74,0))</f>
      </c>
      <c r="O74" s="19">
        <f>IF($B74="","",IF($J74&lt;&gt;"Sí","Pagado (contado)",IF($N74&lt;=0,"Pagado",IF($M74&gt;0,"Abono parcial","Pendiente"))))</f>
      </c>
      <c r="P74" s="19">
        <f>IF(OR($B74="",$J74&lt;&gt;"Sí",$N74&lt;=0),"",IF(TODAY()&gt;$L74,"🔴 VENCIDO hace "&amp;(TODAY()-$L74)&amp;" día(s)",IF($L74-TODAY()&lt;='Config'!$B$15,"🟠 Faltan "&amp;($L74-TODAY())&amp;" día(s) para pagar","🟢 Al día (paga el "&amp;TEXT($L74,"dd/mm")&amp;")")))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16">
        <f>IF($B75="","",'Config'!$B$11+'Config'!$B$12)</f>
      </c>
      <c r="H75" s="16">
        <f>IF($B75="","",$F75+$G75)</f>
      </c>
      <c r="I75" s="20"/>
      <c r="J75" s="20"/>
      <c r="K75" s="14">
        <f>IF(OR($B75="",$J75&lt;&gt;"Sí"),"",IF(DAY($A75)&lt;='Config'!$B$13,DATE(YEAR($A75),MONTH($A75),'Config'!$B$13),EOMONTH($A75,0)+'Config'!$B$13))</f>
      </c>
      <c r="L75" s="14">
        <f>IF($K75="","",DATE(YEAR(EOMONTH($K75,0)+1),MONTH(EOMONTH($K75,0)+1),'Config'!$B$14))</f>
      </c>
      <c r="M75" s="22"/>
      <c r="N75" s="16">
        <f>IF($B75="","",MAX($H75-$M75,0))</f>
      </c>
      <c r="O75" s="19">
        <f>IF($B75="","",IF($J75&lt;&gt;"Sí","Pagado (contado)",IF($N75&lt;=0,"Pagado",IF($M75&gt;0,"Abono parcial","Pendiente"))))</f>
      </c>
      <c r="P75" s="19">
        <f>IF(OR($B75="",$J75&lt;&gt;"Sí",$N75&lt;=0),"",IF(TODAY()&gt;$L75,"🔴 VENCIDO hace "&amp;(TODAY()-$L75)&amp;" día(s)",IF($L75-TODAY()&lt;='Config'!$B$15,"🟠 Faltan "&amp;($L75-TODAY())&amp;" día(s) para pagar","🟢 Al día (paga el "&amp;TEXT($L75,"dd/mm")&amp;")")))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16">
        <f>IF($B76="","",'Config'!$B$11+'Config'!$B$12)</f>
      </c>
      <c r="H76" s="16">
        <f>IF($B76="","",$F76+$G76)</f>
      </c>
      <c r="I76" s="20"/>
      <c r="J76" s="20"/>
      <c r="K76" s="14">
        <f>IF(OR($B76="",$J76&lt;&gt;"Sí"),"",IF(DAY($A76)&lt;='Config'!$B$13,DATE(YEAR($A76),MONTH($A76),'Config'!$B$13),EOMONTH($A76,0)+'Config'!$B$13))</f>
      </c>
      <c r="L76" s="14">
        <f>IF($K76="","",DATE(YEAR(EOMONTH($K76,0)+1),MONTH(EOMONTH($K76,0)+1),'Config'!$B$14))</f>
      </c>
      <c r="M76" s="22"/>
      <c r="N76" s="16">
        <f>IF($B76="","",MAX($H76-$M76,0))</f>
      </c>
      <c r="O76" s="19">
        <f>IF($B76="","",IF($J76&lt;&gt;"Sí","Pagado (contado)",IF($N76&lt;=0,"Pagado",IF($M76&gt;0,"Abono parcial","Pendiente"))))</f>
      </c>
      <c r="P76" s="19">
        <f>IF(OR($B76="",$J76&lt;&gt;"Sí",$N76&lt;=0),"",IF(TODAY()&gt;$L76,"🔴 VENCIDO hace "&amp;(TODAY()-$L76)&amp;" día(s)",IF($L76-TODAY()&lt;='Config'!$B$15,"🟠 Faltan "&amp;($L76-TODAY())&amp;" día(s) para pagar","🟢 Al día (paga el "&amp;TEXT($L76,"dd/mm")&amp;")")))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16">
        <f>IF($B77="","",'Config'!$B$11+'Config'!$B$12)</f>
      </c>
      <c r="H77" s="16">
        <f>IF($B77="","",$F77+$G77)</f>
      </c>
      <c r="I77" s="20"/>
      <c r="J77" s="20"/>
      <c r="K77" s="14">
        <f>IF(OR($B77="",$J77&lt;&gt;"Sí"),"",IF(DAY($A77)&lt;='Config'!$B$13,DATE(YEAR($A77),MONTH($A77),'Config'!$B$13),EOMONTH($A77,0)+'Config'!$B$13))</f>
      </c>
      <c r="L77" s="14">
        <f>IF($K77="","",DATE(YEAR(EOMONTH($K77,0)+1),MONTH(EOMONTH($K77,0)+1),'Config'!$B$14))</f>
      </c>
      <c r="M77" s="22"/>
      <c r="N77" s="16">
        <f>IF($B77="","",MAX($H77-$M77,0))</f>
      </c>
      <c r="O77" s="19">
        <f>IF($B77="","",IF($J77&lt;&gt;"Sí","Pagado (contado)",IF($N77&lt;=0,"Pagado",IF($M77&gt;0,"Abono parcial","Pendiente"))))</f>
      </c>
      <c r="P77" s="19">
        <f>IF(OR($B77="",$J77&lt;&gt;"Sí",$N77&lt;=0),"",IF(TODAY()&gt;$L77,"🔴 VENCIDO hace "&amp;(TODAY()-$L77)&amp;" día(s)",IF($L77-TODAY()&lt;='Config'!$B$15,"🟠 Faltan "&amp;($L77-TODAY())&amp;" día(s) para pagar","🟢 Al día (paga el "&amp;TEXT($L77,"dd/mm")&amp;")")))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16">
        <f>IF($B78="","",'Config'!$B$11+'Config'!$B$12)</f>
      </c>
      <c r="H78" s="16">
        <f>IF($B78="","",$F78+$G78)</f>
      </c>
      <c r="I78" s="20"/>
      <c r="J78" s="20"/>
      <c r="K78" s="14">
        <f>IF(OR($B78="",$J78&lt;&gt;"Sí"),"",IF(DAY($A78)&lt;='Config'!$B$13,DATE(YEAR($A78),MONTH($A78),'Config'!$B$13),EOMONTH($A78,0)+'Config'!$B$13))</f>
      </c>
      <c r="L78" s="14">
        <f>IF($K78="","",DATE(YEAR(EOMONTH($K78,0)+1),MONTH(EOMONTH($K78,0)+1),'Config'!$B$14))</f>
      </c>
      <c r="M78" s="22"/>
      <c r="N78" s="16">
        <f>IF($B78="","",MAX($H78-$M78,0))</f>
      </c>
      <c r="O78" s="19">
        <f>IF($B78="","",IF($J78&lt;&gt;"Sí","Pagado (contado)",IF($N78&lt;=0,"Pagado",IF($M78&gt;0,"Abono parcial","Pendiente"))))</f>
      </c>
      <c r="P78" s="19">
        <f>IF(OR($B78="",$J78&lt;&gt;"Sí",$N78&lt;=0),"",IF(TODAY()&gt;$L78,"🔴 VENCIDO hace "&amp;(TODAY()-$L78)&amp;" día(s)",IF($L78-TODAY()&lt;='Config'!$B$15,"🟠 Faltan "&amp;($L78-TODAY())&amp;" día(s) para pagar","🟢 Al día (paga el "&amp;TEXT($L78,"dd/mm")&amp;")")))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16">
        <f>IF($B79="","",'Config'!$B$11+'Config'!$B$12)</f>
      </c>
      <c r="H79" s="16">
        <f>IF($B79="","",$F79+$G79)</f>
      </c>
      <c r="I79" s="20"/>
      <c r="J79" s="20"/>
      <c r="K79" s="14">
        <f>IF(OR($B79="",$J79&lt;&gt;"Sí"),"",IF(DAY($A79)&lt;='Config'!$B$13,DATE(YEAR($A79),MONTH($A79),'Config'!$B$13),EOMONTH($A79,0)+'Config'!$B$13))</f>
      </c>
      <c r="L79" s="14">
        <f>IF($K79="","",DATE(YEAR(EOMONTH($K79,0)+1),MONTH(EOMONTH($K79,0)+1),'Config'!$B$14))</f>
      </c>
      <c r="M79" s="22"/>
      <c r="N79" s="16">
        <f>IF($B79="","",MAX($H79-$M79,0))</f>
      </c>
      <c r="O79" s="19">
        <f>IF($B79="","",IF($J79&lt;&gt;"Sí","Pagado (contado)",IF($N79&lt;=0,"Pagado",IF($M79&gt;0,"Abono parcial","Pendiente"))))</f>
      </c>
      <c r="P79" s="19">
        <f>IF(OR($B79="",$J79&lt;&gt;"Sí",$N79&lt;=0),"",IF(TODAY()&gt;$L79,"🔴 VENCIDO hace "&amp;(TODAY()-$L79)&amp;" día(s)",IF($L79-TODAY()&lt;='Config'!$B$15,"🟠 Faltan "&amp;($L79-TODAY())&amp;" día(s) para pagar","🟢 Al día (paga el "&amp;TEXT($L79,"dd/mm")&amp;")")))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16">
        <f>IF($B80="","",'Config'!$B$11+'Config'!$B$12)</f>
      </c>
      <c r="H80" s="16">
        <f>IF($B80="","",$F80+$G80)</f>
      </c>
      <c r="I80" s="20"/>
      <c r="J80" s="20"/>
      <c r="K80" s="14">
        <f>IF(OR($B80="",$J80&lt;&gt;"Sí"),"",IF(DAY($A80)&lt;='Config'!$B$13,DATE(YEAR($A80),MONTH($A80),'Config'!$B$13),EOMONTH($A80,0)+'Config'!$B$13))</f>
      </c>
      <c r="L80" s="14">
        <f>IF($K80="","",DATE(YEAR(EOMONTH($K80,0)+1),MONTH(EOMONTH($K80,0)+1),'Config'!$B$14))</f>
      </c>
      <c r="M80" s="22"/>
      <c r="N80" s="16">
        <f>IF($B80="","",MAX($H80-$M80,0))</f>
      </c>
      <c r="O80" s="19">
        <f>IF($B80="","",IF($J80&lt;&gt;"Sí","Pagado (contado)",IF($N80&lt;=0,"Pagado",IF($M80&gt;0,"Abono parcial","Pendiente"))))</f>
      </c>
      <c r="P80" s="19">
        <f>IF(OR($B80="",$J80&lt;&gt;"Sí",$N80&lt;=0),"",IF(TODAY()&gt;$L80,"🔴 VENCIDO hace "&amp;(TODAY()-$L80)&amp;" día(s)",IF($L80-TODAY()&lt;='Config'!$B$15,"🟠 Faltan "&amp;($L80-TODAY())&amp;" día(s) para pagar","🟢 Al día (paga el "&amp;TEXT($L80,"dd/mm")&amp;")")))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16">
        <f>IF($B81="","",'Config'!$B$11+'Config'!$B$12)</f>
      </c>
      <c r="H81" s="16">
        <f>IF($B81="","",$F81+$G81)</f>
      </c>
      <c r="I81" s="20"/>
      <c r="J81" s="20"/>
      <c r="K81" s="14">
        <f>IF(OR($B81="",$J81&lt;&gt;"Sí"),"",IF(DAY($A81)&lt;='Config'!$B$13,DATE(YEAR($A81),MONTH($A81),'Config'!$B$13),EOMONTH($A81,0)+'Config'!$B$13))</f>
      </c>
      <c r="L81" s="14">
        <f>IF($K81="","",DATE(YEAR(EOMONTH($K81,0)+1),MONTH(EOMONTH($K81,0)+1),'Config'!$B$14))</f>
      </c>
      <c r="M81" s="22"/>
      <c r="N81" s="16">
        <f>IF($B81="","",MAX($H81-$M81,0))</f>
      </c>
      <c r="O81" s="19">
        <f>IF($B81="","",IF($J81&lt;&gt;"Sí","Pagado (contado)",IF($N81&lt;=0,"Pagado",IF($M81&gt;0,"Abono parcial","Pendiente"))))</f>
      </c>
      <c r="P81" s="19">
        <f>IF(OR($B81="",$J81&lt;&gt;"Sí",$N81&lt;=0),"",IF(TODAY()&gt;$L81,"🔴 VENCIDO hace "&amp;(TODAY()-$L81)&amp;" día(s)",IF($L81-TODAY()&lt;='Config'!$B$15,"🟠 Faltan "&amp;($L81-TODAY())&amp;" día(s) para pagar","🟢 Al día (paga el "&amp;TEXT($L81,"dd/mm")&amp;")")))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16">
        <f>IF($B82="","",'Config'!$B$11+'Config'!$B$12)</f>
      </c>
      <c r="H82" s="16">
        <f>IF($B82="","",$F82+$G82)</f>
      </c>
      <c r="I82" s="20"/>
      <c r="J82" s="20"/>
      <c r="K82" s="14">
        <f>IF(OR($B82="",$J82&lt;&gt;"Sí"),"",IF(DAY($A82)&lt;='Config'!$B$13,DATE(YEAR($A82),MONTH($A82),'Config'!$B$13),EOMONTH($A82,0)+'Config'!$B$13))</f>
      </c>
      <c r="L82" s="14">
        <f>IF($K82="","",DATE(YEAR(EOMONTH($K82,0)+1),MONTH(EOMONTH($K82,0)+1),'Config'!$B$14))</f>
      </c>
      <c r="M82" s="22"/>
      <c r="N82" s="16">
        <f>IF($B82="","",MAX($H82-$M82,0))</f>
      </c>
      <c r="O82" s="19">
        <f>IF($B82="","",IF($J82&lt;&gt;"Sí","Pagado (contado)",IF($N82&lt;=0,"Pagado",IF($M82&gt;0,"Abono parcial","Pendiente"))))</f>
      </c>
      <c r="P82" s="19">
        <f>IF(OR($B82="",$J82&lt;&gt;"Sí",$N82&lt;=0),"",IF(TODAY()&gt;$L82,"🔴 VENCIDO hace "&amp;(TODAY()-$L82)&amp;" día(s)",IF($L82-TODAY()&lt;='Config'!$B$15,"🟠 Faltan "&amp;($L82-TODAY())&amp;" día(s) para pagar","🟢 Al día (paga el "&amp;TEXT($L82,"dd/mm")&amp;")")))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16">
        <f>IF($B83="","",'Config'!$B$11+'Config'!$B$12)</f>
      </c>
      <c r="H83" s="16">
        <f>IF($B83="","",$F83+$G83)</f>
      </c>
      <c r="I83" s="20"/>
      <c r="J83" s="20"/>
      <c r="K83" s="14">
        <f>IF(OR($B83="",$J83&lt;&gt;"Sí"),"",IF(DAY($A83)&lt;='Config'!$B$13,DATE(YEAR($A83),MONTH($A83),'Config'!$B$13),EOMONTH($A83,0)+'Config'!$B$13))</f>
      </c>
      <c r="L83" s="14">
        <f>IF($K83="","",DATE(YEAR(EOMONTH($K83,0)+1),MONTH(EOMONTH($K83,0)+1),'Config'!$B$14))</f>
      </c>
      <c r="M83" s="22"/>
      <c r="N83" s="16">
        <f>IF($B83="","",MAX($H83-$M83,0))</f>
      </c>
      <c r="O83" s="19">
        <f>IF($B83="","",IF($J83&lt;&gt;"Sí","Pagado (contado)",IF($N83&lt;=0,"Pagado",IF($M83&gt;0,"Abono parcial","Pendiente"))))</f>
      </c>
      <c r="P83" s="19">
        <f>IF(OR($B83="",$J83&lt;&gt;"Sí",$N83&lt;=0),"",IF(TODAY()&gt;$L83,"🔴 VENCIDO hace "&amp;(TODAY()-$L83)&amp;" día(s)",IF($L83-TODAY()&lt;='Config'!$B$15,"🟠 Faltan "&amp;($L83-TODAY())&amp;" día(s) para pagar","🟢 Al día (paga el "&amp;TEXT($L83,"dd/mm")&amp;")")))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16">
        <f>IF($B84="","",'Config'!$B$11+'Config'!$B$12)</f>
      </c>
      <c r="H84" s="16">
        <f>IF($B84="","",$F84+$G84)</f>
      </c>
      <c r="I84" s="20"/>
      <c r="J84" s="20"/>
      <c r="K84" s="14">
        <f>IF(OR($B84="",$J84&lt;&gt;"Sí"),"",IF(DAY($A84)&lt;='Config'!$B$13,DATE(YEAR($A84),MONTH($A84),'Config'!$B$13),EOMONTH($A84,0)+'Config'!$B$13))</f>
      </c>
      <c r="L84" s="14">
        <f>IF($K84="","",DATE(YEAR(EOMONTH($K84,0)+1),MONTH(EOMONTH($K84,0)+1),'Config'!$B$14))</f>
      </c>
      <c r="M84" s="22"/>
      <c r="N84" s="16">
        <f>IF($B84="","",MAX($H84-$M84,0))</f>
      </c>
      <c r="O84" s="19">
        <f>IF($B84="","",IF($J84&lt;&gt;"Sí","Pagado (contado)",IF($N84&lt;=0,"Pagado",IF($M84&gt;0,"Abono parcial","Pendiente"))))</f>
      </c>
      <c r="P84" s="19">
        <f>IF(OR($B84="",$J84&lt;&gt;"Sí",$N84&lt;=0),"",IF(TODAY()&gt;$L84,"🔴 VENCIDO hace "&amp;(TODAY()-$L84)&amp;" día(s)",IF($L84-TODAY()&lt;='Config'!$B$15,"🟠 Faltan "&amp;($L84-TODAY())&amp;" día(s) para pagar","🟢 Al día (paga el "&amp;TEXT($L84,"dd/mm")&amp;")")))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16">
        <f>IF($B85="","",'Config'!$B$11+'Config'!$B$12)</f>
      </c>
      <c r="H85" s="16">
        <f>IF($B85="","",$F85+$G85)</f>
      </c>
      <c r="I85" s="20"/>
      <c r="J85" s="20"/>
      <c r="K85" s="14">
        <f>IF(OR($B85="",$J85&lt;&gt;"Sí"),"",IF(DAY($A85)&lt;='Config'!$B$13,DATE(YEAR($A85),MONTH($A85),'Config'!$B$13),EOMONTH($A85,0)+'Config'!$B$13))</f>
      </c>
      <c r="L85" s="14">
        <f>IF($K85="","",DATE(YEAR(EOMONTH($K85,0)+1),MONTH(EOMONTH($K85,0)+1),'Config'!$B$14))</f>
      </c>
      <c r="M85" s="22"/>
      <c r="N85" s="16">
        <f>IF($B85="","",MAX($H85-$M85,0))</f>
      </c>
      <c r="O85" s="19">
        <f>IF($B85="","",IF($J85&lt;&gt;"Sí","Pagado (contado)",IF($N85&lt;=0,"Pagado",IF($M85&gt;0,"Abono parcial","Pendiente"))))</f>
      </c>
      <c r="P85" s="19">
        <f>IF(OR($B85="",$J85&lt;&gt;"Sí",$N85&lt;=0),"",IF(TODAY()&gt;$L85,"🔴 VENCIDO hace "&amp;(TODAY()-$L85)&amp;" día(s)",IF($L85-TODAY()&lt;='Config'!$B$15,"🟠 Faltan "&amp;($L85-TODAY())&amp;" día(s) para pagar","🟢 Al día (paga el "&amp;TEXT($L85,"dd/mm")&amp;")")))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16">
        <f>IF($B86="","",'Config'!$B$11+'Config'!$B$12)</f>
      </c>
      <c r="H86" s="16">
        <f>IF($B86="","",$F86+$G86)</f>
      </c>
      <c r="I86" s="20"/>
      <c r="J86" s="20"/>
      <c r="K86" s="14">
        <f>IF(OR($B86="",$J86&lt;&gt;"Sí"),"",IF(DAY($A86)&lt;='Config'!$B$13,DATE(YEAR($A86),MONTH($A86),'Config'!$B$13),EOMONTH($A86,0)+'Config'!$B$13))</f>
      </c>
      <c r="L86" s="14">
        <f>IF($K86="","",DATE(YEAR(EOMONTH($K86,0)+1),MONTH(EOMONTH($K86,0)+1),'Config'!$B$14))</f>
      </c>
      <c r="M86" s="22"/>
      <c r="N86" s="16">
        <f>IF($B86="","",MAX($H86-$M86,0))</f>
      </c>
      <c r="O86" s="19">
        <f>IF($B86="","",IF($J86&lt;&gt;"Sí","Pagado (contado)",IF($N86&lt;=0,"Pagado",IF($M86&gt;0,"Abono parcial","Pendiente"))))</f>
      </c>
      <c r="P86" s="19">
        <f>IF(OR($B86="",$J86&lt;&gt;"Sí",$N86&lt;=0),"",IF(TODAY()&gt;$L86,"🔴 VENCIDO hace "&amp;(TODAY()-$L86)&amp;" día(s)",IF($L86-TODAY()&lt;='Config'!$B$15,"🟠 Faltan "&amp;($L86-TODAY())&amp;" día(s) para pagar","🟢 Al día (paga el "&amp;TEXT($L86,"dd/mm")&amp;")")))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16">
        <f>IF($B87="","",'Config'!$B$11+'Config'!$B$12)</f>
      </c>
      <c r="H87" s="16">
        <f>IF($B87="","",$F87+$G87)</f>
      </c>
      <c r="I87" s="20"/>
      <c r="J87" s="20"/>
      <c r="K87" s="14">
        <f>IF(OR($B87="",$J87&lt;&gt;"Sí"),"",IF(DAY($A87)&lt;='Config'!$B$13,DATE(YEAR($A87),MONTH($A87),'Config'!$B$13),EOMONTH($A87,0)+'Config'!$B$13))</f>
      </c>
      <c r="L87" s="14">
        <f>IF($K87="","",DATE(YEAR(EOMONTH($K87,0)+1),MONTH(EOMONTH($K87,0)+1),'Config'!$B$14))</f>
      </c>
      <c r="M87" s="22"/>
      <c r="N87" s="16">
        <f>IF($B87="","",MAX($H87-$M87,0))</f>
      </c>
      <c r="O87" s="19">
        <f>IF($B87="","",IF($J87&lt;&gt;"Sí","Pagado (contado)",IF($N87&lt;=0,"Pagado",IF($M87&gt;0,"Abono parcial","Pendiente"))))</f>
      </c>
      <c r="P87" s="19">
        <f>IF(OR($B87="",$J87&lt;&gt;"Sí",$N87&lt;=0),"",IF(TODAY()&gt;$L87,"🔴 VENCIDO hace "&amp;(TODAY()-$L87)&amp;" día(s)",IF($L87-TODAY()&lt;='Config'!$B$15,"🟠 Faltan "&amp;($L87-TODAY())&amp;" día(s) para pagar","🟢 Al día (paga el "&amp;TEXT($L87,"dd/mm")&amp;")")))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16">
        <f>IF($B88="","",'Config'!$B$11+'Config'!$B$12)</f>
      </c>
      <c r="H88" s="16">
        <f>IF($B88="","",$F88+$G88)</f>
      </c>
      <c r="I88" s="20"/>
      <c r="J88" s="20"/>
      <c r="K88" s="14">
        <f>IF(OR($B88="",$J88&lt;&gt;"Sí"),"",IF(DAY($A88)&lt;='Config'!$B$13,DATE(YEAR($A88),MONTH($A88),'Config'!$B$13),EOMONTH($A88,0)+'Config'!$B$13))</f>
      </c>
      <c r="L88" s="14">
        <f>IF($K88="","",DATE(YEAR(EOMONTH($K88,0)+1),MONTH(EOMONTH($K88,0)+1),'Config'!$B$14))</f>
      </c>
      <c r="M88" s="22"/>
      <c r="N88" s="16">
        <f>IF($B88="","",MAX($H88-$M88,0))</f>
      </c>
      <c r="O88" s="19">
        <f>IF($B88="","",IF($J88&lt;&gt;"Sí","Pagado (contado)",IF($N88&lt;=0,"Pagado",IF($M88&gt;0,"Abono parcial","Pendiente"))))</f>
      </c>
      <c r="P88" s="19">
        <f>IF(OR($B88="",$J88&lt;&gt;"Sí",$N88&lt;=0),"",IF(TODAY()&gt;$L88,"🔴 VENCIDO hace "&amp;(TODAY()-$L88)&amp;" día(s)",IF($L88-TODAY()&lt;='Config'!$B$15,"🟠 Faltan "&amp;($L88-TODAY())&amp;" día(s) para pagar","🟢 Al día (paga el "&amp;TEXT($L88,"dd/mm")&amp;")")))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16">
        <f>IF($B89="","",'Config'!$B$11+'Config'!$B$12)</f>
      </c>
      <c r="H89" s="16">
        <f>IF($B89="","",$F89+$G89)</f>
      </c>
      <c r="I89" s="20"/>
      <c r="J89" s="20"/>
      <c r="K89" s="14">
        <f>IF(OR($B89="",$J89&lt;&gt;"Sí"),"",IF(DAY($A89)&lt;='Config'!$B$13,DATE(YEAR($A89),MONTH($A89),'Config'!$B$13),EOMONTH($A89,0)+'Config'!$B$13))</f>
      </c>
      <c r="L89" s="14">
        <f>IF($K89="","",DATE(YEAR(EOMONTH($K89,0)+1),MONTH(EOMONTH($K89,0)+1),'Config'!$B$14))</f>
      </c>
      <c r="M89" s="22"/>
      <c r="N89" s="16">
        <f>IF($B89="","",MAX($H89-$M89,0))</f>
      </c>
      <c r="O89" s="19">
        <f>IF($B89="","",IF($J89&lt;&gt;"Sí","Pagado (contado)",IF($N89&lt;=0,"Pagado",IF($M89&gt;0,"Abono parcial","Pendiente"))))</f>
      </c>
      <c r="P89" s="19">
        <f>IF(OR($B89="",$J89&lt;&gt;"Sí",$N89&lt;=0),"",IF(TODAY()&gt;$L89,"🔴 VENCIDO hace "&amp;(TODAY()-$L89)&amp;" día(s)",IF($L89-TODAY()&lt;='Config'!$B$15,"🟠 Faltan "&amp;($L89-TODAY())&amp;" día(s) para pagar","🟢 Al día (paga el "&amp;TEXT($L89,"dd/mm")&amp;")")))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16">
        <f>IF($B90="","",'Config'!$B$11+'Config'!$B$12)</f>
      </c>
      <c r="H90" s="16">
        <f>IF($B90="","",$F90+$G90)</f>
      </c>
      <c r="I90" s="20"/>
      <c r="J90" s="20"/>
      <c r="K90" s="14">
        <f>IF(OR($B90="",$J90&lt;&gt;"Sí"),"",IF(DAY($A90)&lt;='Config'!$B$13,DATE(YEAR($A90),MONTH($A90),'Config'!$B$13),EOMONTH($A90,0)+'Config'!$B$13))</f>
      </c>
      <c r="L90" s="14">
        <f>IF($K90="","",DATE(YEAR(EOMONTH($K90,0)+1),MONTH(EOMONTH($K90,0)+1),'Config'!$B$14))</f>
      </c>
      <c r="M90" s="22"/>
      <c r="N90" s="16">
        <f>IF($B90="","",MAX($H90-$M90,0))</f>
      </c>
      <c r="O90" s="19">
        <f>IF($B90="","",IF($J90&lt;&gt;"Sí","Pagado (contado)",IF($N90&lt;=0,"Pagado",IF($M90&gt;0,"Abono parcial","Pendiente"))))</f>
      </c>
      <c r="P90" s="19">
        <f>IF(OR($B90="",$J90&lt;&gt;"Sí",$N90&lt;=0),"",IF(TODAY()&gt;$L90,"🔴 VENCIDO hace "&amp;(TODAY()-$L90)&amp;" día(s)",IF($L90-TODAY()&lt;='Config'!$B$15,"🟠 Faltan "&amp;($L90-TODAY())&amp;" día(s) para pagar","🟢 Al día (paga el "&amp;TEXT($L90,"dd/mm")&amp;")")))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16">
        <f>IF($B91="","",'Config'!$B$11+'Config'!$B$12)</f>
      </c>
      <c r="H91" s="16">
        <f>IF($B91="","",$F91+$G91)</f>
      </c>
      <c r="I91" s="20"/>
      <c r="J91" s="20"/>
      <c r="K91" s="14">
        <f>IF(OR($B91="",$J91&lt;&gt;"Sí"),"",IF(DAY($A91)&lt;='Config'!$B$13,DATE(YEAR($A91),MONTH($A91),'Config'!$B$13),EOMONTH($A91,0)+'Config'!$B$13))</f>
      </c>
      <c r="L91" s="14">
        <f>IF($K91="","",DATE(YEAR(EOMONTH($K91,0)+1),MONTH(EOMONTH($K91,0)+1),'Config'!$B$14))</f>
      </c>
      <c r="M91" s="22"/>
      <c r="N91" s="16">
        <f>IF($B91="","",MAX($H91-$M91,0))</f>
      </c>
      <c r="O91" s="19">
        <f>IF($B91="","",IF($J91&lt;&gt;"Sí","Pagado (contado)",IF($N91&lt;=0,"Pagado",IF($M91&gt;0,"Abono parcial","Pendiente"))))</f>
      </c>
      <c r="P91" s="19">
        <f>IF(OR($B91="",$J91&lt;&gt;"Sí",$N91&lt;=0),"",IF(TODAY()&gt;$L91,"🔴 VENCIDO hace "&amp;(TODAY()-$L91)&amp;" día(s)",IF($L91-TODAY()&lt;='Config'!$B$15,"🟠 Faltan "&amp;($L91-TODAY())&amp;" día(s) para pagar","🟢 Al día (paga el "&amp;TEXT($L91,"dd/mm")&amp;")")))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16">
        <f>IF($B92="","",'Config'!$B$11+'Config'!$B$12)</f>
      </c>
      <c r="H92" s="16">
        <f>IF($B92="","",$F92+$G92)</f>
      </c>
      <c r="I92" s="20"/>
      <c r="J92" s="20"/>
      <c r="K92" s="14">
        <f>IF(OR($B92="",$J92&lt;&gt;"Sí"),"",IF(DAY($A92)&lt;='Config'!$B$13,DATE(YEAR($A92),MONTH($A92),'Config'!$B$13),EOMONTH($A92,0)+'Config'!$B$13))</f>
      </c>
      <c r="L92" s="14">
        <f>IF($K92="","",DATE(YEAR(EOMONTH($K92,0)+1),MONTH(EOMONTH($K92,0)+1),'Config'!$B$14))</f>
      </c>
      <c r="M92" s="22"/>
      <c r="N92" s="16">
        <f>IF($B92="","",MAX($H92-$M92,0))</f>
      </c>
      <c r="O92" s="19">
        <f>IF($B92="","",IF($J92&lt;&gt;"Sí","Pagado (contado)",IF($N92&lt;=0,"Pagado",IF($M92&gt;0,"Abono parcial","Pendiente"))))</f>
      </c>
      <c r="P92" s="19">
        <f>IF(OR($B92="",$J92&lt;&gt;"Sí",$N92&lt;=0),"",IF(TODAY()&gt;$L92,"🔴 VENCIDO hace "&amp;(TODAY()-$L92)&amp;" día(s)",IF($L92-TODAY()&lt;='Config'!$B$15,"🟠 Faltan "&amp;($L92-TODAY())&amp;" día(s) para pagar","🟢 Al día (paga el "&amp;TEXT($L92,"dd/mm")&amp;")")))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16">
        <f>IF($B93="","",'Config'!$B$11+'Config'!$B$12)</f>
      </c>
      <c r="H93" s="16">
        <f>IF($B93="","",$F93+$G93)</f>
      </c>
      <c r="I93" s="20"/>
      <c r="J93" s="20"/>
      <c r="K93" s="14">
        <f>IF(OR($B93="",$J93&lt;&gt;"Sí"),"",IF(DAY($A93)&lt;='Config'!$B$13,DATE(YEAR($A93),MONTH($A93),'Config'!$B$13),EOMONTH($A93,0)+'Config'!$B$13))</f>
      </c>
      <c r="L93" s="14">
        <f>IF($K93="","",DATE(YEAR(EOMONTH($K93,0)+1),MONTH(EOMONTH($K93,0)+1),'Config'!$B$14))</f>
      </c>
      <c r="M93" s="22"/>
      <c r="N93" s="16">
        <f>IF($B93="","",MAX($H93-$M93,0))</f>
      </c>
      <c r="O93" s="19">
        <f>IF($B93="","",IF($J93&lt;&gt;"Sí","Pagado (contado)",IF($N93&lt;=0,"Pagado",IF($M93&gt;0,"Abono parcial","Pendiente"))))</f>
      </c>
      <c r="P93" s="19">
        <f>IF(OR($B93="",$J93&lt;&gt;"Sí",$N93&lt;=0),"",IF(TODAY()&gt;$L93,"🔴 VENCIDO hace "&amp;(TODAY()-$L93)&amp;" día(s)",IF($L93-TODAY()&lt;='Config'!$B$15,"🟠 Faltan "&amp;($L93-TODAY())&amp;" día(s) para pagar","🟢 Al día (paga el "&amp;TEXT($L93,"dd/mm")&amp;")")))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16">
        <f>IF($B94="","",'Config'!$B$11+'Config'!$B$12)</f>
      </c>
      <c r="H94" s="16">
        <f>IF($B94="","",$F94+$G94)</f>
      </c>
      <c r="I94" s="20"/>
      <c r="J94" s="20"/>
      <c r="K94" s="14">
        <f>IF(OR($B94="",$J94&lt;&gt;"Sí"),"",IF(DAY($A94)&lt;='Config'!$B$13,DATE(YEAR($A94),MONTH($A94),'Config'!$B$13),EOMONTH($A94,0)+'Config'!$B$13))</f>
      </c>
      <c r="L94" s="14">
        <f>IF($K94="","",DATE(YEAR(EOMONTH($K94,0)+1),MONTH(EOMONTH($K94,0)+1),'Config'!$B$14))</f>
      </c>
      <c r="M94" s="22"/>
      <c r="N94" s="16">
        <f>IF($B94="","",MAX($H94-$M94,0))</f>
      </c>
      <c r="O94" s="19">
        <f>IF($B94="","",IF($J94&lt;&gt;"Sí","Pagado (contado)",IF($N94&lt;=0,"Pagado",IF($M94&gt;0,"Abono parcial","Pendiente"))))</f>
      </c>
      <c r="P94" s="19">
        <f>IF(OR($B94="",$J94&lt;&gt;"Sí",$N94&lt;=0),"",IF(TODAY()&gt;$L94,"🔴 VENCIDO hace "&amp;(TODAY()-$L94)&amp;" día(s)",IF($L94-TODAY()&lt;='Config'!$B$15,"🟠 Faltan "&amp;($L94-TODAY())&amp;" día(s) para pagar","🟢 Al día (paga el "&amp;TEXT($L94,"dd/mm")&amp;")")))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16">
        <f>IF($B95="","",'Config'!$B$11+'Config'!$B$12)</f>
      </c>
      <c r="H95" s="16">
        <f>IF($B95="","",$F95+$G95)</f>
      </c>
      <c r="I95" s="20"/>
      <c r="J95" s="20"/>
      <c r="K95" s="14">
        <f>IF(OR($B95="",$J95&lt;&gt;"Sí"),"",IF(DAY($A95)&lt;='Config'!$B$13,DATE(YEAR($A95),MONTH($A95),'Config'!$B$13),EOMONTH($A95,0)+'Config'!$B$13))</f>
      </c>
      <c r="L95" s="14">
        <f>IF($K95="","",DATE(YEAR(EOMONTH($K95,0)+1),MONTH(EOMONTH($K95,0)+1),'Config'!$B$14))</f>
      </c>
      <c r="M95" s="22"/>
      <c r="N95" s="16">
        <f>IF($B95="","",MAX($H95-$M95,0))</f>
      </c>
      <c r="O95" s="19">
        <f>IF($B95="","",IF($J95&lt;&gt;"Sí","Pagado (contado)",IF($N95&lt;=0,"Pagado",IF($M95&gt;0,"Abono parcial","Pendiente"))))</f>
      </c>
      <c r="P95" s="19">
        <f>IF(OR($B95="",$J95&lt;&gt;"Sí",$N95&lt;=0),"",IF(TODAY()&gt;$L95,"🔴 VENCIDO hace "&amp;(TODAY()-$L95)&amp;" día(s)",IF($L95-TODAY()&lt;='Config'!$B$15,"🟠 Faltan "&amp;($L95-TODAY())&amp;" día(s) para pagar","🟢 Al día (paga el "&amp;TEXT($L95,"dd/mm")&amp;")")))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16">
        <f>IF($B96="","",'Config'!$B$11+'Config'!$B$12)</f>
      </c>
      <c r="H96" s="16">
        <f>IF($B96="","",$F96+$G96)</f>
      </c>
      <c r="I96" s="20"/>
      <c r="J96" s="20"/>
      <c r="K96" s="14">
        <f>IF(OR($B96="",$J96&lt;&gt;"Sí"),"",IF(DAY($A96)&lt;='Config'!$B$13,DATE(YEAR($A96),MONTH($A96),'Config'!$B$13),EOMONTH($A96,0)+'Config'!$B$13))</f>
      </c>
      <c r="L96" s="14">
        <f>IF($K96="","",DATE(YEAR(EOMONTH($K96,0)+1),MONTH(EOMONTH($K96,0)+1),'Config'!$B$14))</f>
      </c>
      <c r="M96" s="22"/>
      <c r="N96" s="16">
        <f>IF($B96="","",MAX($H96-$M96,0))</f>
      </c>
      <c r="O96" s="19">
        <f>IF($B96="","",IF($J96&lt;&gt;"Sí","Pagado (contado)",IF($N96&lt;=0,"Pagado",IF($M96&gt;0,"Abono parcial","Pendiente"))))</f>
      </c>
      <c r="P96" s="19">
        <f>IF(OR($B96="",$J96&lt;&gt;"Sí",$N96&lt;=0),"",IF(TODAY()&gt;$L96,"🔴 VENCIDO hace "&amp;(TODAY()-$L96)&amp;" día(s)",IF($L96-TODAY()&lt;='Config'!$B$15,"🟠 Faltan "&amp;($L96-TODAY())&amp;" día(s) para pagar","🟢 Al día (paga el "&amp;TEXT($L96,"dd/mm")&amp;")")))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16">
        <f>IF($B97="","",'Config'!$B$11+'Config'!$B$12)</f>
      </c>
      <c r="H97" s="16">
        <f>IF($B97="","",$F97+$G97)</f>
      </c>
      <c r="I97" s="20"/>
      <c r="J97" s="20"/>
      <c r="K97" s="14">
        <f>IF(OR($B97="",$J97&lt;&gt;"Sí"),"",IF(DAY($A97)&lt;='Config'!$B$13,DATE(YEAR($A97),MONTH($A97),'Config'!$B$13),EOMONTH($A97,0)+'Config'!$B$13))</f>
      </c>
      <c r="L97" s="14">
        <f>IF($K97="","",DATE(YEAR(EOMONTH($K97,0)+1),MONTH(EOMONTH($K97,0)+1),'Config'!$B$14))</f>
      </c>
      <c r="M97" s="22"/>
      <c r="N97" s="16">
        <f>IF($B97="","",MAX($H97-$M97,0))</f>
      </c>
      <c r="O97" s="19">
        <f>IF($B97="","",IF($J97&lt;&gt;"Sí","Pagado (contado)",IF($N97&lt;=0,"Pagado",IF($M97&gt;0,"Abono parcial","Pendiente"))))</f>
      </c>
      <c r="P97" s="19">
        <f>IF(OR($B97="",$J97&lt;&gt;"Sí",$N97&lt;=0),"",IF(TODAY()&gt;$L97,"🔴 VENCIDO hace "&amp;(TODAY()-$L97)&amp;" día(s)",IF($L97-TODAY()&lt;='Config'!$B$15,"🟠 Faltan "&amp;($L97-TODAY())&amp;" día(s) para pagar","🟢 Al día (paga el "&amp;TEXT($L97,"dd/mm")&amp;")")))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16">
        <f>IF($B98="","",'Config'!$B$11+'Config'!$B$12)</f>
      </c>
      <c r="H98" s="16">
        <f>IF($B98="","",$F98+$G98)</f>
      </c>
      <c r="I98" s="20"/>
      <c r="J98" s="20"/>
      <c r="K98" s="14">
        <f>IF(OR($B98="",$J98&lt;&gt;"Sí"),"",IF(DAY($A98)&lt;='Config'!$B$13,DATE(YEAR($A98),MONTH($A98),'Config'!$B$13),EOMONTH($A98,0)+'Config'!$B$13))</f>
      </c>
      <c r="L98" s="14">
        <f>IF($K98="","",DATE(YEAR(EOMONTH($K98,0)+1),MONTH(EOMONTH($K98,0)+1),'Config'!$B$14))</f>
      </c>
      <c r="M98" s="22"/>
      <c r="N98" s="16">
        <f>IF($B98="","",MAX($H98-$M98,0))</f>
      </c>
      <c r="O98" s="19">
        <f>IF($B98="","",IF($J98&lt;&gt;"Sí","Pagado (contado)",IF($N98&lt;=0,"Pagado",IF($M98&gt;0,"Abono parcial","Pendiente"))))</f>
      </c>
      <c r="P98" s="19">
        <f>IF(OR($B98="",$J98&lt;&gt;"Sí",$N98&lt;=0),"",IF(TODAY()&gt;$L98,"🔴 VENCIDO hace "&amp;(TODAY()-$L98)&amp;" día(s)",IF($L98-TODAY()&lt;='Config'!$B$15,"🟠 Faltan "&amp;($L98-TODAY())&amp;" día(s) para pagar","🟢 Al día (paga el "&amp;TEXT($L98,"dd/mm")&amp;")")))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16">
        <f>IF($B99="","",'Config'!$B$11+'Config'!$B$12)</f>
      </c>
      <c r="H99" s="16">
        <f>IF($B99="","",$F99+$G99)</f>
      </c>
      <c r="I99" s="20"/>
      <c r="J99" s="20"/>
      <c r="K99" s="14">
        <f>IF(OR($B99="",$J99&lt;&gt;"Sí"),"",IF(DAY($A99)&lt;='Config'!$B$13,DATE(YEAR($A99),MONTH($A99),'Config'!$B$13),EOMONTH($A99,0)+'Config'!$B$13))</f>
      </c>
      <c r="L99" s="14">
        <f>IF($K99="","",DATE(YEAR(EOMONTH($K99,0)+1),MONTH(EOMONTH($K99,0)+1),'Config'!$B$14))</f>
      </c>
      <c r="M99" s="22"/>
      <c r="N99" s="16">
        <f>IF($B99="","",MAX($H99-$M99,0))</f>
      </c>
      <c r="O99" s="19">
        <f>IF($B99="","",IF($J99&lt;&gt;"Sí","Pagado (contado)",IF($N99&lt;=0,"Pagado",IF($M99&gt;0,"Abono parcial","Pendiente"))))</f>
      </c>
      <c r="P99" s="19">
        <f>IF(OR($B99="",$J99&lt;&gt;"Sí",$N99&lt;=0),"",IF(TODAY()&gt;$L99,"🔴 VENCIDO hace "&amp;(TODAY()-$L99)&amp;" día(s)",IF($L99-TODAY()&lt;='Config'!$B$15,"🟠 Faltan "&amp;($L99-TODAY())&amp;" día(s) para pagar","🟢 Al día (paga el "&amp;TEXT($L99,"dd/mm")&amp;")")))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16">
        <f>IF($B100="","",'Config'!$B$11+'Config'!$B$12)</f>
      </c>
      <c r="H100" s="16">
        <f>IF($B100="","",$F100+$G100)</f>
      </c>
      <c r="I100" s="20"/>
      <c r="J100" s="20"/>
      <c r="K100" s="14">
        <f>IF(OR($B100="",$J100&lt;&gt;"Sí"),"",IF(DAY($A100)&lt;='Config'!$B$13,DATE(YEAR($A100),MONTH($A100),'Config'!$B$13),EOMONTH($A100,0)+'Config'!$B$13))</f>
      </c>
      <c r="L100" s="14">
        <f>IF($K100="","",DATE(YEAR(EOMONTH($K100,0)+1),MONTH(EOMONTH($K100,0)+1),'Config'!$B$14))</f>
      </c>
      <c r="M100" s="22"/>
      <c r="N100" s="16">
        <f>IF($B100="","",MAX($H100-$M100,0))</f>
      </c>
      <c r="O100" s="19">
        <f>IF($B100="","",IF($J100&lt;&gt;"Sí","Pagado (contado)",IF($N100&lt;=0,"Pagado",IF($M100&gt;0,"Abono parcial","Pendiente"))))</f>
      </c>
      <c r="P100" s="19">
        <f>IF(OR($B100="",$J100&lt;&gt;"Sí",$N100&lt;=0),"",IF(TODAY()&gt;$L100,"🔴 VENCIDO hace "&amp;(TODAY()-$L100)&amp;" día(s)",IF($L100-TODAY()&lt;='Config'!$B$15,"🟠 Faltan "&amp;($L100-TODAY())&amp;" día(s) para pagar","🟢 Al día (paga el "&amp;TEXT($L100,"dd/mm")&amp;")")))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16">
        <f>IF($B101="","",'Config'!$B$11+'Config'!$B$12)</f>
      </c>
      <c r="H101" s="16">
        <f>IF($B101="","",$F101+$G101)</f>
      </c>
      <c r="I101" s="20"/>
      <c r="J101" s="20"/>
      <c r="K101" s="14">
        <f>IF(OR($B101="",$J101&lt;&gt;"Sí"),"",IF(DAY($A101)&lt;='Config'!$B$13,DATE(YEAR($A101),MONTH($A101),'Config'!$B$13),EOMONTH($A101,0)+'Config'!$B$13))</f>
      </c>
      <c r="L101" s="14">
        <f>IF($K101="","",DATE(YEAR(EOMONTH($K101,0)+1),MONTH(EOMONTH($K101,0)+1),'Config'!$B$14))</f>
      </c>
      <c r="M101" s="22"/>
      <c r="N101" s="16">
        <f>IF($B101="","",MAX($H101-$M101,0))</f>
      </c>
      <c r="O101" s="19">
        <f>IF($B101="","",IF($J101&lt;&gt;"Sí","Pagado (contado)",IF($N101&lt;=0,"Pagado",IF($M101&gt;0,"Abono parcial","Pendiente"))))</f>
      </c>
      <c r="P101" s="19">
        <f>IF(OR($B101="",$J101&lt;&gt;"Sí",$N101&lt;=0),"",IF(TODAY()&gt;$L101,"🔴 VENCIDO hace "&amp;(TODAY()-$L101)&amp;" día(s)",IF($L101-TODAY()&lt;='Config'!$B$15,"🟠 Faltan "&amp;($L101-TODAY())&amp;" día(s) para pagar","🟢 Al día (paga el "&amp;TEXT($L101,"dd/mm")&amp;")")))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16">
        <f>IF($B102="","",'Config'!$B$11+'Config'!$B$12)</f>
      </c>
      <c r="H102" s="16">
        <f>IF($B102="","",$F102+$G102)</f>
      </c>
      <c r="I102" s="20"/>
      <c r="J102" s="20"/>
      <c r="K102" s="14">
        <f>IF(OR($B102="",$J102&lt;&gt;"Sí"),"",IF(DAY($A102)&lt;='Config'!$B$13,DATE(YEAR($A102),MONTH($A102),'Config'!$B$13),EOMONTH($A102,0)+'Config'!$B$13))</f>
      </c>
      <c r="L102" s="14">
        <f>IF($K102="","",DATE(YEAR(EOMONTH($K102,0)+1),MONTH(EOMONTH($K102,0)+1),'Config'!$B$14))</f>
      </c>
      <c r="M102" s="22"/>
      <c r="N102" s="16">
        <f>IF($B102="","",MAX($H102-$M102,0))</f>
      </c>
      <c r="O102" s="19">
        <f>IF($B102="","",IF($J102&lt;&gt;"Sí","Pagado (contado)",IF($N102&lt;=0,"Pagado",IF($M102&gt;0,"Abono parcial","Pendiente"))))</f>
      </c>
      <c r="P102" s="19">
        <f>IF(OR($B102="",$J102&lt;&gt;"Sí",$N102&lt;=0),"",IF(TODAY()&gt;$L102,"🔴 VENCIDO hace "&amp;(TODAY()-$L102)&amp;" día(s)",IF($L102-TODAY()&lt;='Config'!$B$15,"🟠 Faltan "&amp;($L102-TODAY())&amp;" día(s) para pagar","🟢 Al día (paga el "&amp;TEXT($L102,"dd/mm")&amp;")")))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16">
        <f>IF($B103="","",'Config'!$B$11+'Config'!$B$12)</f>
      </c>
      <c r="H103" s="16">
        <f>IF($B103="","",$F103+$G103)</f>
      </c>
      <c r="I103" s="20"/>
      <c r="J103" s="20"/>
      <c r="K103" s="14">
        <f>IF(OR($B103="",$J103&lt;&gt;"Sí"),"",IF(DAY($A103)&lt;='Config'!$B$13,DATE(YEAR($A103),MONTH($A103),'Config'!$B$13),EOMONTH($A103,0)+'Config'!$B$13))</f>
      </c>
      <c r="L103" s="14">
        <f>IF($K103="","",DATE(YEAR(EOMONTH($K103,0)+1),MONTH(EOMONTH($K103,0)+1),'Config'!$B$14))</f>
      </c>
      <c r="M103" s="22"/>
      <c r="N103" s="16">
        <f>IF($B103="","",MAX($H103-$M103,0))</f>
      </c>
      <c r="O103" s="19">
        <f>IF($B103="","",IF($J103&lt;&gt;"Sí","Pagado (contado)",IF($N103&lt;=0,"Pagado",IF($M103&gt;0,"Abono parcial","Pendiente"))))</f>
      </c>
      <c r="P103" s="19">
        <f>IF(OR($B103="",$J103&lt;&gt;"Sí",$N103&lt;=0),"",IF(TODAY()&gt;$L103,"🔴 VENCIDO hace "&amp;(TODAY()-$L103)&amp;" día(s)",IF($L103-TODAY()&lt;='Config'!$B$15,"🟠 Faltan "&amp;($L103-TODAY())&amp;" día(s) para pagar","🟢 Al día (paga el "&amp;TEXT($L103,"dd/mm")&amp;")")))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16">
        <f>IF($B104="","",'Config'!$B$11+'Config'!$B$12)</f>
      </c>
      <c r="H104" s="16">
        <f>IF($B104="","",$F104+$G104)</f>
      </c>
      <c r="I104" s="20"/>
      <c r="J104" s="20"/>
      <c r="K104" s="14">
        <f>IF(OR($B104="",$J104&lt;&gt;"Sí"),"",IF(DAY($A104)&lt;='Config'!$B$13,DATE(YEAR($A104),MONTH($A104),'Config'!$B$13),EOMONTH($A104,0)+'Config'!$B$13))</f>
      </c>
      <c r="L104" s="14">
        <f>IF($K104="","",DATE(YEAR(EOMONTH($K104,0)+1),MONTH(EOMONTH($K104,0)+1),'Config'!$B$14))</f>
      </c>
      <c r="M104" s="22"/>
      <c r="N104" s="16">
        <f>IF($B104="","",MAX($H104-$M104,0))</f>
      </c>
      <c r="O104" s="19">
        <f>IF($B104="","",IF($J104&lt;&gt;"Sí","Pagado (contado)",IF($N104&lt;=0,"Pagado",IF($M104&gt;0,"Abono parcial","Pendiente"))))</f>
      </c>
      <c r="P104" s="19">
        <f>IF(OR($B104="",$J104&lt;&gt;"Sí",$N104&lt;=0),"",IF(TODAY()&gt;$L104,"🔴 VENCIDO hace "&amp;(TODAY()-$L104)&amp;" día(s)",IF($L104-TODAY()&lt;='Config'!$B$15,"🟠 Faltan "&amp;($L104-TODAY())&amp;" día(s) para pagar","🟢 Al día (paga el "&amp;TEXT($L104,"dd/mm")&amp;")")))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16">
        <f>IF($B105="","",'Config'!$B$11+'Config'!$B$12)</f>
      </c>
      <c r="H105" s="16">
        <f>IF($B105="","",$F105+$G105)</f>
      </c>
      <c r="I105" s="20"/>
      <c r="J105" s="20"/>
      <c r="K105" s="14">
        <f>IF(OR($B105="",$J105&lt;&gt;"Sí"),"",IF(DAY($A105)&lt;='Config'!$B$13,DATE(YEAR($A105),MONTH($A105),'Config'!$B$13),EOMONTH($A105,0)+'Config'!$B$13))</f>
      </c>
      <c r="L105" s="14">
        <f>IF($K105="","",DATE(YEAR(EOMONTH($K105,0)+1),MONTH(EOMONTH($K105,0)+1),'Config'!$B$14))</f>
      </c>
      <c r="M105" s="22"/>
      <c r="N105" s="16">
        <f>IF($B105="","",MAX($H105-$M105,0))</f>
      </c>
      <c r="O105" s="19">
        <f>IF($B105="","",IF($J105&lt;&gt;"Sí","Pagado (contado)",IF($N105&lt;=0,"Pagado",IF($M105&gt;0,"Abono parcial","Pendiente"))))</f>
      </c>
      <c r="P105" s="19">
        <f>IF(OR($B105="",$J105&lt;&gt;"Sí",$N105&lt;=0),"",IF(TODAY()&gt;$L105,"🔴 VENCIDO hace "&amp;(TODAY()-$L105)&amp;" día(s)",IF($L105-TODAY()&lt;='Config'!$B$15,"🟠 Faltan "&amp;($L105-TODAY())&amp;" día(s) para pagar","🟢 Al día (paga el "&amp;TEXT($L105,"dd/mm")&amp;")")))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16">
        <f>IF($B106="","",'Config'!$B$11+'Config'!$B$12)</f>
      </c>
      <c r="H106" s="16">
        <f>IF($B106="","",$F106+$G106)</f>
      </c>
      <c r="I106" s="20"/>
      <c r="J106" s="20"/>
      <c r="K106" s="14">
        <f>IF(OR($B106="",$J106&lt;&gt;"Sí"),"",IF(DAY($A106)&lt;='Config'!$B$13,DATE(YEAR($A106),MONTH($A106),'Config'!$B$13),EOMONTH($A106,0)+'Config'!$B$13))</f>
      </c>
      <c r="L106" s="14">
        <f>IF($K106="","",DATE(YEAR(EOMONTH($K106,0)+1),MONTH(EOMONTH($K106,0)+1),'Config'!$B$14))</f>
      </c>
      <c r="M106" s="22"/>
      <c r="N106" s="16">
        <f>IF($B106="","",MAX($H106-$M106,0))</f>
      </c>
      <c r="O106" s="19">
        <f>IF($B106="","",IF($J106&lt;&gt;"Sí","Pagado (contado)",IF($N106&lt;=0,"Pagado",IF($M106&gt;0,"Abono parcial","Pendiente"))))</f>
      </c>
      <c r="P106" s="19">
        <f>IF(OR($B106="",$J106&lt;&gt;"Sí",$N106&lt;=0),"",IF(TODAY()&gt;$L106,"🔴 VENCIDO hace "&amp;(TODAY()-$L106)&amp;" día(s)",IF($L106-TODAY()&lt;='Config'!$B$15,"🟠 Faltan "&amp;($L106-TODAY())&amp;" día(s) para pagar","🟢 Al día (paga el "&amp;TEXT($L106,"dd/mm")&amp;")")))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16">
        <f>IF($B107="","",'Config'!$B$11+'Config'!$B$12)</f>
      </c>
      <c r="H107" s="16">
        <f>IF($B107="","",$F107+$G107)</f>
      </c>
      <c r="I107" s="20"/>
      <c r="J107" s="20"/>
      <c r="K107" s="14">
        <f>IF(OR($B107="",$J107&lt;&gt;"Sí"),"",IF(DAY($A107)&lt;='Config'!$B$13,DATE(YEAR($A107),MONTH($A107),'Config'!$B$13),EOMONTH($A107,0)+'Config'!$B$13))</f>
      </c>
      <c r="L107" s="14">
        <f>IF($K107="","",DATE(YEAR(EOMONTH($K107,0)+1),MONTH(EOMONTH($K107,0)+1),'Config'!$B$14))</f>
      </c>
      <c r="M107" s="22"/>
      <c r="N107" s="16">
        <f>IF($B107="","",MAX($H107-$M107,0))</f>
      </c>
      <c r="O107" s="19">
        <f>IF($B107="","",IF($J107&lt;&gt;"Sí","Pagado (contado)",IF($N107&lt;=0,"Pagado",IF($M107&gt;0,"Abono parcial","Pendiente"))))</f>
      </c>
      <c r="P107" s="19">
        <f>IF(OR($B107="",$J107&lt;&gt;"Sí",$N107&lt;=0),"",IF(TODAY()&gt;$L107,"🔴 VENCIDO hace "&amp;(TODAY()-$L107)&amp;" día(s)",IF($L107-TODAY()&lt;='Config'!$B$15,"🟠 Faltan "&amp;($L107-TODAY())&amp;" día(s) para pagar","🟢 Al día (paga el "&amp;TEXT($L107,"dd/mm")&amp;")")))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16">
        <f>IF($B108="","",'Config'!$B$11+'Config'!$B$12)</f>
      </c>
      <c r="H108" s="16">
        <f>IF($B108="","",$F108+$G108)</f>
      </c>
      <c r="I108" s="20"/>
      <c r="J108" s="20"/>
      <c r="K108" s="14">
        <f>IF(OR($B108="",$J108&lt;&gt;"Sí"),"",IF(DAY($A108)&lt;='Config'!$B$13,DATE(YEAR($A108),MONTH($A108),'Config'!$B$13),EOMONTH($A108,0)+'Config'!$B$13))</f>
      </c>
      <c r="L108" s="14">
        <f>IF($K108="","",DATE(YEAR(EOMONTH($K108,0)+1),MONTH(EOMONTH($K108,0)+1),'Config'!$B$14))</f>
      </c>
      <c r="M108" s="22"/>
      <c r="N108" s="16">
        <f>IF($B108="","",MAX($H108-$M108,0))</f>
      </c>
      <c r="O108" s="19">
        <f>IF($B108="","",IF($J108&lt;&gt;"Sí","Pagado (contado)",IF($N108&lt;=0,"Pagado",IF($M108&gt;0,"Abono parcial","Pendiente"))))</f>
      </c>
      <c r="P108" s="19">
        <f>IF(OR($B108="",$J108&lt;&gt;"Sí",$N108&lt;=0),"",IF(TODAY()&gt;$L108,"🔴 VENCIDO hace "&amp;(TODAY()-$L108)&amp;" día(s)",IF($L108-TODAY()&lt;='Config'!$B$15,"🟠 Faltan "&amp;($L108-TODAY())&amp;" día(s) para pagar","🟢 Al día (paga el "&amp;TEXT($L108,"dd/mm")&amp;")")))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16">
        <f>IF($B109="","",'Config'!$B$11+'Config'!$B$12)</f>
      </c>
      <c r="H109" s="16">
        <f>IF($B109="","",$F109+$G109)</f>
      </c>
      <c r="I109" s="20"/>
      <c r="J109" s="20"/>
      <c r="K109" s="14">
        <f>IF(OR($B109="",$J109&lt;&gt;"Sí"),"",IF(DAY($A109)&lt;='Config'!$B$13,DATE(YEAR($A109),MONTH($A109),'Config'!$B$13),EOMONTH($A109,0)+'Config'!$B$13))</f>
      </c>
      <c r="L109" s="14">
        <f>IF($K109="","",DATE(YEAR(EOMONTH($K109,0)+1),MONTH(EOMONTH($K109,0)+1),'Config'!$B$14))</f>
      </c>
      <c r="M109" s="22"/>
      <c r="N109" s="16">
        <f>IF($B109="","",MAX($H109-$M109,0))</f>
      </c>
      <c r="O109" s="19">
        <f>IF($B109="","",IF($J109&lt;&gt;"Sí","Pagado (contado)",IF($N109&lt;=0,"Pagado",IF($M109&gt;0,"Abono parcial","Pendiente"))))</f>
      </c>
      <c r="P109" s="19">
        <f>IF(OR($B109="",$J109&lt;&gt;"Sí",$N109&lt;=0),"",IF(TODAY()&gt;$L109,"🔴 VENCIDO hace "&amp;(TODAY()-$L109)&amp;" día(s)",IF($L109-TODAY()&lt;='Config'!$B$15,"🟠 Faltan "&amp;($L109-TODAY())&amp;" día(s) para pagar","🟢 Al día (paga el "&amp;TEXT($L109,"dd/mm")&amp;")")))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16">
        <f>IF($B110="","",'Config'!$B$11+'Config'!$B$12)</f>
      </c>
      <c r="H110" s="16">
        <f>IF($B110="","",$F110+$G110)</f>
      </c>
      <c r="I110" s="20"/>
      <c r="J110" s="20"/>
      <c r="K110" s="14">
        <f>IF(OR($B110="",$J110&lt;&gt;"Sí"),"",IF(DAY($A110)&lt;='Config'!$B$13,DATE(YEAR($A110),MONTH($A110),'Config'!$B$13),EOMONTH($A110,0)+'Config'!$B$13))</f>
      </c>
      <c r="L110" s="14">
        <f>IF($K110="","",DATE(YEAR(EOMONTH($K110,0)+1),MONTH(EOMONTH($K110,0)+1),'Config'!$B$14))</f>
      </c>
      <c r="M110" s="22"/>
      <c r="N110" s="16">
        <f>IF($B110="","",MAX($H110-$M110,0))</f>
      </c>
      <c r="O110" s="19">
        <f>IF($B110="","",IF($J110&lt;&gt;"Sí","Pagado (contado)",IF($N110&lt;=0,"Pagado",IF($M110&gt;0,"Abono parcial","Pendiente"))))</f>
      </c>
      <c r="P110" s="19">
        <f>IF(OR($B110="",$J110&lt;&gt;"Sí",$N110&lt;=0),"",IF(TODAY()&gt;$L110,"🔴 VENCIDO hace "&amp;(TODAY()-$L110)&amp;" día(s)",IF($L110-TODAY()&lt;='Config'!$B$15,"🟠 Faltan "&amp;($L110-TODAY())&amp;" día(s) para pagar","🟢 Al día (paga el "&amp;TEXT($L110,"dd/mm")&amp;")")))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16">
        <f>IF($B111="","",'Config'!$B$11+'Config'!$B$12)</f>
      </c>
      <c r="H111" s="16">
        <f>IF($B111="","",$F111+$G111)</f>
      </c>
      <c r="I111" s="20"/>
      <c r="J111" s="20"/>
      <c r="K111" s="14">
        <f>IF(OR($B111="",$J111&lt;&gt;"Sí"),"",IF(DAY($A111)&lt;='Config'!$B$13,DATE(YEAR($A111),MONTH($A111),'Config'!$B$13),EOMONTH($A111,0)+'Config'!$B$13))</f>
      </c>
      <c r="L111" s="14">
        <f>IF($K111="","",DATE(YEAR(EOMONTH($K111,0)+1),MONTH(EOMONTH($K111,0)+1),'Config'!$B$14))</f>
      </c>
      <c r="M111" s="22"/>
      <c r="N111" s="16">
        <f>IF($B111="","",MAX($H111-$M111,0))</f>
      </c>
      <c r="O111" s="19">
        <f>IF($B111="","",IF($J111&lt;&gt;"Sí","Pagado (contado)",IF($N111&lt;=0,"Pagado",IF($M111&gt;0,"Abono parcial","Pendiente"))))</f>
      </c>
      <c r="P111" s="19">
        <f>IF(OR($B111="",$J111&lt;&gt;"Sí",$N111&lt;=0),"",IF(TODAY()&gt;$L111,"🔴 VENCIDO hace "&amp;(TODAY()-$L111)&amp;" día(s)",IF($L111-TODAY()&lt;='Config'!$B$15,"🟠 Faltan "&amp;($L111-TODAY())&amp;" día(s) para pagar","🟢 Al día (paga el "&amp;TEXT($L111,"dd/mm")&amp;")")))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16">
        <f>IF($B112="","",'Config'!$B$11+'Config'!$B$12)</f>
      </c>
      <c r="H112" s="16">
        <f>IF($B112="","",$F112+$G112)</f>
      </c>
      <c r="I112" s="20"/>
      <c r="J112" s="20"/>
      <c r="K112" s="14">
        <f>IF(OR($B112="",$J112&lt;&gt;"Sí"),"",IF(DAY($A112)&lt;='Config'!$B$13,DATE(YEAR($A112),MONTH($A112),'Config'!$B$13),EOMONTH($A112,0)+'Config'!$B$13))</f>
      </c>
      <c r="L112" s="14">
        <f>IF($K112="","",DATE(YEAR(EOMONTH($K112,0)+1),MONTH(EOMONTH($K112,0)+1),'Config'!$B$14))</f>
      </c>
      <c r="M112" s="22"/>
      <c r="N112" s="16">
        <f>IF($B112="","",MAX($H112-$M112,0))</f>
      </c>
      <c r="O112" s="19">
        <f>IF($B112="","",IF($J112&lt;&gt;"Sí","Pagado (contado)",IF($N112&lt;=0,"Pagado",IF($M112&gt;0,"Abono parcial","Pendiente"))))</f>
      </c>
      <c r="P112" s="19">
        <f>IF(OR($B112="",$J112&lt;&gt;"Sí",$N112&lt;=0),"",IF(TODAY()&gt;$L112,"🔴 VENCIDO hace "&amp;(TODAY()-$L112)&amp;" día(s)",IF($L112-TODAY()&lt;='Config'!$B$15,"🟠 Faltan "&amp;($L112-TODAY())&amp;" día(s) para pagar","🟢 Al día (paga el "&amp;TEXT($L112,"dd/mm")&amp;")")))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16">
        <f>IF($B113="","",'Config'!$B$11+'Config'!$B$12)</f>
      </c>
      <c r="H113" s="16">
        <f>IF($B113="","",$F113+$G113)</f>
      </c>
      <c r="I113" s="20"/>
      <c r="J113" s="20"/>
      <c r="K113" s="14">
        <f>IF(OR($B113="",$J113&lt;&gt;"Sí"),"",IF(DAY($A113)&lt;='Config'!$B$13,DATE(YEAR($A113),MONTH($A113),'Config'!$B$13),EOMONTH($A113,0)+'Config'!$B$13))</f>
      </c>
      <c r="L113" s="14">
        <f>IF($K113="","",DATE(YEAR(EOMONTH($K113,0)+1),MONTH(EOMONTH($K113,0)+1),'Config'!$B$14))</f>
      </c>
      <c r="M113" s="22"/>
      <c r="N113" s="16">
        <f>IF($B113="","",MAX($H113-$M113,0))</f>
      </c>
      <c r="O113" s="19">
        <f>IF($B113="","",IF($J113&lt;&gt;"Sí","Pagado (contado)",IF($N113&lt;=0,"Pagado",IF($M113&gt;0,"Abono parcial","Pendiente"))))</f>
      </c>
      <c r="P113" s="19">
        <f>IF(OR($B113="",$J113&lt;&gt;"Sí",$N113&lt;=0),"",IF(TODAY()&gt;$L113,"🔴 VENCIDO hace "&amp;(TODAY()-$L113)&amp;" día(s)",IF($L113-TODAY()&lt;='Config'!$B$15,"🟠 Faltan "&amp;($L113-TODAY())&amp;" día(s) para pagar","🟢 Al día (paga el "&amp;TEXT($L113,"dd/mm")&amp;")")))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16">
        <f>IF($B114="","",'Config'!$B$11+'Config'!$B$12)</f>
      </c>
      <c r="H114" s="16">
        <f>IF($B114="","",$F114+$G114)</f>
      </c>
      <c r="I114" s="20"/>
      <c r="J114" s="20"/>
      <c r="K114" s="14">
        <f>IF(OR($B114="",$J114&lt;&gt;"Sí"),"",IF(DAY($A114)&lt;='Config'!$B$13,DATE(YEAR($A114),MONTH($A114),'Config'!$B$13),EOMONTH($A114,0)+'Config'!$B$13))</f>
      </c>
      <c r="L114" s="14">
        <f>IF($K114="","",DATE(YEAR(EOMONTH($K114,0)+1),MONTH(EOMONTH($K114,0)+1),'Config'!$B$14))</f>
      </c>
      <c r="M114" s="22"/>
      <c r="N114" s="16">
        <f>IF($B114="","",MAX($H114-$M114,0))</f>
      </c>
      <c r="O114" s="19">
        <f>IF($B114="","",IF($J114&lt;&gt;"Sí","Pagado (contado)",IF($N114&lt;=0,"Pagado",IF($M114&gt;0,"Abono parcial","Pendiente"))))</f>
      </c>
      <c r="P114" s="19">
        <f>IF(OR($B114="",$J114&lt;&gt;"Sí",$N114&lt;=0),"",IF(TODAY()&gt;$L114,"🔴 VENCIDO hace "&amp;(TODAY()-$L114)&amp;" día(s)",IF($L114-TODAY()&lt;='Config'!$B$15,"🟠 Faltan "&amp;($L114-TODAY())&amp;" día(s) para pagar","🟢 Al día (paga el "&amp;TEXT($L114,"dd/mm")&amp;")")))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16">
        <f>IF($B115="","",'Config'!$B$11+'Config'!$B$12)</f>
      </c>
      <c r="H115" s="16">
        <f>IF($B115="","",$F115+$G115)</f>
      </c>
      <c r="I115" s="20"/>
      <c r="J115" s="20"/>
      <c r="K115" s="14">
        <f>IF(OR($B115="",$J115&lt;&gt;"Sí"),"",IF(DAY($A115)&lt;='Config'!$B$13,DATE(YEAR($A115),MONTH($A115),'Config'!$B$13),EOMONTH($A115,0)+'Config'!$B$13))</f>
      </c>
      <c r="L115" s="14">
        <f>IF($K115="","",DATE(YEAR(EOMONTH($K115,0)+1),MONTH(EOMONTH($K115,0)+1),'Config'!$B$14))</f>
      </c>
      <c r="M115" s="22"/>
      <c r="N115" s="16">
        <f>IF($B115="","",MAX($H115-$M115,0))</f>
      </c>
      <c r="O115" s="19">
        <f>IF($B115="","",IF($J115&lt;&gt;"Sí","Pagado (contado)",IF($N115&lt;=0,"Pagado",IF($M115&gt;0,"Abono parcial","Pendiente"))))</f>
      </c>
      <c r="P115" s="19">
        <f>IF(OR($B115="",$J115&lt;&gt;"Sí",$N115&lt;=0),"",IF(TODAY()&gt;$L115,"🔴 VENCIDO hace "&amp;(TODAY()-$L115)&amp;" día(s)",IF($L115-TODAY()&lt;='Config'!$B$15,"🟠 Faltan "&amp;($L115-TODAY())&amp;" día(s) para pagar","🟢 Al día (paga el "&amp;TEXT($L115,"dd/mm")&amp;")")))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16">
        <f>IF($B116="","",'Config'!$B$11+'Config'!$B$12)</f>
      </c>
      <c r="H116" s="16">
        <f>IF($B116="","",$F116+$G116)</f>
      </c>
      <c r="I116" s="20"/>
      <c r="J116" s="20"/>
      <c r="K116" s="14">
        <f>IF(OR($B116="",$J116&lt;&gt;"Sí"),"",IF(DAY($A116)&lt;='Config'!$B$13,DATE(YEAR($A116),MONTH($A116),'Config'!$B$13),EOMONTH($A116,0)+'Config'!$B$13))</f>
      </c>
      <c r="L116" s="14">
        <f>IF($K116="","",DATE(YEAR(EOMONTH($K116,0)+1),MONTH(EOMONTH($K116,0)+1),'Config'!$B$14))</f>
      </c>
      <c r="M116" s="22"/>
      <c r="N116" s="16">
        <f>IF($B116="","",MAX($H116-$M116,0))</f>
      </c>
      <c r="O116" s="19">
        <f>IF($B116="","",IF($J116&lt;&gt;"Sí","Pagado (contado)",IF($N116&lt;=0,"Pagado",IF($M116&gt;0,"Abono parcial","Pendiente"))))</f>
      </c>
      <c r="P116" s="19">
        <f>IF(OR($B116="",$J116&lt;&gt;"Sí",$N116&lt;=0),"",IF(TODAY()&gt;$L116,"🔴 VENCIDO hace "&amp;(TODAY()-$L116)&amp;" día(s)",IF($L116-TODAY()&lt;='Config'!$B$15,"🟠 Faltan "&amp;($L116-TODAY())&amp;" día(s) para pagar","🟢 Al día (paga el "&amp;TEXT($L116,"dd/mm")&amp;")")))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16">
        <f>IF($B117="","",'Config'!$B$11+'Config'!$B$12)</f>
      </c>
      <c r="H117" s="16">
        <f>IF($B117="","",$F117+$G117)</f>
      </c>
      <c r="I117" s="20"/>
      <c r="J117" s="20"/>
      <c r="K117" s="14">
        <f>IF(OR($B117="",$J117&lt;&gt;"Sí"),"",IF(DAY($A117)&lt;='Config'!$B$13,DATE(YEAR($A117),MONTH($A117),'Config'!$B$13),EOMONTH($A117,0)+'Config'!$B$13))</f>
      </c>
      <c r="L117" s="14">
        <f>IF($K117="","",DATE(YEAR(EOMONTH($K117,0)+1),MONTH(EOMONTH($K117,0)+1),'Config'!$B$14))</f>
      </c>
      <c r="M117" s="22"/>
      <c r="N117" s="16">
        <f>IF($B117="","",MAX($H117-$M117,0))</f>
      </c>
      <c r="O117" s="19">
        <f>IF($B117="","",IF($J117&lt;&gt;"Sí","Pagado (contado)",IF($N117&lt;=0,"Pagado",IF($M117&gt;0,"Abono parcial","Pendiente"))))</f>
      </c>
      <c r="P117" s="19">
        <f>IF(OR($B117="",$J117&lt;&gt;"Sí",$N117&lt;=0),"",IF(TODAY()&gt;$L117,"🔴 VENCIDO hace "&amp;(TODAY()-$L117)&amp;" día(s)",IF($L117-TODAY()&lt;='Config'!$B$15,"🟠 Faltan "&amp;($L117-TODAY())&amp;" día(s) para pagar","🟢 Al día (paga el "&amp;TEXT($L117,"dd/mm")&amp;")")))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16">
        <f>IF($B118="","",'Config'!$B$11+'Config'!$B$12)</f>
      </c>
      <c r="H118" s="16">
        <f>IF($B118="","",$F118+$G118)</f>
      </c>
      <c r="I118" s="20"/>
      <c r="J118" s="20"/>
      <c r="K118" s="14">
        <f>IF(OR($B118="",$J118&lt;&gt;"Sí"),"",IF(DAY($A118)&lt;='Config'!$B$13,DATE(YEAR($A118),MONTH($A118),'Config'!$B$13),EOMONTH($A118,0)+'Config'!$B$13))</f>
      </c>
      <c r="L118" s="14">
        <f>IF($K118="","",DATE(YEAR(EOMONTH($K118,0)+1),MONTH(EOMONTH($K118,0)+1),'Config'!$B$14))</f>
      </c>
      <c r="M118" s="22"/>
      <c r="N118" s="16">
        <f>IF($B118="","",MAX($H118-$M118,0))</f>
      </c>
      <c r="O118" s="19">
        <f>IF($B118="","",IF($J118&lt;&gt;"Sí","Pagado (contado)",IF($N118&lt;=0,"Pagado",IF($M118&gt;0,"Abono parcial","Pendiente"))))</f>
      </c>
      <c r="P118" s="19">
        <f>IF(OR($B118="",$J118&lt;&gt;"Sí",$N118&lt;=0),"",IF(TODAY()&gt;$L118,"🔴 VENCIDO hace "&amp;(TODAY()-$L118)&amp;" día(s)",IF($L118-TODAY()&lt;='Config'!$B$15,"🟠 Faltan "&amp;($L118-TODAY())&amp;" día(s) para pagar","🟢 Al día (paga el "&amp;TEXT($L118,"dd/mm")&amp;")")))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16">
        <f>IF($B119="","",'Config'!$B$11+'Config'!$B$12)</f>
      </c>
      <c r="H119" s="16">
        <f>IF($B119="","",$F119+$G119)</f>
      </c>
      <c r="I119" s="20"/>
      <c r="J119" s="20"/>
      <c r="K119" s="14">
        <f>IF(OR($B119="",$J119&lt;&gt;"Sí"),"",IF(DAY($A119)&lt;='Config'!$B$13,DATE(YEAR($A119),MONTH($A119),'Config'!$B$13),EOMONTH($A119,0)+'Config'!$B$13))</f>
      </c>
      <c r="L119" s="14">
        <f>IF($K119="","",DATE(YEAR(EOMONTH($K119,0)+1),MONTH(EOMONTH($K119,0)+1),'Config'!$B$14))</f>
      </c>
      <c r="M119" s="22"/>
      <c r="N119" s="16">
        <f>IF($B119="","",MAX($H119-$M119,0))</f>
      </c>
      <c r="O119" s="19">
        <f>IF($B119="","",IF($J119&lt;&gt;"Sí","Pagado (contado)",IF($N119&lt;=0,"Pagado",IF($M119&gt;0,"Abono parcial","Pendiente"))))</f>
      </c>
      <c r="P119" s="19">
        <f>IF(OR($B119="",$J119&lt;&gt;"Sí",$N119&lt;=0),"",IF(TODAY()&gt;$L119,"🔴 VENCIDO hace "&amp;(TODAY()-$L119)&amp;" día(s)",IF($L119-TODAY()&lt;='Config'!$B$15,"🟠 Faltan "&amp;($L119-TODAY())&amp;" día(s) para pagar","🟢 Al día (paga el "&amp;TEXT($L119,"dd/mm")&amp;")")))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16">
        <f>IF($B120="","",'Config'!$B$11+'Config'!$B$12)</f>
      </c>
      <c r="H120" s="16">
        <f>IF($B120="","",$F120+$G120)</f>
      </c>
      <c r="I120" s="20"/>
      <c r="J120" s="20"/>
      <c r="K120" s="14">
        <f>IF(OR($B120="",$J120&lt;&gt;"Sí"),"",IF(DAY($A120)&lt;='Config'!$B$13,DATE(YEAR($A120),MONTH($A120),'Config'!$B$13),EOMONTH($A120,0)+'Config'!$B$13))</f>
      </c>
      <c r="L120" s="14">
        <f>IF($K120="","",DATE(YEAR(EOMONTH($K120,0)+1),MONTH(EOMONTH($K120,0)+1),'Config'!$B$14))</f>
      </c>
      <c r="M120" s="22"/>
      <c r="N120" s="16">
        <f>IF($B120="","",MAX($H120-$M120,0))</f>
      </c>
      <c r="O120" s="19">
        <f>IF($B120="","",IF($J120&lt;&gt;"Sí","Pagado (contado)",IF($N120&lt;=0,"Pagado",IF($M120&gt;0,"Abono parcial","Pendiente"))))</f>
      </c>
      <c r="P120" s="19">
        <f>IF(OR($B120="",$J120&lt;&gt;"Sí",$N120&lt;=0),"",IF(TODAY()&gt;$L120,"🔴 VENCIDO hace "&amp;(TODAY()-$L120)&amp;" día(s)",IF($L120-TODAY()&lt;='Config'!$B$15,"🟠 Faltan "&amp;($L120-TODAY())&amp;" día(s) para pagar","🟢 Al día (paga el "&amp;TEXT($L120,"dd/mm")&amp;")")))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16">
        <f>IF($B121="","",'Config'!$B$11+'Config'!$B$12)</f>
      </c>
      <c r="H121" s="16">
        <f>IF($B121="","",$F121+$G121)</f>
      </c>
      <c r="I121" s="20"/>
      <c r="J121" s="20"/>
      <c r="K121" s="14">
        <f>IF(OR($B121="",$J121&lt;&gt;"Sí"),"",IF(DAY($A121)&lt;='Config'!$B$13,DATE(YEAR($A121),MONTH($A121),'Config'!$B$13),EOMONTH($A121,0)+'Config'!$B$13))</f>
      </c>
      <c r="L121" s="14">
        <f>IF($K121="","",DATE(YEAR(EOMONTH($K121,0)+1),MONTH(EOMONTH($K121,0)+1),'Config'!$B$14))</f>
      </c>
      <c r="M121" s="22"/>
      <c r="N121" s="16">
        <f>IF($B121="","",MAX($H121-$M121,0))</f>
      </c>
      <c r="O121" s="19">
        <f>IF($B121="","",IF($J121&lt;&gt;"Sí","Pagado (contado)",IF($N121&lt;=0,"Pagado",IF($M121&gt;0,"Abono parcial","Pendiente"))))</f>
      </c>
      <c r="P121" s="19">
        <f>IF(OR($B121="",$J121&lt;&gt;"Sí",$N121&lt;=0),"",IF(TODAY()&gt;$L121,"🔴 VENCIDO hace "&amp;(TODAY()-$L121)&amp;" día(s)",IF($L121-TODAY()&lt;='Config'!$B$15,"🟠 Faltan "&amp;($L121-TODAY())&amp;" día(s) para pagar","🟢 Al día (paga el "&amp;TEXT($L121,"dd/mm")&amp;")")))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16">
        <f>IF($B122="","",'Config'!$B$11+'Config'!$B$12)</f>
      </c>
      <c r="H122" s="16">
        <f>IF($B122="","",$F122+$G122)</f>
      </c>
      <c r="I122" s="20"/>
      <c r="J122" s="20"/>
      <c r="K122" s="14">
        <f>IF(OR($B122="",$J122&lt;&gt;"Sí"),"",IF(DAY($A122)&lt;='Config'!$B$13,DATE(YEAR($A122),MONTH($A122),'Config'!$B$13),EOMONTH($A122,0)+'Config'!$B$13))</f>
      </c>
      <c r="L122" s="14">
        <f>IF($K122="","",DATE(YEAR(EOMONTH($K122,0)+1),MONTH(EOMONTH($K122,0)+1),'Config'!$B$14))</f>
      </c>
      <c r="M122" s="22"/>
      <c r="N122" s="16">
        <f>IF($B122="","",MAX($H122-$M122,0))</f>
      </c>
      <c r="O122" s="19">
        <f>IF($B122="","",IF($J122&lt;&gt;"Sí","Pagado (contado)",IF($N122&lt;=0,"Pagado",IF($M122&gt;0,"Abono parcial","Pendiente"))))</f>
      </c>
      <c r="P122" s="19">
        <f>IF(OR($B122="",$J122&lt;&gt;"Sí",$N122&lt;=0),"",IF(TODAY()&gt;$L122,"🔴 VENCIDO hace "&amp;(TODAY()-$L122)&amp;" día(s)",IF($L122-TODAY()&lt;='Config'!$B$15,"🟠 Faltan "&amp;($L122-TODAY())&amp;" día(s) para pagar","🟢 Al día (paga el "&amp;TEXT($L122,"dd/mm")&amp;")")))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16">
        <f>IF($B123="","",'Config'!$B$11+'Config'!$B$12)</f>
      </c>
      <c r="H123" s="16">
        <f>IF($B123="","",$F123+$G123)</f>
      </c>
      <c r="I123" s="20"/>
      <c r="J123" s="20"/>
      <c r="K123" s="14">
        <f>IF(OR($B123="",$J123&lt;&gt;"Sí"),"",IF(DAY($A123)&lt;='Config'!$B$13,DATE(YEAR($A123),MONTH($A123),'Config'!$B$13),EOMONTH($A123,0)+'Config'!$B$13))</f>
      </c>
      <c r="L123" s="14">
        <f>IF($K123="","",DATE(YEAR(EOMONTH($K123,0)+1),MONTH(EOMONTH($K123,0)+1),'Config'!$B$14))</f>
      </c>
      <c r="M123" s="22"/>
      <c r="N123" s="16">
        <f>IF($B123="","",MAX($H123-$M123,0))</f>
      </c>
      <c r="O123" s="19">
        <f>IF($B123="","",IF($J123&lt;&gt;"Sí","Pagado (contado)",IF($N123&lt;=0,"Pagado",IF($M123&gt;0,"Abono parcial","Pendiente"))))</f>
      </c>
      <c r="P123" s="19">
        <f>IF(OR($B123="",$J123&lt;&gt;"Sí",$N123&lt;=0),"",IF(TODAY()&gt;$L123,"🔴 VENCIDO hace "&amp;(TODAY()-$L123)&amp;" día(s)",IF($L123-TODAY()&lt;='Config'!$B$15,"🟠 Faltan "&amp;($L123-TODAY())&amp;" día(s) para pagar","🟢 Al día (paga el "&amp;TEXT($L123,"dd/mm")&amp;")")))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16">
        <f>IF($B124="","",'Config'!$B$11+'Config'!$B$12)</f>
      </c>
      <c r="H124" s="16">
        <f>IF($B124="","",$F124+$G124)</f>
      </c>
      <c r="I124" s="20"/>
      <c r="J124" s="20"/>
      <c r="K124" s="14">
        <f>IF(OR($B124="",$J124&lt;&gt;"Sí"),"",IF(DAY($A124)&lt;='Config'!$B$13,DATE(YEAR($A124),MONTH($A124),'Config'!$B$13),EOMONTH($A124,0)+'Config'!$B$13))</f>
      </c>
      <c r="L124" s="14">
        <f>IF($K124="","",DATE(YEAR(EOMONTH($K124,0)+1),MONTH(EOMONTH($K124,0)+1),'Config'!$B$14))</f>
      </c>
      <c r="M124" s="22"/>
      <c r="N124" s="16">
        <f>IF($B124="","",MAX($H124-$M124,0))</f>
      </c>
      <c r="O124" s="19">
        <f>IF($B124="","",IF($J124&lt;&gt;"Sí","Pagado (contado)",IF($N124&lt;=0,"Pagado",IF($M124&gt;0,"Abono parcial","Pendiente"))))</f>
      </c>
      <c r="P124" s="19">
        <f>IF(OR($B124="",$J124&lt;&gt;"Sí",$N124&lt;=0),"",IF(TODAY()&gt;$L124,"🔴 VENCIDO hace "&amp;(TODAY()-$L124)&amp;" día(s)",IF($L124-TODAY()&lt;='Config'!$B$15,"🟠 Faltan "&amp;($L124-TODAY())&amp;" día(s) para pagar","🟢 Al día (paga el "&amp;TEXT($L124,"dd/mm")&amp;")")))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16">
        <f>IF($B125="","",'Config'!$B$11+'Config'!$B$12)</f>
      </c>
      <c r="H125" s="16">
        <f>IF($B125="","",$F125+$G125)</f>
      </c>
      <c r="I125" s="20"/>
      <c r="J125" s="20"/>
      <c r="K125" s="14">
        <f>IF(OR($B125="",$J125&lt;&gt;"Sí"),"",IF(DAY($A125)&lt;='Config'!$B$13,DATE(YEAR($A125),MONTH($A125),'Config'!$B$13),EOMONTH($A125,0)+'Config'!$B$13))</f>
      </c>
      <c r="L125" s="14">
        <f>IF($K125="","",DATE(YEAR(EOMONTH($K125,0)+1),MONTH(EOMONTH($K125,0)+1),'Config'!$B$14))</f>
      </c>
      <c r="M125" s="22"/>
      <c r="N125" s="16">
        <f>IF($B125="","",MAX($H125-$M125,0))</f>
      </c>
      <c r="O125" s="19">
        <f>IF($B125="","",IF($J125&lt;&gt;"Sí","Pagado (contado)",IF($N125&lt;=0,"Pagado",IF($M125&gt;0,"Abono parcial","Pendiente"))))</f>
      </c>
      <c r="P125" s="19">
        <f>IF(OR($B125="",$J125&lt;&gt;"Sí",$N125&lt;=0),"",IF(TODAY()&gt;$L125,"🔴 VENCIDO hace "&amp;(TODAY()-$L125)&amp;" día(s)",IF($L125-TODAY()&lt;='Config'!$B$15,"🟠 Faltan "&amp;($L125-TODAY())&amp;" día(s) para pagar","🟢 Al día (paga el "&amp;TEXT($L125,"dd/mm")&amp;")")))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16">
        <f>IF($B126="","",'Config'!$B$11+'Config'!$B$12)</f>
      </c>
      <c r="H126" s="16">
        <f>IF($B126="","",$F126+$G126)</f>
      </c>
      <c r="I126" s="20"/>
      <c r="J126" s="20"/>
      <c r="K126" s="14">
        <f>IF(OR($B126="",$J126&lt;&gt;"Sí"),"",IF(DAY($A126)&lt;='Config'!$B$13,DATE(YEAR($A126),MONTH($A126),'Config'!$B$13),EOMONTH($A126,0)+'Config'!$B$13))</f>
      </c>
      <c r="L126" s="14">
        <f>IF($K126="","",DATE(YEAR(EOMONTH($K126,0)+1),MONTH(EOMONTH($K126,0)+1),'Config'!$B$14))</f>
      </c>
      <c r="M126" s="22"/>
      <c r="N126" s="16">
        <f>IF($B126="","",MAX($H126-$M126,0))</f>
      </c>
      <c r="O126" s="19">
        <f>IF($B126="","",IF($J126&lt;&gt;"Sí","Pagado (contado)",IF($N126&lt;=0,"Pagado",IF($M126&gt;0,"Abono parcial","Pendiente"))))</f>
      </c>
      <c r="P126" s="19">
        <f>IF(OR($B126="",$J126&lt;&gt;"Sí",$N126&lt;=0),"",IF(TODAY()&gt;$L126,"🔴 VENCIDO hace "&amp;(TODAY()-$L126)&amp;" día(s)",IF($L126-TODAY()&lt;='Config'!$B$15,"🟠 Faltan "&amp;($L126-TODAY())&amp;" día(s) para pagar","🟢 Al día (paga el "&amp;TEXT($L126,"dd/mm")&amp;")")))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16">
        <f>IF($B127="","",'Config'!$B$11+'Config'!$B$12)</f>
      </c>
      <c r="H127" s="16">
        <f>IF($B127="","",$F127+$G127)</f>
      </c>
      <c r="I127" s="20"/>
      <c r="J127" s="20"/>
      <c r="K127" s="14">
        <f>IF(OR($B127="",$J127&lt;&gt;"Sí"),"",IF(DAY($A127)&lt;='Config'!$B$13,DATE(YEAR($A127),MONTH($A127),'Config'!$B$13),EOMONTH($A127,0)+'Config'!$B$13))</f>
      </c>
      <c r="L127" s="14">
        <f>IF($K127="","",DATE(YEAR(EOMONTH($K127,0)+1),MONTH(EOMONTH($K127,0)+1),'Config'!$B$14))</f>
      </c>
      <c r="M127" s="22"/>
      <c r="N127" s="16">
        <f>IF($B127="","",MAX($H127-$M127,0))</f>
      </c>
      <c r="O127" s="19">
        <f>IF($B127="","",IF($J127&lt;&gt;"Sí","Pagado (contado)",IF($N127&lt;=0,"Pagado",IF($M127&gt;0,"Abono parcial","Pendiente"))))</f>
      </c>
      <c r="P127" s="19">
        <f>IF(OR($B127="",$J127&lt;&gt;"Sí",$N127&lt;=0),"",IF(TODAY()&gt;$L127,"🔴 VENCIDO hace "&amp;(TODAY()-$L127)&amp;" día(s)",IF($L127-TODAY()&lt;='Config'!$B$15,"🟠 Faltan "&amp;($L127-TODAY())&amp;" día(s) para pagar","🟢 Al día (paga el "&amp;TEXT($L127,"dd/mm")&amp;")")))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16">
        <f>IF($B128="","",'Config'!$B$11+'Config'!$B$12)</f>
      </c>
      <c r="H128" s="16">
        <f>IF($B128="","",$F128+$G128)</f>
      </c>
      <c r="I128" s="20"/>
      <c r="J128" s="20"/>
      <c r="K128" s="14">
        <f>IF(OR($B128="",$J128&lt;&gt;"Sí"),"",IF(DAY($A128)&lt;='Config'!$B$13,DATE(YEAR($A128),MONTH($A128),'Config'!$B$13),EOMONTH($A128,0)+'Config'!$B$13))</f>
      </c>
      <c r="L128" s="14">
        <f>IF($K128="","",DATE(YEAR(EOMONTH($K128,0)+1),MONTH(EOMONTH($K128,0)+1),'Config'!$B$14))</f>
      </c>
      <c r="M128" s="22"/>
      <c r="N128" s="16">
        <f>IF($B128="","",MAX($H128-$M128,0))</f>
      </c>
      <c r="O128" s="19">
        <f>IF($B128="","",IF($J128&lt;&gt;"Sí","Pagado (contado)",IF($N128&lt;=0,"Pagado",IF($M128&gt;0,"Abono parcial","Pendiente"))))</f>
      </c>
      <c r="P128" s="19">
        <f>IF(OR($B128="",$J128&lt;&gt;"Sí",$N128&lt;=0),"",IF(TODAY()&gt;$L128,"🔴 VENCIDO hace "&amp;(TODAY()-$L128)&amp;" día(s)",IF($L128-TODAY()&lt;='Config'!$B$15,"🟠 Faltan "&amp;($L128-TODAY())&amp;" día(s) para pagar","🟢 Al día (paga el "&amp;TEXT($L128,"dd/mm")&amp;")")))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16">
        <f>IF($B129="","",'Config'!$B$11+'Config'!$B$12)</f>
      </c>
      <c r="H129" s="16">
        <f>IF($B129="","",$F129+$G129)</f>
      </c>
      <c r="I129" s="20"/>
      <c r="J129" s="20"/>
      <c r="K129" s="14">
        <f>IF(OR($B129="",$J129&lt;&gt;"Sí"),"",IF(DAY($A129)&lt;='Config'!$B$13,DATE(YEAR($A129),MONTH($A129),'Config'!$B$13),EOMONTH($A129,0)+'Config'!$B$13))</f>
      </c>
      <c r="L129" s="14">
        <f>IF($K129="","",DATE(YEAR(EOMONTH($K129,0)+1),MONTH(EOMONTH($K129,0)+1),'Config'!$B$14))</f>
      </c>
      <c r="M129" s="22"/>
      <c r="N129" s="16">
        <f>IF($B129="","",MAX($H129-$M129,0))</f>
      </c>
      <c r="O129" s="19">
        <f>IF($B129="","",IF($J129&lt;&gt;"Sí","Pagado (contado)",IF($N129&lt;=0,"Pagado",IF($M129&gt;0,"Abono parcial","Pendiente"))))</f>
      </c>
      <c r="P129" s="19">
        <f>IF(OR($B129="",$J129&lt;&gt;"Sí",$N129&lt;=0),"",IF(TODAY()&gt;$L129,"🔴 VENCIDO hace "&amp;(TODAY()-$L129)&amp;" día(s)",IF($L129-TODAY()&lt;='Config'!$B$15,"🟠 Faltan "&amp;($L129-TODAY())&amp;" día(s) para pagar","🟢 Al día (paga el "&amp;TEXT($L129,"dd/mm")&amp;")")))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16">
        <f>IF($B130="","",'Config'!$B$11+'Config'!$B$12)</f>
      </c>
      <c r="H130" s="16">
        <f>IF($B130="","",$F130+$G130)</f>
      </c>
      <c r="I130" s="20"/>
      <c r="J130" s="20"/>
      <c r="K130" s="14">
        <f>IF(OR($B130="",$J130&lt;&gt;"Sí"),"",IF(DAY($A130)&lt;='Config'!$B$13,DATE(YEAR($A130),MONTH($A130),'Config'!$B$13),EOMONTH($A130,0)+'Config'!$B$13))</f>
      </c>
      <c r="L130" s="14">
        <f>IF($K130="","",DATE(YEAR(EOMONTH($K130,0)+1),MONTH(EOMONTH($K130,0)+1),'Config'!$B$14))</f>
      </c>
      <c r="M130" s="22"/>
      <c r="N130" s="16">
        <f>IF($B130="","",MAX($H130-$M130,0))</f>
      </c>
      <c r="O130" s="19">
        <f>IF($B130="","",IF($J130&lt;&gt;"Sí","Pagado (contado)",IF($N130&lt;=0,"Pagado",IF($M130&gt;0,"Abono parcial","Pendiente"))))</f>
      </c>
      <c r="P130" s="19">
        <f>IF(OR($B130="",$J130&lt;&gt;"Sí",$N130&lt;=0),"",IF(TODAY()&gt;$L130,"🔴 VENCIDO hace "&amp;(TODAY()-$L130)&amp;" día(s)",IF($L130-TODAY()&lt;='Config'!$B$15,"🟠 Faltan "&amp;($L130-TODAY())&amp;" día(s) para pagar","🟢 Al día (paga el "&amp;TEXT($L130,"dd/mm")&amp;")")))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16">
        <f>IF($B131="","",'Config'!$B$11+'Config'!$B$12)</f>
      </c>
      <c r="H131" s="16">
        <f>IF($B131="","",$F131+$G131)</f>
      </c>
      <c r="I131" s="20"/>
      <c r="J131" s="20"/>
      <c r="K131" s="14">
        <f>IF(OR($B131="",$J131&lt;&gt;"Sí"),"",IF(DAY($A131)&lt;='Config'!$B$13,DATE(YEAR($A131),MONTH($A131),'Config'!$B$13),EOMONTH($A131,0)+'Config'!$B$13))</f>
      </c>
      <c r="L131" s="14">
        <f>IF($K131="","",DATE(YEAR(EOMONTH($K131,0)+1),MONTH(EOMONTH($K131,0)+1),'Config'!$B$14))</f>
      </c>
      <c r="M131" s="22"/>
      <c r="N131" s="16">
        <f>IF($B131="","",MAX($H131-$M131,0))</f>
      </c>
      <c r="O131" s="19">
        <f>IF($B131="","",IF($J131&lt;&gt;"Sí","Pagado (contado)",IF($N131&lt;=0,"Pagado",IF($M131&gt;0,"Abono parcial","Pendiente"))))</f>
      </c>
      <c r="P131" s="19">
        <f>IF(OR($B131="",$J131&lt;&gt;"Sí",$N131&lt;=0),"",IF(TODAY()&gt;$L131,"🔴 VENCIDO hace "&amp;(TODAY()-$L131)&amp;" día(s)",IF($L131-TODAY()&lt;='Config'!$B$15,"🟠 Faltan "&amp;($L131-TODAY())&amp;" día(s) para pagar","🟢 Al día (paga el "&amp;TEXT($L131,"dd/mm")&amp;")")))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16">
        <f>IF($B132="","",'Config'!$B$11+'Config'!$B$12)</f>
      </c>
      <c r="H132" s="16">
        <f>IF($B132="","",$F132+$G132)</f>
      </c>
      <c r="I132" s="20"/>
      <c r="J132" s="20"/>
      <c r="K132" s="14">
        <f>IF(OR($B132="",$J132&lt;&gt;"Sí"),"",IF(DAY($A132)&lt;='Config'!$B$13,DATE(YEAR($A132),MONTH($A132),'Config'!$B$13),EOMONTH($A132,0)+'Config'!$B$13))</f>
      </c>
      <c r="L132" s="14">
        <f>IF($K132="","",DATE(YEAR(EOMONTH($K132,0)+1),MONTH(EOMONTH($K132,0)+1),'Config'!$B$14))</f>
      </c>
      <c r="M132" s="22"/>
      <c r="N132" s="16">
        <f>IF($B132="","",MAX($H132-$M132,0))</f>
      </c>
      <c r="O132" s="19">
        <f>IF($B132="","",IF($J132&lt;&gt;"Sí","Pagado (contado)",IF($N132&lt;=0,"Pagado",IF($M132&gt;0,"Abono parcial","Pendiente"))))</f>
      </c>
      <c r="P132" s="19">
        <f>IF(OR($B132="",$J132&lt;&gt;"Sí",$N132&lt;=0),"",IF(TODAY()&gt;$L132,"🔴 VENCIDO hace "&amp;(TODAY()-$L132)&amp;" día(s)",IF($L132-TODAY()&lt;='Config'!$B$15,"🟠 Faltan "&amp;($L132-TODAY())&amp;" día(s) para pagar","🟢 Al día (paga el "&amp;TEXT($L132,"dd/mm")&amp;")")))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16">
        <f>IF($B133="","",'Config'!$B$11+'Config'!$B$12)</f>
      </c>
      <c r="H133" s="16">
        <f>IF($B133="","",$F133+$G133)</f>
      </c>
      <c r="I133" s="20"/>
      <c r="J133" s="20"/>
      <c r="K133" s="14">
        <f>IF(OR($B133="",$J133&lt;&gt;"Sí"),"",IF(DAY($A133)&lt;='Config'!$B$13,DATE(YEAR($A133),MONTH($A133),'Config'!$B$13),EOMONTH($A133,0)+'Config'!$B$13))</f>
      </c>
      <c r="L133" s="14">
        <f>IF($K133="","",DATE(YEAR(EOMONTH($K133,0)+1),MONTH(EOMONTH($K133,0)+1),'Config'!$B$14))</f>
      </c>
      <c r="M133" s="22"/>
      <c r="N133" s="16">
        <f>IF($B133="","",MAX($H133-$M133,0))</f>
      </c>
      <c r="O133" s="19">
        <f>IF($B133="","",IF($J133&lt;&gt;"Sí","Pagado (contado)",IF($N133&lt;=0,"Pagado",IF($M133&gt;0,"Abono parcial","Pendiente"))))</f>
      </c>
      <c r="P133" s="19">
        <f>IF(OR($B133="",$J133&lt;&gt;"Sí",$N133&lt;=0),"",IF(TODAY()&gt;$L133,"🔴 VENCIDO hace "&amp;(TODAY()-$L133)&amp;" día(s)",IF($L133-TODAY()&lt;='Config'!$B$15,"🟠 Faltan "&amp;($L133-TODAY())&amp;" día(s) para pagar","🟢 Al día (paga el "&amp;TEXT($L133,"dd/mm")&amp;")")))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16">
        <f>IF($B134="","",'Config'!$B$11+'Config'!$B$12)</f>
      </c>
      <c r="H134" s="16">
        <f>IF($B134="","",$F134+$G134)</f>
      </c>
      <c r="I134" s="20"/>
      <c r="J134" s="20"/>
      <c r="K134" s="14">
        <f>IF(OR($B134="",$J134&lt;&gt;"Sí"),"",IF(DAY($A134)&lt;='Config'!$B$13,DATE(YEAR($A134),MONTH($A134),'Config'!$B$13),EOMONTH($A134,0)+'Config'!$B$13))</f>
      </c>
      <c r="L134" s="14">
        <f>IF($K134="","",DATE(YEAR(EOMONTH($K134,0)+1),MONTH(EOMONTH($K134,0)+1),'Config'!$B$14))</f>
      </c>
      <c r="M134" s="22"/>
      <c r="N134" s="16">
        <f>IF($B134="","",MAX($H134-$M134,0))</f>
      </c>
      <c r="O134" s="19">
        <f>IF($B134="","",IF($J134&lt;&gt;"Sí","Pagado (contado)",IF($N134&lt;=0,"Pagado",IF($M134&gt;0,"Abono parcial","Pendiente"))))</f>
      </c>
      <c r="P134" s="19">
        <f>IF(OR($B134="",$J134&lt;&gt;"Sí",$N134&lt;=0),"",IF(TODAY()&gt;$L134,"🔴 VENCIDO hace "&amp;(TODAY()-$L134)&amp;" día(s)",IF($L134-TODAY()&lt;='Config'!$B$15,"🟠 Faltan "&amp;($L134-TODAY())&amp;" día(s) para pagar","🟢 Al día (paga el "&amp;TEXT($L134,"dd/mm")&amp;")")))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16">
        <f>IF($B135="","",'Config'!$B$11+'Config'!$B$12)</f>
      </c>
      <c r="H135" s="16">
        <f>IF($B135="","",$F135+$G135)</f>
      </c>
      <c r="I135" s="20"/>
      <c r="J135" s="20"/>
      <c r="K135" s="14">
        <f>IF(OR($B135="",$J135&lt;&gt;"Sí"),"",IF(DAY($A135)&lt;='Config'!$B$13,DATE(YEAR($A135),MONTH($A135),'Config'!$B$13),EOMONTH($A135,0)+'Config'!$B$13))</f>
      </c>
      <c r="L135" s="14">
        <f>IF($K135="","",DATE(YEAR(EOMONTH($K135,0)+1),MONTH(EOMONTH($K135,0)+1),'Config'!$B$14))</f>
      </c>
      <c r="M135" s="22"/>
      <c r="N135" s="16">
        <f>IF($B135="","",MAX($H135-$M135,0))</f>
      </c>
      <c r="O135" s="19">
        <f>IF($B135="","",IF($J135&lt;&gt;"Sí","Pagado (contado)",IF($N135&lt;=0,"Pagado",IF($M135&gt;0,"Abono parcial","Pendiente"))))</f>
      </c>
      <c r="P135" s="19">
        <f>IF(OR($B135="",$J135&lt;&gt;"Sí",$N135&lt;=0),"",IF(TODAY()&gt;$L135,"🔴 VENCIDO hace "&amp;(TODAY()-$L135)&amp;" día(s)",IF($L135-TODAY()&lt;='Config'!$B$15,"🟠 Faltan "&amp;($L135-TODAY())&amp;" día(s) para pagar","🟢 Al día (paga el "&amp;TEXT($L135,"dd/mm")&amp;")")))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16">
        <f>IF($B136="","",'Config'!$B$11+'Config'!$B$12)</f>
      </c>
      <c r="H136" s="16">
        <f>IF($B136="","",$F136+$G136)</f>
      </c>
      <c r="I136" s="20"/>
      <c r="J136" s="20"/>
      <c r="K136" s="14">
        <f>IF(OR($B136="",$J136&lt;&gt;"Sí"),"",IF(DAY($A136)&lt;='Config'!$B$13,DATE(YEAR($A136),MONTH($A136),'Config'!$B$13),EOMONTH($A136,0)+'Config'!$B$13))</f>
      </c>
      <c r="L136" s="14">
        <f>IF($K136="","",DATE(YEAR(EOMONTH($K136,0)+1),MONTH(EOMONTH($K136,0)+1),'Config'!$B$14))</f>
      </c>
      <c r="M136" s="22"/>
      <c r="N136" s="16">
        <f>IF($B136="","",MAX($H136-$M136,0))</f>
      </c>
      <c r="O136" s="19">
        <f>IF($B136="","",IF($J136&lt;&gt;"Sí","Pagado (contado)",IF($N136&lt;=0,"Pagado",IF($M136&gt;0,"Abono parcial","Pendiente"))))</f>
      </c>
      <c r="P136" s="19">
        <f>IF(OR($B136="",$J136&lt;&gt;"Sí",$N136&lt;=0),"",IF(TODAY()&gt;$L136,"🔴 VENCIDO hace "&amp;(TODAY()-$L136)&amp;" día(s)",IF($L136-TODAY()&lt;='Config'!$B$15,"🟠 Faltan "&amp;($L136-TODAY())&amp;" día(s) para pagar","🟢 Al día (paga el "&amp;TEXT($L136,"dd/mm")&amp;")")))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16">
        <f>IF($B137="","",'Config'!$B$11+'Config'!$B$12)</f>
      </c>
      <c r="H137" s="16">
        <f>IF($B137="","",$F137+$G137)</f>
      </c>
      <c r="I137" s="20"/>
      <c r="J137" s="20"/>
      <c r="K137" s="14">
        <f>IF(OR($B137="",$J137&lt;&gt;"Sí"),"",IF(DAY($A137)&lt;='Config'!$B$13,DATE(YEAR($A137),MONTH($A137),'Config'!$B$13),EOMONTH($A137,0)+'Config'!$B$13))</f>
      </c>
      <c r="L137" s="14">
        <f>IF($K137="","",DATE(YEAR(EOMONTH($K137,0)+1),MONTH(EOMONTH($K137,0)+1),'Config'!$B$14))</f>
      </c>
      <c r="M137" s="22"/>
      <c r="N137" s="16">
        <f>IF($B137="","",MAX($H137-$M137,0))</f>
      </c>
      <c r="O137" s="19">
        <f>IF($B137="","",IF($J137&lt;&gt;"Sí","Pagado (contado)",IF($N137&lt;=0,"Pagado",IF($M137&gt;0,"Abono parcial","Pendiente"))))</f>
      </c>
      <c r="P137" s="19">
        <f>IF(OR($B137="",$J137&lt;&gt;"Sí",$N137&lt;=0),"",IF(TODAY()&gt;$L137,"🔴 VENCIDO hace "&amp;(TODAY()-$L137)&amp;" día(s)",IF($L137-TODAY()&lt;='Config'!$B$15,"🟠 Faltan "&amp;($L137-TODAY())&amp;" día(s) para pagar","🟢 Al día (paga el "&amp;TEXT($L137,"dd/mm")&amp;")")))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16">
        <f>IF($B138="","",'Config'!$B$11+'Config'!$B$12)</f>
      </c>
      <c r="H138" s="16">
        <f>IF($B138="","",$F138+$G138)</f>
      </c>
      <c r="I138" s="20"/>
      <c r="J138" s="20"/>
      <c r="K138" s="14">
        <f>IF(OR($B138="",$J138&lt;&gt;"Sí"),"",IF(DAY($A138)&lt;='Config'!$B$13,DATE(YEAR($A138),MONTH($A138),'Config'!$B$13),EOMONTH($A138,0)+'Config'!$B$13))</f>
      </c>
      <c r="L138" s="14">
        <f>IF($K138="","",DATE(YEAR(EOMONTH($K138,0)+1),MONTH(EOMONTH($K138,0)+1),'Config'!$B$14))</f>
      </c>
      <c r="M138" s="22"/>
      <c r="N138" s="16">
        <f>IF($B138="","",MAX($H138-$M138,0))</f>
      </c>
      <c r="O138" s="19">
        <f>IF($B138="","",IF($J138&lt;&gt;"Sí","Pagado (contado)",IF($N138&lt;=0,"Pagado",IF($M138&gt;0,"Abono parcial","Pendiente"))))</f>
      </c>
      <c r="P138" s="19">
        <f>IF(OR($B138="",$J138&lt;&gt;"Sí",$N138&lt;=0),"",IF(TODAY()&gt;$L138,"🔴 VENCIDO hace "&amp;(TODAY()-$L138)&amp;" día(s)",IF($L138-TODAY()&lt;='Config'!$B$15,"🟠 Faltan "&amp;($L138-TODAY())&amp;" día(s) para pagar","🟢 Al día (paga el "&amp;TEXT($L138,"dd/mm")&amp;")")))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16">
        <f>IF($B139="","",'Config'!$B$11+'Config'!$B$12)</f>
      </c>
      <c r="H139" s="16">
        <f>IF($B139="","",$F139+$G139)</f>
      </c>
      <c r="I139" s="20"/>
      <c r="J139" s="20"/>
      <c r="K139" s="14">
        <f>IF(OR($B139="",$J139&lt;&gt;"Sí"),"",IF(DAY($A139)&lt;='Config'!$B$13,DATE(YEAR($A139),MONTH($A139),'Config'!$B$13),EOMONTH($A139,0)+'Config'!$B$13))</f>
      </c>
      <c r="L139" s="14">
        <f>IF($K139="","",DATE(YEAR(EOMONTH($K139,0)+1),MONTH(EOMONTH($K139,0)+1),'Config'!$B$14))</f>
      </c>
      <c r="M139" s="22"/>
      <c r="N139" s="16">
        <f>IF($B139="","",MAX($H139-$M139,0))</f>
      </c>
      <c r="O139" s="19">
        <f>IF($B139="","",IF($J139&lt;&gt;"Sí","Pagado (contado)",IF($N139&lt;=0,"Pagado",IF($M139&gt;0,"Abono parcial","Pendiente"))))</f>
      </c>
      <c r="P139" s="19">
        <f>IF(OR($B139="",$J139&lt;&gt;"Sí",$N139&lt;=0),"",IF(TODAY()&gt;$L139,"🔴 VENCIDO hace "&amp;(TODAY()-$L139)&amp;" día(s)",IF($L139-TODAY()&lt;='Config'!$B$15,"🟠 Faltan "&amp;($L139-TODAY())&amp;" día(s) para pagar","🟢 Al día (paga el "&amp;TEXT($L139,"dd/mm")&amp;")")))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16">
        <f>IF($B140="","",'Config'!$B$11+'Config'!$B$12)</f>
      </c>
      <c r="H140" s="16">
        <f>IF($B140="","",$F140+$G140)</f>
      </c>
      <c r="I140" s="20"/>
      <c r="J140" s="20"/>
      <c r="K140" s="14">
        <f>IF(OR($B140="",$J140&lt;&gt;"Sí"),"",IF(DAY($A140)&lt;='Config'!$B$13,DATE(YEAR($A140),MONTH($A140),'Config'!$B$13),EOMONTH($A140,0)+'Config'!$B$13))</f>
      </c>
      <c r="L140" s="14">
        <f>IF($K140="","",DATE(YEAR(EOMONTH($K140,0)+1),MONTH(EOMONTH($K140,0)+1),'Config'!$B$14))</f>
      </c>
      <c r="M140" s="22"/>
      <c r="N140" s="16">
        <f>IF($B140="","",MAX($H140-$M140,0))</f>
      </c>
      <c r="O140" s="19">
        <f>IF($B140="","",IF($J140&lt;&gt;"Sí","Pagado (contado)",IF($N140&lt;=0,"Pagado",IF($M140&gt;0,"Abono parcial","Pendiente"))))</f>
      </c>
      <c r="P140" s="19">
        <f>IF(OR($B140="",$J140&lt;&gt;"Sí",$N140&lt;=0),"",IF(TODAY()&gt;$L140,"🔴 VENCIDO hace "&amp;(TODAY()-$L140)&amp;" día(s)",IF($L140-TODAY()&lt;='Config'!$B$15,"🟠 Faltan "&amp;($L140-TODAY())&amp;" día(s) para pagar","🟢 Al día (paga el "&amp;TEXT($L140,"dd/mm")&amp;")")))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16">
        <f>IF($B141="","",'Config'!$B$11+'Config'!$B$12)</f>
      </c>
      <c r="H141" s="16">
        <f>IF($B141="","",$F141+$G141)</f>
      </c>
      <c r="I141" s="20"/>
      <c r="J141" s="20"/>
      <c r="K141" s="14">
        <f>IF(OR($B141="",$J141&lt;&gt;"Sí"),"",IF(DAY($A141)&lt;='Config'!$B$13,DATE(YEAR($A141),MONTH($A141),'Config'!$B$13),EOMONTH($A141,0)+'Config'!$B$13))</f>
      </c>
      <c r="L141" s="14">
        <f>IF($K141="","",DATE(YEAR(EOMONTH($K141,0)+1),MONTH(EOMONTH($K141,0)+1),'Config'!$B$14))</f>
      </c>
      <c r="M141" s="22"/>
      <c r="N141" s="16">
        <f>IF($B141="","",MAX($H141-$M141,0))</f>
      </c>
      <c r="O141" s="19">
        <f>IF($B141="","",IF($J141&lt;&gt;"Sí","Pagado (contado)",IF($N141&lt;=0,"Pagado",IF($M141&gt;0,"Abono parcial","Pendiente"))))</f>
      </c>
      <c r="P141" s="19">
        <f>IF(OR($B141="",$J141&lt;&gt;"Sí",$N141&lt;=0),"",IF(TODAY()&gt;$L141,"🔴 VENCIDO hace "&amp;(TODAY()-$L141)&amp;" día(s)",IF($L141-TODAY()&lt;='Config'!$B$15,"🟠 Faltan "&amp;($L141-TODAY())&amp;" día(s) para pagar","🟢 Al día (paga el "&amp;TEXT($L141,"dd/mm")&amp;")")))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16">
        <f>IF($B142="","",'Config'!$B$11+'Config'!$B$12)</f>
      </c>
      <c r="H142" s="16">
        <f>IF($B142="","",$F142+$G142)</f>
      </c>
      <c r="I142" s="20"/>
      <c r="J142" s="20"/>
      <c r="K142" s="14">
        <f>IF(OR($B142="",$J142&lt;&gt;"Sí"),"",IF(DAY($A142)&lt;='Config'!$B$13,DATE(YEAR($A142),MONTH($A142),'Config'!$B$13),EOMONTH($A142,0)+'Config'!$B$13))</f>
      </c>
      <c r="L142" s="14">
        <f>IF($K142="","",DATE(YEAR(EOMONTH($K142,0)+1),MONTH(EOMONTH($K142,0)+1),'Config'!$B$14))</f>
      </c>
      <c r="M142" s="22"/>
      <c r="N142" s="16">
        <f>IF($B142="","",MAX($H142-$M142,0))</f>
      </c>
      <c r="O142" s="19">
        <f>IF($B142="","",IF($J142&lt;&gt;"Sí","Pagado (contado)",IF($N142&lt;=0,"Pagado",IF($M142&gt;0,"Abono parcial","Pendiente"))))</f>
      </c>
      <c r="P142" s="19">
        <f>IF(OR($B142="",$J142&lt;&gt;"Sí",$N142&lt;=0),"",IF(TODAY()&gt;$L142,"🔴 VENCIDO hace "&amp;(TODAY()-$L142)&amp;" día(s)",IF($L142-TODAY()&lt;='Config'!$B$15,"🟠 Faltan "&amp;($L142-TODAY())&amp;" día(s) para pagar","🟢 Al día (paga el "&amp;TEXT($L142,"dd/mm")&amp;")")))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16">
        <f>IF($B143="","",'Config'!$B$11+'Config'!$B$12)</f>
      </c>
      <c r="H143" s="16">
        <f>IF($B143="","",$F143+$G143)</f>
      </c>
      <c r="I143" s="20"/>
      <c r="J143" s="20"/>
      <c r="K143" s="14">
        <f>IF(OR($B143="",$J143&lt;&gt;"Sí"),"",IF(DAY($A143)&lt;='Config'!$B$13,DATE(YEAR($A143),MONTH($A143),'Config'!$B$13),EOMONTH($A143,0)+'Config'!$B$13))</f>
      </c>
      <c r="L143" s="14">
        <f>IF($K143="","",DATE(YEAR(EOMONTH($K143,0)+1),MONTH(EOMONTH($K143,0)+1),'Config'!$B$14))</f>
      </c>
      <c r="M143" s="22"/>
      <c r="N143" s="16">
        <f>IF($B143="","",MAX($H143-$M143,0))</f>
      </c>
      <c r="O143" s="19">
        <f>IF($B143="","",IF($J143&lt;&gt;"Sí","Pagado (contado)",IF($N143&lt;=0,"Pagado",IF($M143&gt;0,"Abono parcial","Pendiente"))))</f>
      </c>
      <c r="P143" s="19">
        <f>IF(OR($B143="",$J143&lt;&gt;"Sí",$N143&lt;=0),"",IF(TODAY()&gt;$L143,"🔴 VENCIDO hace "&amp;(TODAY()-$L143)&amp;" día(s)",IF($L143-TODAY()&lt;='Config'!$B$15,"🟠 Faltan "&amp;($L143-TODAY())&amp;" día(s) para pagar","🟢 Al día (paga el "&amp;TEXT($L143,"dd/mm")&amp;")")))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16">
        <f>IF($B144="","",'Config'!$B$11+'Config'!$B$12)</f>
      </c>
      <c r="H144" s="16">
        <f>IF($B144="","",$F144+$G144)</f>
      </c>
      <c r="I144" s="20"/>
      <c r="J144" s="20"/>
      <c r="K144" s="14">
        <f>IF(OR($B144="",$J144&lt;&gt;"Sí"),"",IF(DAY($A144)&lt;='Config'!$B$13,DATE(YEAR($A144),MONTH($A144),'Config'!$B$13),EOMONTH($A144,0)+'Config'!$B$13))</f>
      </c>
      <c r="L144" s="14">
        <f>IF($K144="","",DATE(YEAR(EOMONTH($K144,0)+1),MONTH(EOMONTH($K144,0)+1),'Config'!$B$14))</f>
      </c>
      <c r="M144" s="22"/>
      <c r="N144" s="16">
        <f>IF($B144="","",MAX($H144-$M144,0))</f>
      </c>
      <c r="O144" s="19">
        <f>IF($B144="","",IF($J144&lt;&gt;"Sí","Pagado (contado)",IF($N144&lt;=0,"Pagado",IF($M144&gt;0,"Abono parcial","Pendiente"))))</f>
      </c>
      <c r="P144" s="19">
        <f>IF(OR($B144="",$J144&lt;&gt;"Sí",$N144&lt;=0),"",IF(TODAY()&gt;$L144,"🔴 VENCIDO hace "&amp;(TODAY()-$L144)&amp;" día(s)",IF($L144-TODAY()&lt;='Config'!$B$15,"🟠 Faltan "&amp;($L144-TODAY())&amp;" día(s) para pagar","🟢 Al día (paga el "&amp;TEXT($L144,"dd/mm")&amp;")")))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16">
        <f>IF($B145="","",'Config'!$B$11+'Config'!$B$12)</f>
      </c>
      <c r="H145" s="16">
        <f>IF($B145="","",$F145+$G145)</f>
      </c>
      <c r="I145" s="20"/>
      <c r="J145" s="20"/>
      <c r="K145" s="14">
        <f>IF(OR($B145="",$J145&lt;&gt;"Sí"),"",IF(DAY($A145)&lt;='Config'!$B$13,DATE(YEAR($A145),MONTH($A145),'Config'!$B$13),EOMONTH($A145,0)+'Config'!$B$13))</f>
      </c>
      <c r="L145" s="14">
        <f>IF($K145="","",DATE(YEAR(EOMONTH($K145,0)+1),MONTH(EOMONTH($K145,0)+1),'Config'!$B$14))</f>
      </c>
      <c r="M145" s="22"/>
      <c r="N145" s="16">
        <f>IF($B145="","",MAX($H145-$M145,0))</f>
      </c>
      <c r="O145" s="19">
        <f>IF($B145="","",IF($J145&lt;&gt;"Sí","Pagado (contado)",IF($N145&lt;=0,"Pagado",IF($M145&gt;0,"Abono parcial","Pendiente"))))</f>
      </c>
      <c r="P145" s="19">
        <f>IF(OR($B145="",$J145&lt;&gt;"Sí",$N145&lt;=0),"",IF(TODAY()&gt;$L145,"🔴 VENCIDO hace "&amp;(TODAY()-$L145)&amp;" día(s)",IF($L145-TODAY()&lt;='Config'!$B$15,"🟠 Faltan "&amp;($L145-TODAY())&amp;" día(s) para pagar","🟢 Al día (paga el "&amp;TEXT($L145,"dd/mm")&amp;")")))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16">
        <f>IF($B146="","",'Config'!$B$11+'Config'!$B$12)</f>
      </c>
      <c r="H146" s="16">
        <f>IF($B146="","",$F146+$G146)</f>
      </c>
      <c r="I146" s="20"/>
      <c r="J146" s="20"/>
      <c r="K146" s="14">
        <f>IF(OR($B146="",$J146&lt;&gt;"Sí"),"",IF(DAY($A146)&lt;='Config'!$B$13,DATE(YEAR($A146),MONTH($A146),'Config'!$B$13),EOMONTH($A146,0)+'Config'!$B$13))</f>
      </c>
      <c r="L146" s="14">
        <f>IF($K146="","",DATE(YEAR(EOMONTH($K146,0)+1),MONTH(EOMONTH($K146,0)+1),'Config'!$B$14))</f>
      </c>
      <c r="M146" s="22"/>
      <c r="N146" s="16">
        <f>IF($B146="","",MAX($H146-$M146,0))</f>
      </c>
      <c r="O146" s="19">
        <f>IF($B146="","",IF($J146&lt;&gt;"Sí","Pagado (contado)",IF($N146&lt;=0,"Pagado",IF($M146&gt;0,"Abono parcial","Pendiente"))))</f>
      </c>
      <c r="P146" s="19">
        <f>IF(OR($B146="",$J146&lt;&gt;"Sí",$N146&lt;=0),"",IF(TODAY()&gt;$L146,"🔴 VENCIDO hace "&amp;(TODAY()-$L146)&amp;" día(s)",IF($L146-TODAY()&lt;='Config'!$B$15,"🟠 Faltan "&amp;($L146-TODAY())&amp;" día(s) para pagar","🟢 Al día (paga el "&amp;TEXT($L146,"dd/mm")&amp;")")))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16">
        <f>IF($B147="","",'Config'!$B$11+'Config'!$B$12)</f>
      </c>
      <c r="H147" s="16">
        <f>IF($B147="","",$F147+$G147)</f>
      </c>
      <c r="I147" s="20"/>
      <c r="J147" s="20"/>
      <c r="K147" s="14">
        <f>IF(OR($B147="",$J147&lt;&gt;"Sí"),"",IF(DAY($A147)&lt;='Config'!$B$13,DATE(YEAR($A147),MONTH($A147),'Config'!$B$13),EOMONTH($A147,0)+'Config'!$B$13))</f>
      </c>
      <c r="L147" s="14">
        <f>IF($K147="","",DATE(YEAR(EOMONTH($K147,0)+1),MONTH(EOMONTH($K147,0)+1),'Config'!$B$14))</f>
      </c>
      <c r="M147" s="22"/>
      <c r="N147" s="16">
        <f>IF($B147="","",MAX($H147-$M147,0))</f>
      </c>
      <c r="O147" s="19">
        <f>IF($B147="","",IF($J147&lt;&gt;"Sí","Pagado (contado)",IF($N147&lt;=0,"Pagado",IF($M147&gt;0,"Abono parcial","Pendiente"))))</f>
      </c>
      <c r="P147" s="19">
        <f>IF(OR($B147="",$J147&lt;&gt;"Sí",$N147&lt;=0),"",IF(TODAY()&gt;$L147,"🔴 VENCIDO hace "&amp;(TODAY()-$L147)&amp;" día(s)",IF($L147-TODAY()&lt;='Config'!$B$15,"🟠 Faltan "&amp;($L147-TODAY())&amp;" día(s) para pagar","🟢 Al día (paga el "&amp;TEXT($L147,"dd/mm")&amp;")")))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16">
        <f>IF($B148="","",'Config'!$B$11+'Config'!$B$12)</f>
      </c>
      <c r="H148" s="16">
        <f>IF($B148="","",$F148+$G148)</f>
      </c>
      <c r="I148" s="20"/>
      <c r="J148" s="20"/>
      <c r="K148" s="14">
        <f>IF(OR($B148="",$J148&lt;&gt;"Sí"),"",IF(DAY($A148)&lt;='Config'!$B$13,DATE(YEAR($A148),MONTH($A148),'Config'!$B$13),EOMONTH($A148,0)+'Config'!$B$13))</f>
      </c>
      <c r="L148" s="14">
        <f>IF($K148="","",DATE(YEAR(EOMONTH($K148,0)+1),MONTH(EOMONTH($K148,0)+1),'Config'!$B$14))</f>
      </c>
      <c r="M148" s="22"/>
      <c r="N148" s="16">
        <f>IF($B148="","",MAX($H148-$M148,0))</f>
      </c>
      <c r="O148" s="19">
        <f>IF($B148="","",IF($J148&lt;&gt;"Sí","Pagado (contado)",IF($N148&lt;=0,"Pagado",IF($M148&gt;0,"Abono parcial","Pendiente"))))</f>
      </c>
      <c r="P148" s="19">
        <f>IF(OR($B148="",$J148&lt;&gt;"Sí",$N148&lt;=0),"",IF(TODAY()&gt;$L148,"🔴 VENCIDO hace "&amp;(TODAY()-$L148)&amp;" día(s)",IF($L148-TODAY()&lt;='Config'!$B$15,"🟠 Faltan "&amp;($L148-TODAY())&amp;" día(s) para pagar","🟢 Al día (paga el "&amp;TEXT($L148,"dd/mm")&amp;")")))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16">
        <f>IF($B149="","",'Config'!$B$11+'Config'!$B$12)</f>
      </c>
      <c r="H149" s="16">
        <f>IF($B149="","",$F149+$G149)</f>
      </c>
      <c r="I149" s="20"/>
      <c r="J149" s="20"/>
      <c r="K149" s="14">
        <f>IF(OR($B149="",$J149&lt;&gt;"Sí"),"",IF(DAY($A149)&lt;='Config'!$B$13,DATE(YEAR($A149),MONTH($A149),'Config'!$B$13),EOMONTH($A149,0)+'Config'!$B$13))</f>
      </c>
      <c r="L149" s="14">
        <f>IF($K149="","",DATE(YEAR(EOMONTH($K149,0)+1),MONTH(EOMONTH($K149,0)+1),'Config'!$B$14))</f>
      </c>
      <c r="M149" s="22"/>
      <c r="N149" s="16">
        <f>IF($B149="","",MAX($H149-$M149,0))</f>
      </c>
      <c r="O149" s="19">
        <f>IF($B149="","",IF($J149&lt;&gt;"Sí","Pagado (contado)",IF($N149&lt;=0,"Pagado",IF($M149&gt;0,"Abono parcial","Pendiente"))))</f>
      </c>
      <c r="P149" s="19">
        <f>IF(OR($B149="",$J149&lt;&gt;"Sí",$N149&lt;=0),"",IF(TODAY()&gt;$L149,"🔴 VENCIDO hace "&amp;(TODAY()-$L149)&amp;" día(s)",IF($L149-TODAY()&lt;='Config'!$B$15,"🟠 Faltan "&amp;($L149-TODAY())&amp;" día(s) para pagar","🟢 Al día (paga el "&amp;TEXT($L149,"dd/mm")&amp;")")))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16">
        <f>IF($B150="","",'Config'!$B$11+'Config'!$B$12)</f>
      </c>
      <c r="H150" s="16">
        <f>IF($B150="","",$F150+$G150)</f>
      </c>
      <c r="I150" s="20"/>
      <c r="J150" s="20"/>
      <c r="K150" s="14">
        <f>IF(OR($B150="",$J150&lt;&gt;"Sí"),"",IF(DAY($A150)&lt;='Config'!$B$13,DATE(YEAR($A150),MONTH($A150),'Config'!$B$13),EOMONTH($A150,0)+'Config'!$B$13))</f>
      </c>
      <c r="L150" s="14">
        <f>IF($K150="","",DATE(YEAR(EOMONTH($K150,0)+1),MONTH(EOMONTH($K150,0)+1),'Config'!$B$14))</f>
      </c>
      <c r="M150" s="22"/>
      <c r="N150" s="16">
        <f>IF($B150="","",MAX($H150-$M150,0))</f>
      </c>
      <c r="O150" s="19">
        <f>IF($B150="","",IF($J150&lt;&gt;"Sí","Pagado (contado)",IF($N150&lt;=0,"Pagado",IF($M150&gt;0,"Abono parcial","Pendiente"))))</f>
      </c>
      <c r="P150" s="19">
        <f>IF(OR($B150="",$J150&lt;&gt;"Sí",$N150&lt;=0),"",IF(TODAY()&gt;$L150,"🔴 VENCIDO hace "&amp;(TODAY()-$L150)&amp;" día(s)",IF($L150-TODAY()&lt;='Config'!$B$15,"🟠 Faltan "&amp;($L150-TODAY())&amp;" día(s) para pagar","🟢 Al día (paga el "&amp;TEXT($L150,"dd/mm")&amp;")")))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16">
        <f>IF($B151="","",'Config'!$B$11+'Config'!$B$12)</f>
      </c>
      <c r="H151" s="16">
        <f>IF($B151="","",$F151+$G151)</f>
      </c>
      <c r="I151" s="20"/>
      <c r="J151" s="20"/>
      <c r="K151" s="14">
        <f>IF(OR($B151="",$J151&lt;&gt;"Sí"),"",IF(DAY($A151)&lt;='Config'!$B$13,DATE(YEAR($A151),MONTH($A151),'Config'!$B$13),EOMONTH($A151,0)+'Config'!$B$13))</f>
      </c>
      <c r="L151" s="14">
        <f>IF($K151="","",DATE(YEAR(EOMONTH($K151,0)+1),MONTH(EOMONTH($K151,0)+1),'Config'!$B$14))</f>
      </c>
      <c r="M151" s="22"/>
      <c r="N151" s="16">
        <f>IF($B151="","",MAX($H151-$M151,0))</f>
      </c>
      <c r="O151" s="19">
        <f>IF($B151="","",IF($J151&lt;&gt;"Sí","Pagado (contado)",IF($N151&lt;=0,"Pagado",IF($M151&gt;0,"Abono parcial","Pendiente"))))</f>
      </c>
      <c r="P151" s="19">
        <f>IF(OR($B151="",$J151&lt;&gt;"Sí",$N151&lt;=0),"",IF(TODAY()&gt;$L151,"🔴 VENCIDO hace "&amp;(TODAY()-$L151)&amp;" día(s)",IF($L151-TODAY()&lt;='Config'!$B$15,"🟠 Faltan "&amp;($L151-TODAY())&amp;" día(s) para pagar","🟢 Al día (paga el "&amp;TEXT($L151,"dd/mm")&amp;")")))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16">
        <f>IF($B152="","",'Config'!$B$11+'Config'!$B$12)</f>
      </c>
      <c r="H152" s="16">
        <f>IF($B152="","",$F152+$G152)</f>
      </c>
      <c r="I152" s="20"/>
      <c r="J152" s="20"/>
      <c r="K152" s="14">
        <f>IF(OR($B152="",$J152&lt;&gt;"Sí"),"",IF(DAY($A152)&lt;='Config'!$B$13,DATE(YEAR($A152),MONTH($A152),'Config'!$B$13),EOMONTH($A152,0)+'Config'!$B$13))</f>
      </c>
      <c r="L152" s="14">
        <f>IF($K152="","",DATE(YEAR(EOMONTH($K152,0)+1),MONTH(EOMONTH($K152,0)+1),'Config'!$B$14))</f>
      </c>
      <c r="M152" s="22"/>
      <c r="N152" s="16">
        <f>IF($B152="","",MAX($H152-$M152,0))</f>
      </c>
      <c r="O152" s="19">
        <f>IF($B152="","",IF($J152&lt;&gt;"Sí","Pagado (contado)",IF($N152&lt;=0,"Pagado",IF($M152&gt;0,"Abono parcial","Pendiente"))))</f>
      </c>
      <c r="P152" s="19">
        <f>IF(OR($B152="",$J152&lt;&gt;"Sí",$N152&lt;=0),"",IF(TODAY()&gt;$L152,"🔴 VENCIDO hace "&amp;(TODAY()-$L152)&amp;" día(s)",IF($L152-TODAY()&lt;='Config'!$B$15,"🟠 Faltan "&amp;($L152-TODAY())&amp;" día(s) para pagar","🟢 Al día (paga el "&amp;TEXT($L152,"dd/mm")&amp;")")))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16">
        <f>IF($B153="","",'Config'!$B$11+'Config'!$B$12)</f>
      </c>
      <c r="H153" s="16">
        <f>IF($B153="","",$F153+$G153)</f>
      </c>
      <c r="I153" s="20"/>
      <c r="J153" s="20"/>
      <c r="K153" s="14">
        <f>IF(OR($B153="",$J153&lt;&gt;"Sí"),"",IF(DAY($A153)&lt;='Config'!$B$13,DATE(YEAR($A153),MONTH($A153),'Config'!$B$13),EOMONTH($A153,0)+'Config'!$B$13))</f>
      </c>
      <c r="L153" s="14">
        <f>IF($K153="","",DATE(YEAR(EOMONTH($K153,0)+1),MONTH(EOMONTH($K153,0)+1),'Config'!$B$14))</f>
      </c>
      <c r="M153" s="22"/>
      <c r="N153" s="16">
        <f>IF($B153="","",MAX($H153-$M153,0))</f>
      </c>
      <c r="O153" s="19">
        <f>IF($B153="","",IF($J153&lt;&gt;"Sí","Pagado (contado)",IF($N153&lt;=0,"Pagado",IF($M153&gt;0,"Abono parcial","Pendiente"))))</f>
      </c>
      <c r="P153" s="19">
        <f>IF(OR($B153="",$J153&lt;&gt;"Sí",$N153&lt;=0),"",IF(TODAY()&gt;$L153,"🔴 VENCIDO hace "&amp;(TODAY()-$L153)&amp;" día(s)",IF($L153-TODAY()&lt;='Config'!$B$15,"🟠 Faltan "&amp;($L153-TODAY())&amp;" día(s) para pagar","🟢 Al día (paga el "&amp;TEXT($L153,"dd/mm")&amp;")")))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16">
        <f>IF($B154="","",'Config'!$B$11+'Config'!$B$12)</f>
      </c>
      <c r="H154" s="16">
        <f>IF($B154="","",$F154+$G154)</f>
      </c>
      <c r="I154" s="20"/>
      <c r="J154" s="20"/>
      <c r="K154" s="14">
        <f>IF(OR($B154="",$J154&lt;&gt;"Sí"),"",IF(DAY($A154)&lt;='Config'!$B$13,DATE(YEAR($A154),MONTH($A154),'Config'!$B$13),EOMONTH($A154,0)+'Config'!$B$13))</f>
      </c>
      <c r="L154" s="14">
        <f>IF($K154="","",DATE(YEAR(EOMONTH($K154,0)+1),MONTH(EOMONTH($K154,0)+1),'Config'!$B$14))</f>
      </c>
      <c r="M154" s="22"/>
      <c r="N154" s="16">
        <f>IF($B154="","",MAX($H154-$M154,0))</f>
      </c>
      <c r="O154" s="19">
        <f>IF($B154="","",IF($J154&lt;&gt;"Sí","Pagado (contado)",IF($N154&lt;=0,"Pagado",IF($M154&gt;0,"Abono parcial","Pendiente"))))</f>
      </c>
      <c r="P154" s="19">
        <f>IF(OR($B154="",$J154&lt;&gt;"Sí",$N154&lt;=0),"",IF(TODAY()&gt;$L154,"🔴 VENCIDO hace "&amp;(TODAY()-$L154)&amp;" día(s)",IF($L154-TODAY()&lt;='Config'!$B$15,"🟠 Faltan "&amp;($L154-TODAY())&amp;" día(s) para pagar","🟢 Al día (paga el "&amp;TEXT($L154,"dd/mm")&amp;")")))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16">
        <f>IF($B155="","",'Config'!$B$11+'Config'!$B$12)</f>
      </c>
      <c r="H155" s="16">
        <f>IF($B155="","",$F155+$G155)</f>
      </c>
      <c r="I155" s="20"/>
      <c r="J155" s="20"/>
      <c r="K155" s="14">
        <f>IF(OR($B155="",$J155&lt;&gt;"Sí"),"",IF(DAY($A155)&lt;='Config'!$B$13,DATE(YEAR($A155),MONTH($A155),'Config'!$B$13),EOMONTH($A155,0)+'Config'!$B$13))</f>
      </c>
      <c r="L155" s="14">
        <f>IF($K155="","",DATE(YEAR(EOMONTH($K155,0)+1),MONTH(EOMONTH($K155,0)+1),'Config'!$B$14))</f>
      </c>
      <c r="M155" s="22"/>
      <c r="N155" s="16">
        <f>IF($B155="","",MAX($H155-$M155,0))</f>
      </c>
      <c r="O155" s="19">
        <f>IF($B155="","",IF($J155&lt;&gt;"Sí","Pagado (contado)",IF($N155&lt;=0,"Pagado",IF($M155&gt;0,"Abono parcial","Pendiente"))))</f>
      </c>
      <c r="P155" s="19">
        <f>IF(OR($B155="",$J155&lt;&gt;"Sí",$N155&lt;=0),"",IF(TODAY()&gt;$L155,"🔴 VENCIDO hace "&amp;(TODAY()-$L155)&amp;" día(s)",IF($L155-TODAY()&lt;='Config'!$B$15,"🟠 Faltan "&amp;($L155-TODAY())&amp;" día(s) para pagar","🟢 Al día (paga el "&amp;TEXT($L155,"dd/mm")&amp;")")))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16">
        <f>IF($B156="","",'Config'!$B$11+'Config'!$B$12)</f>
      </c>
      <c r="H156" s="16">
        <f>IF($B156="","",$F156+$G156)</f>
      </c>
      <c r="I156" s="20"/>
      <c r="J156" s="20"/>
      <c r="K156" s="14">
        <f>IF(OR($B156="",$J156&lt;&gt;"Sí"),"",IF(DAY($A156)&lt;='Config'!$B$13,DATE(YEAR($A156),MONTH($A156),'Config'!$B$13),EOMONTH($A156,0)+'Config'!$B$13))</f>
      </c>
      <c r="L156" s="14">
        <f>IF($K156="","",DATE(YEAR(EOMONTH($K156,0)+1),MONTH(EOMONTH($K156,0)+1),'Config'!$B$14))</f>
      </c>
      <c r="M156" s="22"/>
      <c r="N156" s="16">
        <f>IF($B156="","",MAX($H156-$M156,0))</f>
      </c>
      <c r="O156" s="19">
        <f>IF($B156="","",IF($J156&lt;&gt;"Sí","Pagado (contado)",IF($N156&lt;=0,"Pagado",IF($M156&gt;0,"Abono parcial","Pendiente"))))</f>
      </c>
      <c r="P156" s="19">
        <f>IF(OR($B156="",$J156&lt;&gt;"Sí",$N156&lt;=0),"",IF(TODAY()&gt;$L156,"🔴 VENCIDO hace "&amp;(TODAY()-$L156)&amp;" día(s)",IF($L156-TODAY()&lt;='Config'!$B$15,"🟠 Faltan "&amp;($L156-TODAY())&amp;" día(s) para pagar","🟢 Al día (paga el "&amp;TEXT($L156,"dd/mm")&amp;")")))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16">
        <f>IF($B157="","",'Config'!$B$11+'Config'!$B$12)</f>
      </c>
      <c r="H157" s="16">
        <f>IF($B157="","",$F157+$G157)</f>
      </c>
      <c r="I157" s="20"/>
      <c r="J157" s="20"/>
      <c r="K157" s="14">
        <f>IF(OR($B157="",$J157&lt;&gt;"Sí"),"",IF(DAY($A157)&lt;='Config'!$B$13,DATE(YEAR($A157),MONTH($A157),'Config'!$B$13),EOMONTH($A157,0)+'Config'!$B$13))</f>
      </c>
      <c r="L157" s="14">
        <f>IF($K157="","",DATE(YEAR(EOMONTH($K157,0)+1),MONTH(EOMONTH($K157,0)+1),'Config'!$B$14))</f>
      </c>
      <c r="M157" s="22"/>
      <c r="N157" s="16">
        <f>IF($B157="","",MAX($H157-$M157,0))</f>
      </c>
      <c r="O157" s="19">
        <f>IF($B157="","",IF($J157&lt;&gt;"Sí","Pagado (contado)",IF($N157&lt;=0,"Pagado",IF($M157&gt;0,"Abono parcial","Pendiente"))))</f>
      </c>
      <c r="P157" s="19">
        <f>IF(OR($B157="",$J157&lt;&gt;"Sí",$N157&lt;=0),"",IF(TODAY()&gt;$L157,"🔴 VENCIDO hace "&amp;(TODAY()-$L157)&amp;" día(s)",IF($L157-TODAY()&lt;='Config'!$B$15,"🟠 Faltan "&amp;($L157-TODAY())&amp;" día(s) para pagar","🟢 Al día (paga el "&amp;TEXT($L157,"dd/mm")&amp;")")))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16">
        <f>IF($B158="","",'Config'!$B$11+'Config'!$B$12)</f>
      </c>
      <c r="H158" s="16">
        <f>IF($B158="","",$F158+$G158)</f>
      </c>
      <c r="I158" s="20"/>
      <c r="J158" s="20"/>
      <c r="K158" s="14">
        <f>IF(OR($B158="",$J158&lt;&gt;"Sí"),"",IF(DAY($A158)&lt;='Config'!$B$13,DATE(YEAR($A158),MONTH($A158),'Config'!$B$13),EOMONTH($A158,0)+'Config'!$B$13))</f>
      </c>
      <c r="L158" s="14">
        <f>IF($K158="","",DATE(YEAR(EOMONTH($K158,0)+1),MONTH(EOMONTH($K158,0)+1),'Config'!$B$14))</f>
      </c>
      <c r="M158" s="22"/>
      <c r="N158" s="16">
        <f>IF($B158="","",MAX($H158-$M158,0))</f>
      </c>
      <c r="O158" s="19">
        <f>IF($B158="","",IF($J158&lt;&gt;"Sí","Pagado (contado)",IF($N158&lt;=0,"Pagado",IF($M158&gt;0,"Abono parcial","Pendiente"))))</f>
      </c>
      <c r="P158" s="19">
        <f>IF(OR($B158="",$J158&lt;&gt;"Sí",$N158&lt;=0),"",IF(TODAY()&gt;$L158,"🔴 VENCIDO hace "&amp;(TODAY()-$L158)&amp;" día(s)",IF($L158-TODAY()&lt;='Config'!$B$15,"🟠 Faltan "&amp;($L158-TODAY())&amp;" día(s) para pagar","🟢 Al día (paga el "&amp;TEXT($L158,"dd/mm")&amp;")")))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16">
        <f>IF($B159="","",'Config'!$B$11+'Config'!$B$12)</f>
      </c>
      <c r="H159" s="16">
        <f>IF($B159="","",$F159+$G159)</f>
      </c>
      <c r="I159" s="20"/>
      <c r="J159" s="20"/>
      <c r="K159" s="14">
        <f>IF(OR($B159="",$J159&lt;&gt;"Sí"),"",IF(DAY($A159)&lt;='Config'!$B$13,DATE(YEAR($A159),MONTH($A159),'Config'!$B$13),EOMONTH($A159,0)+'Config'!$B$13))</f>
      </c>
      <c r="L159" s="14">
        <f>IF($K159="","",DATE(YEAR(EOMONTH($K159,0)+1),MONTH(EOMONTH($K159,0)+1),'Config'!$B$14))</f>
      </c>
      <c r="M159" s="22"/>
      <c r="N159" s="16">
        <f>IF($B159="","",MAX($H159-$M159,0))</f>
      </c>
      <c r="O159" s="19">
        <f>IF($B159="","",IF($J159&lt;&gt;"Sí","Pagado (contado)",IF($N159&lt;=0,"Pagado",IF($M159&gt;0,"Abono parcial","Pendiente"))))</f>
      </c>
      <c r="P159" s="19">
        <f>IF(OR($B159="",$J159&lt;&gt;"Sí",$N159&lt;=0),"",IF(TODAY()&gt;$L159,"🔴 VENCIDO hace "&amp;(TODAY()-$L159)&amp;" día(s)",IF($L159-TODAY()&lt;='Config'!$B$15,"🟠 Faltan "&amp;($L159-TODAY())&amp;" día(s) para pagar","🟢 Al día (paga el "&amp;TEXT($L159,"dd/mm")&amp;")")))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16">
        <f>IF($B160="","",'Config'!$B$11+'Config'!$B$12)</f>
      </c>
      <c r="H160" s="16">
        <f>IF($B160="","",$F160+$G160)</f>
      </c>
      <c r="I160" s="20"/>
      <c r="J160" s="20"/>
      <c r="K160" s="14">
        <f>IF(OR($B160="",$J160&lt;&gt;"Sí"),"",IF(DAY($A160)&lt;='Config'!$B$13,DATE(YEAR($A160),MONTH($A160),'Config'!$B$13),EOMONTH($A160,0)+'Config'!$B$13))</f>
      </c>
      <c r="L160" s="14">
        <f>IF($K160="","",DATE(YEAR(EOMONTH($K160,0)+1),MONTH(EOMONTH($K160,0)+1),'Config'!$B$14))</f>
      </c>
      <c r="M160" s="22"/>
      <c r="N160" s="16">
        <f>IF($B160="","",MAX($H160-$M160,0))</f>
      </c>
      <c r="O160" s="19">
        <f>IF($B160="","",IF($J160&lt;&gt;"Sí","Pagado (contado)",IF($N160&lt;=0,"Pagado",IF($M160&gt;0,"Abono parcial","Pendiente"))))</f>
      </c>
      <c r="P160" s="19">
        <f>IF(OR($B160="",$J160&lt;&gt;"Sí",$N160&lt;=0),"",IF(TODAY()&gt;$L160,"🔴 VENCIDO hace "&amp;(TODAY()-$L160)&amp;" día(s)",IF($L160-TODAY()&lt;='Config'!$B$15,"🟠 Faltan "&amp;($L160-TODAY())&amp;" día(s) para pagar","🟢 Al día (paga el "&amp;TEXT($L160,"dd/mm")&amp;")")))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16">
        <f>IF($B161="","",'Config'!$B$11+'Config'!$B$12)</f>
      </c>
      <c r="H161" s="16">
        <f>IF($B161="","",$F161+$G161)</f>
      </c>
      <c r="I161" s="20"/>
      <c r="J161" s="20"/>
      <c r="K161" s="14">
        <f>IF(OR($B161="",$J161&lt;&gt;"Sí"),"",IF(DAY($A161)&lt;='Config'!$B$13,DATE(YEAR($A161),MONTH($A161),'Config'!$B$13),EOMONTH($A161,0)+'Config'!$B$13))</f>
      </c>
      <c r="L161" s="14">
        <f>IF($K161="","",DATE(YEAR(EOMONTH($K161,0)+1),MONTH(EOMONTH($K161,0)+1),'Config'!$B$14))</f>
      </c>
      <c r="M161" s="22"/>
      <c r="N161" s="16">
        <f>IF($B161="","",MAX($H161-$M161,0))</f>
      </c>
      <c r="O161" s="19">
        <f>IF($B161="","",IF($J161&lt;&gt;"Sí","Pagado (contado)",IF($N161&lt;=0,"Pagado",IF($M161&gt;0,"Abono parcial","Pendiente"))))</f>
      </c>
      <c r="P161" s="19">
        <f>IF(OR($B161="",$J161&lt;&gt;"Sí",$N161&lt;=0),"",IF(TODAY()&gt;$L161,"🔴 VENCIDO hace "&amp;(TODAY()-$L161)&amp;" día(s)",IF($L161-TODAY()&lt;='Config'!$B$15,"🟠 Faltan "&amp;($L161-TODAY())&amp;" día(s) para pagar","🟢 Al día (paga el "&amp;TEXT($L161,"dd/mm")&amp;")")))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16">
        <f>IF($B162="","",'Config'!$B$11+'Config'!$B$12)</f>
      </c>
      <c r="H162" s="16">
        <f>IF($B162="","",$F162+$G162)</f>
      </c>
      <c r="I162" s="20"/>
      <c r="J162" s="20"/>
      <c r="K162" s="14">
        <f>IF(OR($B162="",$J162&lt;&gt;"Sí"),"",IF(DAY($A162)&lt;='Config'!$B$13,DATE(YEAR($A162),MONTH($A162),'Config'!$B$13),EOMONTH($A162,0)+'Config'!$B$13))</f>
      </c>
      <c r="L162" s="14">
        <f>IF($K162="","",DATE(YEAR(EOMONTH($K162,0)+1),MONTH(EOMONTH($K162,0)+1),'Config'!$B$14))</f>
      </c>
      <c r="M162" s="22"/>
      <c r="N162" s="16">
        <f>IF($B162="","",MAX($H162-$M162,0))</f>
      </c>
      <c r="O162" s="19">
        <f>IF($B162="","",IF($J162&lt;&gt;"Sí","Pagado (contado)",IF($N162&lt;=0,"Pagado",IF($M162&gt;0,"Abono parcial","Pendiente"))))</f>
      </c>
      <c r="P162" s="19">
        <f>IF(OR($B162="",$J162&lt;&gt;"Sí",$N162&lt;=0),"",IF(TODAY()&gt;$L162,"🔴 VENCIDO hace "&amp;(TODAY()-$L162)&amp;" día(s)",IF($L162-TODAY()&lt;='Config'!$B$15,"🟠 Faltan "&amp;($L162-TODAY())&amp;" día(s) para pagar","🟢 Al día (paga el "&amp;TEXT($L162,"dd/mm")&amp;")")))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16">
        <f>IF($B163="","",'Config'!$B$11+'Config'!$B$12)</f>
      </c>
      <c r="H163" s="16">
        <f>IF($B163="","",$F163+$G163)</f>
      </c>
      <c r="I163" s="20"/>
      <c r="J163" s="20"/>
      <c r="K163" s="14">
        <f>IF(OR($B163="",$J163&lt;&gt;"Sí"),"",IF(DAY($A163)&lt;='Config'!$B$13,DATE(YEAR($A163),MONTH($A163),'Config'!$B$13),EOMONTH($A163,0)+'Config'!$B$13))</f>
      </c>
      <c r="L163" s="14">
        <f>IF($K163="","",DATE(YEAR(EOMONTH($K163,0)+1),MONTH(EOMONTH($K163,0)+1),'Config'!$B$14))</f>
      </c>
      <c r="M163" s="22"/>
      <c r="N163" s="16">
        <f>IF($B163="","",MAX($H163-$M163,0))</f>
      </c>
      <c r="O163" s="19">
        <f>IF($B163="","",IF($J163&lt;&gt;"Sí","Pagado (contado)",IF($N163&lt;=0,"Pagado",IF($M163&gt;0,"Abono parcial","Pendiente"))))</f>
      </c>
      <c r="P163" s="19">
        <f>IF(OR($B163="",$J163&lt;&gt;"Sí",$N163&lt;=0),"",IF(TODAY()&gt;$L163,"🔴 VENCIDO hace "&amp;(TODAY()-$L163)&amp;" día(s)",IF($L163-TODAY()&lt;='Config'!$B$15,"🟠 Faltan "&amp;($L163-TODAY())&amp;" día(s) para pagar","🟢 Al día (paga el "&amp;TEXT($L163,"dd/mm")&amp;")")))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16">
        <f>IF($B164="","",'Config'!$B$11+'Config'!$B$12)</f>
      </c>
      <c r="H164" s="16">
        <f>IF($B164="","",$F164+$G164)</f>
      </c>
      <c r="I164" s="20"/>
      <c r="J164" s="20"/>
      <c r="K164" s="14">
        <f>IF(OR($B164="",$J164&lt;&gt;"Sí"),"",IF(DAY($A164)&lt;='Config'!$B$13,DATE(YEAR($A164),MONTH($A164),'Config'!$B$13),EOMONTH($A164,0)+'Config'!$B$13))</f>
      </c>
      <c r="L164" s="14">
        <f>IF($K164="","",DATE(YEAR(EOMONTH($K164,0)+1),MONTH(EOMONTH($K164,0)+1),'Config'!$B$14))</f>
      </c>
      <c r="M164" s="22"/>
      <c r="N164" s="16">
        <f>IF($B164="","",MAX($H164-$M164,0))</f>
      </c>
      <c r="O164" s="19">
        <f>IF($B164="","",IF($J164&lt;&gt;"Sí","Pagado (contado)",IF($N164&lt;=0,"Pagado",IF($M164&gt;0,"Abono parcial","Pendiente"))))</f>
      </c>
      <c r="P164" s="19">
        <f>IF(OR($B164="",$J164&lt;&gt;"Sí",$N164&lt;=0),"",IF(TODAY()&gt;$L164,"🔴 VENCIDO hace "&amp;(TODAY()-$L164)&amp;" día(s)",IF($L164-TODAY()&lt;='Config'!$B$15,"🟠 Faltan "&amp;($L164-TODAY())&amp;" día(s) para pagar","🟢 Al día (paga el "&amp;TEXT($L164,"dd/mm")&amp;")")))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16">
        <f>IF($B165="","",'Config'!$B$11+'Config'!$B$12)</f>
      </c>
      <c r="H165" s="16">
        <f>IF($B165="","",$F165+$G165)</f>
      </c>
      <c r="I165" s="20"/>
      <c r="J165" s="20"/>
      <c r="K165" s="14">
        <f>IF(OR($B165="",$J165&lt;&gt;"Sí"),"",IF(DAY($A165)&lt;='Config'!$B$13,DATE(YEAR($A165),MONTH($A165),'Config'!$B$13),EOMONTH($A165,0)+'Config'!$B$13))</f>
      </c>
      <c r="L165" s="14">
        <f>IF($K165="","",DATE(YEAR(EOMONTH($K165,0)+1),MONTH(EOMONTH($K165,0)+1),'Config'!$B$14))</f>
      </c>
      <c r="M165" s="22"/>
      <c r="N165" s="16">
        <f>IF($B165="","",MAX($H165-$M165,0))</f>
      </c>
      <c r="O165" s="19">
        <f>IF($B165="","",IF($J165&lt;&gt;"Sí","Pagado (contado)",IF($N165&lt;=0,"Pagado",IF($M165&gt;0,"Abono parcial","Pendiente"))))</f>
      </c>
      <c r="P165" s="19">
        <f>IF(OR($B165="",$J165&lt;&gt;"Sí",$N165&lt;=0),"",IF(TODAY()&gt;$L165,"🔴 VENCIDO hace "&amp;(TODAY()-$L165)&amp;" día(s)",IF($L165-TODAY()&lt;='Config'!$B$15,"🟠 Faltan "&amp;($L165-TODAY())&amp;" día(s) para pagar","🟢 Al día (paga el "&amp;TEXT($L165,"dd/mm")&amp;")")))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16">
        <f>IF($B166="","",'Config'!$B$11+'Config'!$B$12)</f>
      </c>
      <c r="H166" s="16">
        <f>IF($B166="","",$F166+$G166)</f>
      </c>
      <c r="I166" s="20"/>
      <c r="J166" s="20"/>
      <c r="K166" s="14">
        <f>IF(OR($B166="",$J166&lt;&gt;"Sí"),"",IF(DAY($A166)&lt;='Config'!$B$13,DATE(YEAR($A166),MONTH($A166),'Config'!$B$13),EOMONTH($A166,0)+'Config'!$B$13))</f>
      </c>
      <c r="L166" s="14">
        <f>IF($K166="","",DATE(YEAR(EOMONTH($K166,0)+1),MONTH(EOMONTH($K166,0)+1),'Config'!$B$14))</f>
      </c>
      <c r="M166" s="22"/>
      <c r="N166" s="16">
        <f>IF($B166="","",MAX($H166-$M166,0))</f>
      </c>
      <c r="O166" s="19">
        <f>IF($B166="","",IF($J166&lt;&gt;"Sí","Pagado (contado)",IF($N166&lt;=0,"Pagado",IF($M166&gt;0,"Abono parcial","Pendiente"))))</f>
      </c>
      <c r="P166" s="19">
        <f>IF(OR($B166="",$J166&lt;&gt;"Sí",$N166&lt;=0),"",IF(TODAY()&gt;$L166,"🔴 VENCIDO hace "&amp;(TODAY()-$L166)&amp;" día(s)",IF($L166-TODAY()&lt;='Config'!$B$15,"🟠 Faltan "&amp;($L166-TODAY())&amp;" día(s) para pagar","🟢 Al día (paga el "&amp;TEXT($L166,"dd/mm")&amp;")")))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16">
        <f>IF($B167="","",'Config'!$B$11+'Config'!$B$12)</f>
      </c>
      <c r="H167" s="16">
        <f>IF($B167="","",$F167+$G167)</f>
      </c>
      <c r="I167" s="20"/>
      <c r="J167" s="20"/>
      <c r="K167" s="14">
        <f>IF(OR($B167="",$J167&lt;&gt;"Sí"),"",IF(DAY($A167)&lt;='Config'!$B$13,DATE(YEAR($A167),MONTH($A167),'Config'!$B$13),EOMONTH($A167,0)+'Config'!$B$13))</f>
      </c>
      <c r="L167" s="14">
        <f>IF($K167="","",DATE(YEAR(EOMONTH($K167,0)+1),MONTH(EOMONTH($K167,0)+1),'Config'!$B$14))</f>
      </c>
      <c r="M167" s="22"/>
      <c r="N167" s="16">
        <f>IF($B167="","",MAX($H167-$M167,0))</f>
      </c>
      <c r="O167" s="19">
        <f>IF($B167="","",IF($J167&lt;&gt;"Sí","Pagado (contado)",IF($N167&lt;=0,"Pagado",IF($M167&gt;0,"Abono parcial","Pendiente"))))</f>
      </c>
      <c r="P167" s="19">
        <f>IF(OR($B167="",$J167&lt;&gt;"Sí",$N167&lt;=0),"",IF(TODAY()&gt;$L167,"🔴 VENCIDO hace "&amp;(TODAY()-$L167)&amp;" día(s)",IF($L167-TODAY()&lt;='Config'!$B$15,"🟠 Faltan "&amp;($L167-TODAY())&amp;" día(s) para pagar","🟢 Al día (paga el "&amp;TEXT($L167,"dd/mm")&amp;")")))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16">
        <f>IF($B168="","",'Config'!$B$11+'Config'!$B$12)</f>
      </c>
      <c r="H168" s="16">
        <f>IF($B168="","",$F168+$G168)</f>
      </c>
      <c r="I168" s="20"/>
      <c r="J168" s="20"/>
      <c r="K168" s="14">
        <f>IF(OR($B168="",$J168&lt;&gt;"Sí"),"",IF(DAY($A168)&lt;='Config'!$B$13,DATE(YEAR($A168),MONTH($A168),'Config'!$B$13),EOMONTH($A168,0)+'Config'!$B$13))</f>
      </c>
      <c r="L168" s="14">
        <f>IF($K168="","",DATE(YEAR(EOMONTH($K168,0)+1),MONTH(EOMONTH($K168,0)+1),'Config'!$B$14))</f>
      </c>
      <c r="M168" s="22"/>
      <c r="N168" s="16">
        <f>IF($B168="","",MAX($H168-$M168,0))</f>
      </c>
      <c r="O168" s="19">
        <f>IF($B168="","",IF($J168&lt;&gt;"Sí","Pagado (contado)",IF($N168&lt;=0,"Pagado",IF($M168&gt;0,"Abono parcial","Pendiente"))))</f>
      </c>
      <c r="P168" s="19">
        <f>IF(OR($B168="",$J168&lt;&gt;"Sí",$N168&lt;=0),"",IF(TODAY()&gt;$L168,"🔴 VENCIDO hace "&amp;(TODAY()-$L168)&amp;" día(s)",IF($L168-TODAY()&lt;='Config'!$B$15,"🟠 Faltan "&amp;($L168-TODAY())&amp;" día(s) para pagar","🟢 Al día (paga el "&amp;TEXT($L168,"dd/mm")&amp;")")))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16">
        <f>IF($B169="","",'Config'!$B$11+'Config'!$B$12)</f>
      </c>
      <c r="H169" s="16">
        <f>IF($B169="","",$F169+$G169)</f>
      </c>
      <c r="I169" s="20"/>
      <c r="J169" s="20"/>
      <c r="K169" s="14">
        <f>IF(OR($B169="",$J169&lt;&gt;"Sí"),"",IF(DAY($A169)&lt;='Config'!$B$13,DATE(YEAR($A169),MONTH($A169),'Config'!$B$13),EOMONTH($A169,0)+'Config'!$B$13))</f>
      </c>
      <c r="L169" s="14">
        <f>IF($K169="","",DATE(YEAR(EOMONTH($K169,0)+1),MONTH(EOMONTH($K169,0)+1),'Config'!$B$14))</f>
      </c>
      <c r="M169" s="22"/>
      <c r="N169" s="16">
        <f>IF($B169="","",MAX($H169-$M169,0))</f>
      </c>
      <c r="O169" s="19">
        <f>IF($B169="","",IF($J169&lt;&gt;"Sí","Pagado (contado)",IF($N169&lt;=0,"Pagado",IF($M169&gt;0,"Abono parcial","Pendiente"))))</f>
      </c>
      <c r="P169" s="19">
        <f>IF(OR($B169="",$J169&lt;&gt;"Sí",$N169&lt;=0),"",IF(TODAY()&gt;$L169,"🔴 VENCIDO hace "&amp;(TODAY()-$L169)&amp;" día(s)",IF($L169-TODAY()&lt;='Config'!$B$15,"🟠 Faltan "&amp;($L169-TODAY())&amp;" día(s) para pagar","🟢 Al día (paga el "&amp;TEXT($L169,"dd/mm")&amp;")")))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16">
        <f>IF($B170="","",'Config'!$B$11+'Config'!$B$12)</f>
      </c>
      <c r="H170" s="16">
        <f>IF($B170="","",$F170+$G170)</f>
      </c>
      <c r="I170" s="20"/>
      <c r="J170" s="20"/>
      <c r="K170" s="14">
        <f>IF(OR($B170="",$J170&lt;&gt;"Sí"),"",IF(DAY($A170)&lt;='Config'!$B$13,DATE(YEAR($A170),MONTH($A170),'Config'!$B$13),EOMONTH($A170,0)+'Config'!$B$13))</f>
      </c>
      <c r="L170" s="14">
        <f>IF($K170="","",DATE(YEAR(EOMONTH($K170,0)+1),MONTH(EOMONTH($K170,0)+1),'Config'!$B$14))</f>
      </c>
      <c r="M170" s="22"/>
      <c r="N170" s="16">
        <f>IF($B170="","",MAX($H170-$M170,0))</f>
      </c>
      <c r="O170" s="19">
        <f>IF($B170="","",IF($J170&lt;&gt;"Sí","Pagado (contado)",IF($N170&lt;=0,"Pagado",IF($M170&gt;0,"Abono parcial","Pendiente"))))</f>
      </c>
      <c r="P170" s="19">
        <f>IF(OR($B170="",$J170&lt;&gt;"Sí",$N170&lt;=0),"",IF(TODAY()&gt;$L170,"🔴 VENCIDO hace "&amp;(TODAY()-$L170)&amp;" día(s)",IF($L170-TODAY()&lt;='Config'!$B$15,"🟠 Faltan "&amp;($L170-TODAY())&amp;" día(s) para pagar","🟢 Al día (paga el "&amp;TEXT($L170,"dd/mm")&amp;")")))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16">
        <f>IF($B171="","",'Config'!$B$11+'Config'!$B$12)</f>
      </c>
      <c r="H171" s="16">
        <f>IF($B171="","",$F171+$G171)</f>
      </c>
      <c r="I171" s="20"/>
      <c r="J171" s="20"/>
      <c r="K171" s="14">
        <f>IF(OR($B171="",$J171&lt;&gt;"Sí"),"",IF(DAY($A171)&lt;='Config'!$B$13,DATE(YEAR($A171),MONTH($A171),'Config'!$B$13),EOMONTH($A171,0)+'Config'!$B$13))</f>
      </c>
      <c r="L171" s="14">
        <f>IF($K171="","",DATE(YEAR(EOMONTH($K171,0)+1),MONTH(EOMONTH($K171,0)+1),'Config'!$B$14))</f>
      </c>
      <c r="M171" s="22"/>
      <c r="N171" s="16">
        <f>IF($B171="","",MAX($H171-$M171,0))</f>
      </c>
      <c r="O171" s="19">
        <f>IF($B171="","",IF($J171&lt;&gt;"Sí","Pagado (contado)",IF($N171&lt;=0,"Pagado",IF($M171&gt;0,"Abono parcial","Pendiente"))))</f>
      </c>
      <c r="P171" s="19">
        <f>IF(OR($B171="",$J171&lt;&gt;"Sí",$N171&lt;=0),"",IF(TODAY()&gt;$L171,"🔴 VENCIDO hace "&amp;(TODAY()-$L171)&amp;" día(s)",IF($L171-TODAY()&lt;='Config'!$B$15,"🟠 Faltan "&amp;($L171-TODAY())&amp;" día(s) para pagar","🟢 Al día (paga el "&amp;TEXT($L171,"dd/mm")&amp;")")))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16">
        <f>IF($B172="","",'Config'!$B$11+'Config'!$B$12)</f>
      </c>
      <c r="H172" s="16">
        <f>IF($B172="","",$F172+$G172)</f>
      </c>
      <c r="I172" s="20"/>
      <c r="J172" s="20"/>
      <c r="K172" s="14">
        <f>IF(OR($B172="",$J172&lt;&gt;"Sí"),"",IF(DAY($A172)&lt;='Config'!$B$13,DATE(YEAR($A172),MONTH($A172),'Config'!$B$13),EOMONTH($A172,0)+'Config'!$B$13))</f>
      </c>
      <c r="L172" s="14">
        <f>IF($K172="","",DATE(YEAR(EOMONTH($K172,0)+1),MONTH(EOMONTH($K172,0)+1),'Config'!$B$14))</f>
      </c>
      <c r="M172" s="22"/>
      <c r="N172" s="16">
        <f>IF($B172="","",MAX($H172-$M172,0))</f>
      </c>
      <c r="O172" s="19">
        <f>IF($B172="","",IF($J172&lt;&gt;"Sí","Pagado (contado)",IF($N172&lt;=0,"Pagado",IF($M172&gt;0,"Abono parcial","Pendiente"))))</f>
      </c>
      <c r="P172" s="19">
        <f>IF(OR($B172="",$J172&lt;&gt;"Sí",$N172&lt;=0),"",IF(TODAY()&gt;$L172,"🔴 VENCIDO hace "&amp;(TODAY()-$L172)&amp;" día(s)",IF($L172-TODAY()&lt;='Config'!$B$15,"🟠 Faltan "&amp;($L172-TODAY())&amp;" día(s) para pagar","🟢 Al día (paga el "&amp;TEXT($L172,"dd/mm")&amp;")")))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16">
        <f>IF($B173="","",'Config'!$B$11+'Config'!$B$12)</f>
      </c>
      <c r="H173" s="16">
        <f>IF($B173="","",$F173+$G173)</f>
      </c>
      <c r="I173" s="20"/>
      <c r="J173" s="20"/>
      <c r="K173" s="14">
        <f>IF(OR($B173="",$J173&lt;&gt;"Sí"),"",IF(DAY($A173)&lt;='Config'!$B$13,DATE(YEAR($A173),MONTH($A173),'Config'!$B$13),EOMONTH($A173,0)+'Config'!$B$13))</f>
      </c>
      <c r="L173" s="14">
        <f>IF($K173="","",DATE(YEAR(EOMONTH($K173,0)+1),MONTH(EOMONTH($K173,0)+1),'Config'!$B$14))</f>
      </c>
      <c r="M173" s="22"/>
      <c r="N173" s="16">
        <f>IF($B173="","",MAX($H173-$M173,0))</f>
      </c>
      <c r="O173" s="19">
        <f>IF($B173="","",IF($J173&lt;&gt;"Sí","Pagado (contado)",IF($N173&lt;=0,"Pagado",IF($M173&gt;0,"Abono parcial","Pendiente"))))</f>
      </c>
      <c r="P173" s="19">
        <f>IF(OR($B173="",$J173&lt;&gt;"Sí",$N173&lt;=0),"",IF(TODAY()&gt;$L173,"🔴 VENCIDO hace "&amp;(TODAY()-$L173)&amp;" día(s)",IF($L173-TODAY()&lt;='Config'!$B$15,"🟠 Faltan "&amp;($L173-TODAY())&amp;" día(s) para pagar","🟢 Al día (paga el "&amp;TEXT($L173,"dd/mm")&amp;")")))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16">
        <f>IF($B174="","",'Config'!$B$11+'Config'!$B$12)</f>
      </c>
      <c r="H174" s="16">
        <f>IF($B174="","",$F174+$G174)</f>
      </c>
      <c r="I174" s="20"/>
      <c r="J174" s="20"/>
      <c r="K174" s="14">
        <f>IF(OR($B174="",$J174&lt;&gt;"Sí"),"",IF(DAY($A174)&lt;='Config'!$B$13,DATE(YEAR($A174),MONTH($A174),'Config'!$B$13),EOMONTH($A174,0)+'Config'!$B$13))</f>
      </c>
      <c r="L174" s="14">
        <f>IF($K174="","",DATE(YEAR(EOMONTH($K174,0)+1),MONTH(EOMONTH($K174,0)+1),'Config'!$B$14))</f>
      </c>
      <c r="M174" s="22"/>
      <c r="N174" s="16">
        <f>IF($B174="","",MAX($H174-$M174,0))</f>
      </c>
      <c r="O174" s="19">
        <f>IF($B174="","",IF($J174&lt;&gt;"Sí","Pagado (contado)",IF($N174&lt;=0,"Pagado",IF($M174&gt;0,"Abono parcial","Pendiente"))))</f>
      </c>
      <c r="P174" s="19">
        <f>IF(OR($B174="",$J174&lt;&gt;"Sí",$N174&lt;=0),"",IF(TODAY()&gt;$L174,"🔴 VENCIDO hace "&amp;(TODAY()-$L174)&amp;" día(s)",IF($L174-TODAY()&lt;='Config'!$B$15,"🟠 Faltan "&amp;($L174-TODAY())&amp;" día(s) para pagar","🟢 Al día (paga el "&amp;TEXT($L174,"dd/mm")&amp;")")))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16">
        <f>IF($B175="","",'Config'!$B$11+'Config'!$B$12)</f>
      </c>
      <c r="H175" s="16">
        <f>IF($B175="","",$F175+$G175)</f>
      </c>
      <c r="I175" s="20"/>
      <c r="J175" s="20"/>
      <c r="K175" s="14">
        <f>IF(OR($B175="",$J175&lt;&gt;"Sí"),"",IF(DAY($A175)&lt;='Config'!$B$13,DATE(YEAR($A175),MONTH($A175),'Config'!$B$13),EOMONTH($A175,0)+'Config'!$B$13))</f>
      </c>
      <c r="L175" s="14">
        <f>IF($K175="","",DATE(YEAR(EOMONTH($K175,0)+1),MONTH(EOMONTH($K175,0)+1),'Config'!$B$14))</f>
      </c>
      <c r="M175" s="22"/>
      <c r="N175" s="16">
        <f>IF($B175="","",MAX($H175-$M175,0))</f>
      </c>
      <c r="O175" s="19">
        <f>IF($B175="","",IF($J175&lt;&gt;"Sí","Pagado (contado)",IF($N175&lt;=0,"Pagado",IF($M175&gt;0,"Abono parcial","Pendiente"))))</f>
      </c>
      <c r="P175" s="19">
        <f>IF(OR($B175="",$J175&lt;&gt;"Sí",$N175&lt;=0),"",IF(TODAY()&gt;$L175,"🔴 VENCIDO hace "&amp;(TODAY()-$L175)&amp;" día(s)",IF($L175-TODAY()&lt;='Config'!$B$15,"🟠 Faltan "&amp;($L175-TODAY())&amp;" día(s) para pagar","🟢 Al día (paga el "&amp;TEXT($L175,"dd/mm")&amp;")")))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16">
        <f>IF($B176="","",'Config'!$B$11+'Config'!$B$12)</f>
      </c>
      <c r="H176" s="16">
        <f>IF($B176="","",$F176+$G176)</f>
      </c>
      <c r="I176" s="20"/>
      <c r="J176" s="20"/>
      <c r="K176" s="14">
        <f>IF(OR($B176="",$J176&lt;&gt;"Sí"),"",IF(DAY($A176)&lt;='Config'!$B$13,DATE(YEAR($A176),MONTH($A176),'Config'!$B$13),EOMONTH($A176,0)+'Config'!$B$13))</f>
      </c>
      <c r="L176" s="14">
        <f>IF($K176="","",DATE(YEAR(EOMONTH($K176,0)+1),MONTH(EOMONTH($K176,0)+1),'Config'!$B$14))</f>
      </c>
      <c r="M176" s="22"/>
      <c r="N176" s="16">
        <f>IF($B176="","",MAX($H176-$M176,0))</f>
      </c>
      <c r="O176" s="19">
        <f>IF($B176="","",IF($J176&lt;&gt;"Sí","Pagado (contado)",IF($N176&lt;=0,"Pagado",IF($M176&gt;0,"Abono parcial","Pendiente"))))</f>
      </c>
      <c r="P176" s="19">
        <f>IF(OR($B176="",$J176&lt;&gt;"Sí",$N176&lt;=0),"",IF(TODAY()&gt;$L176,"🔴 VENCIDO hace "&amp;(TODAY()-$L176)&amp;" día(s)",IF($L176-TODAY()&lt;='Config'!$B$15,"🟠 Faltan "&amp;($L176-TODAY())&amp;" día(s) para pagar","🟢 Al día (paga el "&amp;TEXT($L176,"dd/mm")&amp;")")))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16">
        <f>IF($B177="","",'Config'!$B$11+'Config'!$B$12)</f>
      </c>
      <c r="H177" s="16">
        <f>IF($B177="","",$F177+$G177)</f>
      </c>
      <c r="I177" s="20"/>
      <c r="J177" s="20"/>
      <c r="K177" s="14">
        <f>IF(OR($B177="",$J177&lt;&gt;"Sí"),"",IF(DAY($A177)&lt;='Config'!$B$13,DATE(YEAR($A177),MONTH($A177),'Config'!$B$13),EOMONTH($A177,0)+'Config'!$B$13))</f>
      </c>
      <c r="L177" s="14">
        <f>IF($K177="","",DATE(YEAR(EOMONTH($K177,0)+1),MONTH(EOMONTH($K177,0)+1),'Config'!$B$14))</f>
      </c>
      <c r="M177" s="22"/>
      <c r="N177" s="16">
        <f>IF($B177="","",MAX($H177-$M177,0))</f>
      </c>
      <c r="O177" s="19">
        <f>IF($B177="","",IF($J177&lt;&gt;"Sí","Pagado (contado)",IF($N177&lt;=0,"Pagado",IF($M177&gt;0,"Abono parcial","Pendiente"))))</f>
      </c>
      <c r="P177" s="19">
        <f>IF(OR($B177="",$J177&lt;&gt;"Sí",$N177&lt;=0),"",IF(TODAY()&gt;$L177,"🔴 VENCIDO hace "&amp;(TODAY()-$L177)&amp;" día(s)",IF($L177-TODAY()&lt;='Config'!$B$15,"🟠 Faltan "&amp;($L177-TODAY())&amp;" día(s) para pagar","🟢 Al día (paga el "&amp;TEXT($L177,"dd/mm")&amp;")")))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16">
        <f>IF($B178="","",'Config'!$B$11+'Config'!$B$12)</f>
      </c>
      <c r="H178" s="16">
        <f>IF($B178="","",$F178+$G178)</f>
      </c>
      <c r="I178" s="20"/>
      <c r="J178" s="20"/>
      <c r="K178" s="14">
        <f>IF(OR($B178="",$J178&lt;&gt;"Sí"),"",IF(DAY($A178)&lt;='Config'!$B$13,DATE(YEAR($A178),MONTH($A178),'Config'!$B$13),EOMONTH($A178,0)+'Config'!$B$13))</f>
      </c>
      <c r="L178" s="14">
        <f>IF($K178="","",DATE(YEAR(EOMONTH($K178,0)+1),MONTH(EOMONTH($K178,0)+1),'Config'!$B$14))</f>
      </c>
      <c r="M178" s="22"/>
      <c r="N178" s="16">
        <f>IF($B178="","",MAX($H178-$M178,0))</f>
      </c>
      <c r="O178" s="19">
        <f>IF($B178="","",IF($J178&lt;&gt;"Sí","Pagado (contado)",IF($N178&lt;=0,"Pagado",IF($M178&gt;0,"Abono parcial","Pendiente"))))</f>
      </c>
      <c r="P178" s="19">
        <f>IF(OR($B178="",$J178&lt;&gt;"Sí",$N178&lt;=0),"",IF(TODAY()&gt;$L178,"🔴 VENCIDO hace "&amp;(TODAY()-$L178)&amp;" día(s)",IF($L178-TODAY()&lt;='Config'!$B$15,"🟠 Faltan "&amp;($L178-TODAY())&amp;" día(s) para pagar","🟢 Al día (paga el "&amp;TEXT($L178,"dd/mm")&amp;")")))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16">
        <f>IF($B179="","",'Config'!$B$11+'Config'!$B$12)</f>
      </c>
      <c r="H179" s="16">
        <f>IF($B179="","",$F179+$G179)</f>
      </c>
      <c r="I179" s="20"/>
      <c r="J179" s="20"/>
      <c r="K179" s="14">
        <f>IF(OR($B179="",$J179&lt;&gt;"Sí"),"",IF(DAY($A179)&lt;='Config'!$B$13,DATE(YEAR($A179),MONTH($A179),'Config'!$B$13),EOMONTH($A179,0)+'Config'!$B$13))</f>
      </c>
      <c r="L179" s="14">
        <f>IF($K179="","",DATE(YEAR(EOMONTH($K179,0)+1),MONTH(EOMONTH($K179,0)+1),'Config'!$B$14))</f>
      </c>
      <c r="M179" s="22"/>
      <c r="N179" s="16">
        <f>IF($B179="","",MAX($H179-$M179,0))</f>
      </c>
      <c r="O179" s="19">
        <f>IF($B179="","",IF($J179&lt;&gt;"Sí","Pagado (contado)",IF($N179&lt;=0,"Pagado",IF($M179&gt;0,"Abono parcial","Pendiente"))))</f>
      </c>
      <c r="P179" s="19">
        <f>IF(OR($B179="",$J179&lt;&gt;"Sí",$N179&lt;=0),"",IF(TODAY()&gt;$L179,"🔴 VENCIDO hace "&amp;(TODAY()-$L179)&amp;" día(s)",IF($L179-TODAY()&lt;='Config'!$B$15,"🟠 Faltan "&amp;($L179-TODAY())&amp;" día(s) para pagar","🟢 Al día (paga el "&amp;TEXT($L179,"dd/mm")&amp;")")))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16">
        <f>IF($B180="","",'Config'!$B$11+'Config'!$B$12)</f>
      </c>
      <c r="H180" s="16">
        <f>IF($B180="","",$F180+$G180)</f>
      </c>
      <c r="I180" s="20"/>
      <c r="J180" s="20"/>
      <c r="K180" s="14">
        <f>IF(OR($B180="",$J180&lt;&gt;"Sí"),"",IF(DAY($A180)&lt;='Config'!$B$13,DATE(YEAR($A180),MONTH($A180),'Config'!$B$13),EOMONTH($A180,0)+'Config'!$B$13))</f>
      </c>
      <c r="L180" s="14">
        <f>IF($K180="","",DATE(YEAR(EOMONTH($K180,0)+1),MONTH(EOMONTH($K180,0)+1),'Config'!$B$14))</f>
      </c>
      <c r="M180" s="22"/>
      <c r="N180" s="16">
        <f>IF($B180="","",MAX($H180-$M180,0))</f>
      </c>
      <c r="O180" s="19">
        <f>IF($B180="","",IF($J180&lt;&gt;"Sí","Pagado (contado)",IF($N180&lt;=0,"Pagado",IF($M180&gt;0,"Abono parcial","Pendiente"))))</f>
      </c>
      <c r="P180" s="19">
        <f>IF(OR($B180="",$J180&lt;&gt;"Sí",$N180&lt;=0),"",IF(TODAY()&gt;$L180,"🔴 VENCIDO hace "&amp;(TODAY()-$L180)&amp;" día(s)",IF($L180-TODAY()&lt;='Config'!$B$15,"🟠 Faltan "&amp;($L180-TODAY())&amp;" día(s) para pagar","🟢 Al día (paga el "&amp;TEXT($L180,"dd/mm")&amp;")")))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16">
        <f>IF($B181="","",'Config'!$B$11+'Config'!$B$12)</f>
      </c>
      <c r="H181" s="16">
        <f>IF($B181="","",$F181+$G181)</f>
      </c>
      <c r="I181" s="20"/>
      <c r="J181" s="20"/>
      <c r="K181" s="14">
        <f>IF(OR($B181="",$J181&lt;&gt;"Sí"),"",IF(DAY($A181)&lt;='Config'!$B$13,DATE(YEAR($A181),MONTH($A181),'Config'!$B$13),EOMONTH($A181,0)+'Config'!$B$13))</f>
      </c>
      <c r="L181" s="14">
        <f>IF($K181="","",DATE(YEAR(EOMONTH($K181,0)+1),MONTH(EOMONTH($K181,0)+1),'Config'!$B$14))</f>
      </c>
      <c r="M181" s="22"/>
      <c r="N181" s="16">
        <f>IF($B181="","",MAX($H181-$M181,0))</f>
      </c>
      <c r="O181" s="19">
        <f>IF($B181="","",IF($J181&lt;&gt;"Sí","Pagado (contado)",IF($N181&lt;=0,"Pagado",IF($M181&gt;0,"Abono parcial","Pendiente"))))</f>
      </c>
      <c r="P181" s="19">
        <f>IF(OR($B181="",$J181&lt;&gt;"Sí",$N181&lt;=0),"",IF(TODAY()&gt;$L181,"🔴 VENCIDO hace "&amp;(TODAY()-$L181)&amp;" día(s)",IF($L181-TODAY()&lt;='Config'!$B$15,"🟠 Faltan "&amp;($L181-TODAY())&amp;" día(s) para pagar","🟢 Al día (paga el "&amp;TEXT($L181,"dd/mm")&amp;")")))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16">
        <f>IF($B182="","",'Config'!$B$11+'Config'!$B$12)</f>
      </c>
      <c r="H182" s="16">
        <f>IF($B182="","",$F182+$G182)</f>
      </c>
      <c r="I182" s="20"/>
      <c r="J182" s="20"/>
      <c r="K182" s="14">
        <f>IF(OR($B182="",$J182&lt;&gt;"Sí"),"",IF(DAY($A182)&lt;='Config'!$B$13,DATE(YEAR($A182),MONTH($A182),'Config'!$B$13),EOMONTH($A182,0)+'Config'!$B$13))</f>
      </c>
      <c r="L182" s="14">
        <f>IF($K182="","",DATE(YEAR(EOMONTH($K182,0)+1),MONTH(EOMONTH($K182,0)+1),'Config'!$B$14))</f>
      </c>
      <c r="M182" s="22"/>
      <c r="N182" s="16">
        <f>IF($B182="","",MAX($H182-$M182,0))</f>
      </c>
      <c r="O182" s="19">
        <f>IF($B182="","",IF($J182&lt;&gt;"Sí","Pagado (contado)",IF($N182&lt;=0,"Pagado",IF($M182&gt;0,"Abono parcial","Pendiente"))))</f>
      </c>
      <c r="P182" s="19">
        <f>IF(OR($B182="",$J182&lt;&gt;"Sí",$N182&lt;=0),"",IF(TODAY()&gt;$L182,"🔴 VENCIDO hace "&amp;(TODAY()-$L182)&amp;" día(s)",IF($L182-TODAY()&lt;='Config'!$B$15,"🟠 Faltan "&amp;($L182-TODAY())&amp;" día(s) para pagar","🟢 Al día (paga el "&amp;TEXT($L182,"dd/mm")&amp;")")))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16">
        <f>IF($B183="","",'Config'!$B$11+'Config'!$B$12)</f>
      </c>
      <c r="H183" s="16">
        <f>IF($B183="","",$F183+$G183)</f>
      </c>
      <c r="I183" s="20"/>
      <c r="J183" s="20"/>
      <c r="K183" s="14">
        <f>IF(OR($B183="",$J183&lt;&gt;"Sí"),"",IF(DAY($A183)&lt;='Config'!$B$13,DATE(YEAR($A183),MONTH($A183),'Config'!$B$13),EOMONTH($A183,0)+'Config'!$B$13))</f>
      </c>
      <c r="L183" s="14">
        <f>IF($K183="","",DATE(YEAR(EOMONTH($K183,0)+1),MONTH(EOMONTH($K183,0)+1),'Config'!$B$14))</f>
      </c>
      <c r="M183" s="22"/>
      <c r="N183" s="16">
        <f>IF($B183="","",MAX($H183-$M183,0))</f>
      </c>
      <c r="O183" s="19">
        <f>IF($B183="","",IF($J183&lt;&gt;"Sí","Pagado (contado)",IF($N183&lt;=0,"Pagado",IF($M183&gt;0,"Abono parcial","Pendiente"))))</f>
      </c>
      <c r="P183" s="19">
        <f>IF(OR($B183="",$J183&lt;&gt;"Sí",$N183&lt;=0),"",IF(TODAY()&gt;$L183,"🔴 VENCIDO hace "&amp;(TODAY()-$L183)&amp;" día(s)",IF($L183-TODAY()&lt;='Config'!$B$15,"🟠 Faltan "&amp;($L183-TODAY())&amp;" día(s) para pagar","🟢 Al día (paga el "&amp;TEXT($L183,"dd/mm")&amp;")")))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16">
        <f>IF($B184="","",'Config'!$B$11+'Config'!$B$12)</f>
      </c>
      <c r="H184" s="16">
        <f>IF($B184="","",$F184+$G184)</f>
      </c>
      <c r="I184" s="20"/>
      <c r="J184" s="20"/>
      <c r="K184" s="14">
        <f>IF(OR($B184="",$J184&lt;&gt;"Sí"),"",IF(DAY($A184)&lt;='Config'!$B$13,DATE(YEAR($A184),MONTH($A184),'Config'!$B$13),EOMONTH($A184,0)+'Config'!$B$13))</f>
      </c>
      <c r="L184" s="14">
        <f>IF($K184="","",DATE(YEAR(EOMONTH($K184,0)+1),MONTH(EOMONTH($K184,0)+1),'Config'!$B$14))</f>
      </c>
      <c r="M184" s="22"/>
      <c r="N184" s="16">
        <f>IF($B184="","",MAX($H184-$M184,0))</f>
      </c>
      <c r="O184" s="19">
        <f>IF($B184="","",IF($J184&lt;&gt;"Sí","Pagado (contado)",IF($N184&lt;=0,"Pagado",IF($M184&gt;0,"Abono parcial","Pendiente"))))</f>
      </c>
      <c r="P184" s="19">
        <f>IF(OR($B184="",$J184&lt;&gt;"Sí",$N184&lt;=0),"",IF(TODAY()&gt;$L184,"🔴 VENCIDO hace "&amp;(TODAY()-$L184)&amp;" día(s)",IF($L184-TODAY()&lt;='Config'!$B$15,"🟠 Faltan "&amp;($L184-TODAY())&amp;" día(s) para pagar","🟢 Al día (paga el "&amp;TEXT($L184,"dd/mm")&amp;")")))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16">
        <f>IF($B185="","",'Config'!$B$11+'Config'!$B$12)</f>
      </c>
      <c r="H185" s="16">
        <f>IF($B185="","",$F185+$G185)</f>
      </c>
      <c r="I185" s="20"/>
      <c r="J185" s="20"/>
      <c r="K185" s="14">
        <f>IF(OR($B185="",$J185&lt;&gt;"Sí"),"",IF(DAY($A185)&lt;='Config'!$B$13,DATE(YEAR($A185),MONTH($A185),'Config'!$B$13),EOMONTH($A185,0)+'Config'!$B$13))</f>
      </c>
      <c r="L185" s="14">
        <f>IF($K185="","",DATE(YEAR(EOMONTH($K185,0)+1),MONTH(EOMONTH($K185,0)+1),'Config'!$B$14))</f>
      </c>
      <c r="M185" s="22"/>
      <c r="N185" s="16">
        <f>IF($B185="","",MAX($H185-$M185,0))</f>
      </c>
      <c r="O185" s="19">
        <f>IF($B185="","",IF($J185&lt;&gt;"Sí","Pagado (contado)",IF($N185&lt;=0,"Pagado",IF($M185&gt;0,"Abono parcial","Pendiente"))))</f>
      </c>
      <c r="P185" s="19">
        <f>IF(OR($B185="",$J185&lt;&gt;"Sí",$N185&lt;=0),"",IF(TODAY()&gt;$L185,"🔴 VENCIDO hace "&amp;(TODAY()-$L185)&amp;" día(s)",IF($L185-TODAY()&lt;='Config'!$B$15,"🟠 Faltan "&amp;($L185-TODAY())&amp;" día(s) para pagar","🟢 Al día (paga el "&amp;TEXT($L185,"dd/mm")&amp;")")))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16">
        <f>IF($B186="","",'Config'!$B$11+'Config'!$B$12)</f>
      </c>
      <c r="H186" s="16">
        <f>IF($B186="","",$F186+$G186)</f>
      </c>
      <c r="I186" s="20"/>
      <c r="J186" s="20"/>
      <c r="K186" s="14">
        <f>IF(OR($B186="",$J186&lt;&gt;"Sí"),"",IF(DAY($A186)&lt;='Config'!$B$13,DATE(YEAR($A186),MONTH($A186),'Config'!$B$13),EOMONTH($A186,0)+'Config'!$B$13))</f>
      </c>
      <c r="L186" s="14">
        <f>IF($K186="","",DATE(YEAR(EOMONTH($K186,0)+1),MONTH(EOMONTH($K186,0)+1),'Config'!$B$14))</f>
      </c>
      <c r="M186" s="22"/>
      <c r="N186" s="16">
        <f>IF($B186="","",MAX($H186-$M186,0))</f>
      </c>
      <c r="O186" s="19">
        <f>IF($B186="","",IF($J186&lt;&gt;"Sí","Pagado (contado)",IF($N186&lt;=0,"Pagado",IF($M186&gt;0,"Abono parcial","Pendiente"))))</f>
      </c>
      <c r="P186" s="19">
        <f>IF(OR($B186="",$J186&lt;&gt;"Sí",$N186&lt;=0),"",IF(TODAY()&gt;$L186,"🔴 VENCIDO hace "&amp;(TODAY()-$L186)&amp;" día(s)",IF($L186-TODAY()&lt;='Config'!$B$15,"🟠 Faltan "&amp;($L186-TODAY())&amp;" día(s) para pagar","🟢 Al día (paga el "&amp;TEXT($L186,"dd/mm")&amp;")")))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16">
        <f>IF($B187="","",'Config'!$B$11+'Config'!$B$12)</f>
      </c>
      <c r="H187" s="16">
        <f>IF($B187="","",$F187+$G187)</f>
      </c>
      <c r="I187" s="20"/>
      <c r="J187" s="20"/>
      <c r="K187" s="14">
        <f>IF(OR($B187="",$J187&lt;&gt;"Sí"),"",IF(DAY($A187)&lt;='Config'!$B$13,DATE(YEAR($A187),MONTH($A187),'Config'!$B$13),EOMONTH($A187,0)+'Config'!$B$13))</f>
      </c>
      <c r="L187" s="14">
        <f>IF($K187="","",DATE(YEAR(EOMONTH($K187,0)+1),MONTH(EOMONTH($K187,0)+1),'Config'!$B$14))</f>
      </c>
      <c r="M187" s="22"/>
      <c r="N187" s="16">
        <f>IF($B187="","",MAX($H187-$M187,0))</f>
      </c>
      <c r="O187" s="19">
        <f>IF($B187="","",IF($J187&lt;&gt;"Sí","Pagado (contado)",IF($N187&lt;=0,"Pagado",IF($M187&gt;0,"Abono parcial","Pendiente"))))</f>
      </c>
      <c r="P187" s="19">
        <f>IF(OR($B187="",$J187&lt;&gt;"Sí",$N187&lt;=0),"",IF(TODAY()&gt;$L187,"🔴 VENCIDO hace "&amp;(TODAY()-$L187)&amp;" día(s)",IF($L187-TODAY()&lt;='Config'!$B$15,"🟠 Faltan "&amp;($L187-TODAY())&amp;" día(s) para pagar","🟢 Al día (paga el "&amp;TEXT($L187,"dd/mm")&amp;")")))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16">
        <f>IF($B188="","",'Config'!$B$11+'Config'!$B$12)</f>
      </c>
      <c r="H188" s="16">
        <f>IF($B188="","",$F188+$G188)</f>
      </c>
      <c r="I188" s="20"/>
      <c r="J188" s="20"/>
      <c r="K188" s="14">
        <f>IF(OR($B188="",$J188&lt;&gt;"Sí"),"",IF(DAY($A188)&lt;='Config'!$B$13,DATE(YEAR($A188),MONTH($A188),'Config'!$B$13),EOMONTH($A188,0)+'Config'!$B$13))</f>
      </c>
      <c r="L188" s="14">
        <f>IF($K188="","",DATE(YEAR(EOMONTH($K188,0)+1),MONTH(EOMONTH($K188,0)+1),'Config'!$B$14))</f>
      </c>
      <c r="M188" s="22"/>
      <c r="N188" s="16">
        <f>IF($B188="","",MAX($H188-$M188,0))</f>
      </c>
      <c r="O188" s="19">
        <f>IF($B188="","",IF($J188&lt;&gt;"Sí","Pagado (contado)",IF($N188&lt;=0,"Pagado",IF($M188&gt;0,"Abono parcial","Pendiente"))))</f>
      </c>
      <c r="P188" s="19">
        <f>IF(OR($B188="",$J188&lt;&gt;"Sí",$N188&lt;=0),"",IF(TODAY()&gt;$L188,"🔴 VENCIDO hace "&amp;(TODAY()-$L188)&amp;" día(s)",IF($L188-TODAY()&lt;='Config'!$B$15,"🟠 Faltan "&amp;($L188-TODAY())&amp;" día(s) para pagar","🟢 Al día (paga el "&amp;TEXT($L188,"dd/mm")&amp;")")))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16">
        <f>IF($B189="","",'Config'!$B$11+'Config'!$B$12)</f>
      </c>
      <c r="H189" s="16">
        <f>IF($B189="","",$F189+$G189)</f>
      </c>
      <c r="I189" s="20"/>
      <c r="J189" s="20"/>
      <c r="K189" s="14">
        <f>IF(OR($B189="",$J189&lt;&gt;"Sí"),"",IF(DAY($A189)&lt;='Config'!$B$13,DATE(YEAR($A189),MONTH($A189),'Config'!$B$13),EOMONTH($A189,0)+'Config'!$B$13))</f>
      </c>
      <c r="L189" s="14">
        <f>IF($K189="","",DATE(YEAR(EOMONTH($K189,0)+1),MONTH(EOMONTH($K189,0)+1),'Config'!$B$14))</f>
      </c>
      <c r="M189" s="22"/>
      <c r="N189" s="16">
        <f>IF($B189="","",MAX($H189-$M189,0))</f>
      </c>
      <c r="O189" s="19">
        <f>IF($B189="","",IF($J189&lt;&gt;"Sí","Pagado (contado)",IF($N189&lt;=0,"Pagado",IF($M189&gt;0,"Abono parcial","Pendiente"))))</f>
      </c>
      <c r="P189" s="19">
        <f>IF(OR($B189="",$J189&lt;&gt;"Sí",$N189&lt;=0),"",IF(TODAY()&gt;$L189,"🔴 VENCIDO hace "&amp;(TODAY()-$L189)&amp;" día(s)",IF($L189-TODAY()&lt;='Config'!$B$15,"🟠 Faltan "&amp;($L189-TODAY())&amp;" día(s) para pagar","🟢 Al día (paga el "&amp;TEXT($L189,"dd/mm")&amp;")")))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16">
        <f>IF($B190="","",'Config'!$B$11+'Config'!$B$12)</f>
      </c>
      <c r="H190" s="16">
        <f>IF($B190="","",$F190+$G190)</f>
      </c>
      <c r="I190" s="20"/>
      <c r="J190" s="20"/>
      <c r="K190" s="14">
        <f>IF(OR($B190="",$J190&lt;&gt;"Sí"),"",IF(DAY($A190)&lt;='Config'!$B$13,DATE(YEAR($A190),MONTH($A190),'Config'!$B$13),EOMONTH($A190,0)+'Config'!$B$13))</f>
      </c>
      <c r="L190" s="14">
        <f>IF($K190="","",DATE(YEAR(EOMONTH($K190,0)+1),MONTH(EOMONTH($K190,0)+1),'Config'!$B$14))</f>
      </c>
      <c r="M190" s="22"/>
      <c r="N190" s="16">
        <f>IF($B190="","",MAX($H190-$M190,0))</f>
      </c>
      <c r="O190" s="19">
        <f>IF($B190="","",IF($J190&lt;&gt;"Sí","Pagado (contado)",IF($N190&lt;=0,"Pagado",IF($M190&gt;0,"Abono parcial","Pendiente"))))</f>
      </c>
      <c r="P190" s="19">
        <f>IF(OR($B190="",$J190&lt;&gt;"Sí",$N190&lt;=0),"",IF(TODAY()&gt;$L190,"🔴 VENCIDO hace "&amp;(TODAY()-$L190)&amp;" día(s)",IF($L190-TODAY()&lt;='Config'!$B$15,"🟠 Faltan "&amp;($L190-TODAY())&amp;" día(s) para pagar","🟢 Al día (paga el "&amp;TEXT($L190,"dd/mm")&amp;")")))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16">
        <f>IF($B191="","",'Config'!$B$11+'Config'!$B$12)</f>
      </c>
      <c r="H191" s="16">
        <f>IF($B191="","",$F191+$G191)</f>
      </c>
      <c r="I191" s="20"/>
      <c r="J191" s="20"/>
      <c r="K191" s="14">
        <f>IF(OR($B191="",$J191&lt;&gt;"Sí"),"",IF(DAY($A191)&lt;='Config'!$B$13,DATE(YEAR($A191),MONTH($A191),'Config'!$B$13),EOMONTH($A191,0)+'Config'!$B$13))</f>
      </c>
      <c r="L191" s="14">
        <f>IF($K191="","",DATE(YEAR(EOMONTH($K191,0)+1),MONTH(EOMONTH($K191,0)+1),'Config'!$B$14))</f>
      </c>
      <c r="M191" s="22"/>
      <c r="N191" s="16">
        <f>IF($B191="","",MAX($H191-$M191,0))</f>
      </c>
      <c r="O191" s="19">
        <f>IF($B191="","",IF($J191&lt;&gt;"Sí","Pagado (contado)",IF($N191&lt;=0,"Pagado",IF($M191&gt;0,"Abono parcial","Pendiente"))))</f>
      </c>
      <c r="P191" s="19">
        <f>IF(OR($B191="",$J191&lt;&gt;"Sí",$N191&lt;=0),"",IF(TODAY()&gt;$L191,"🔴 VENCIDO hace "&amp;(TODAY()-$L191)&amp;" día(s)",IF($L191-TODAY()&lt;='Config'!$B$15,"🟠 Faltan "&amp;($L191-TODAY())&amp;" día(s) para pagar","🟢 Al día (paga el "&amp;TEXT($L191,"dd/mm")&amp;")")))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16">
        <f>IF($B192="","",'Config'!$B$11+'Config'!$B$12)</f>
      </c>
      <c r="H192" s="16">
        <f>IF($B192="","",$F192+$G192)</f>
      </c>
      <c r="I192" s="20"/>
      <c r="J192" s="20"/>
      <c r="K192" s="14">
        <f>IF(OR($B192="",$J192&lt;&gt;"Sí"),"",IF(DAY($A192)&lt;='Config'!$B$13,DATE(YEAR($A192),MONTH($A192),'Config'!$B$13),EOMONTH($A192,0)+'Config'!$B$13))</f>
      </c>
      <c r="L192" s="14">
        <f>IF($K192="","",DATE(YEAR(EOMONTH($K192,0)+1),MONTH(EOMONTH($K192,0)+1),'Config'!$B$14))</f>
      </c>
      <c r="M192" s="22"/>
      <c r="N192" s="16">
        <f>IF($B192="","",MAX($H192-$M192,0))</f>
      </c>
      <c r="O192" s="19">
        <f>IF($B192="","",IF($J192&lt;&gt;"Sí","Pagado (contado)",IF($N192&lt;=0,"Pagado",IF($M192&gt;0,"Abono parcial","Pendiente"))))</f>
      </c>
      <c r="P192" s="19">
        <f>IF(OR($B192="",$J192&lt;&gt;"Sí",$N192&lt;=0),"",IF(TODAY()&gt;$L192,"🔴 VENCIDO hace "&amp;(TODAY()-$L192)&amp;" día(s)",IF($L192-TODAY()&lt;='Config'!$B$15,"🟠 Faltan "&amp;($L192-TODAY())&amp;" día(s) para pagar","🟢 Al día (paga el "&amp;TEXT($L192,"dd/mm")&amp;")")))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16">
        <f>IF($B193="","",'Config'!$B$11+'Config'!$B$12)</f>
      </c>
      <c r="H193" s="16">
        <f>IF($B193="","",$F193+$G193)</f>
      </c>
      <c r="I193" s="20"/>
      <c r="J193" s="20"/>
      <c r="K193" s="14">
        <f>IF(OR($B193="",$J193&lt;&gt;"Sí"),"",IF(DAY($A193)&lt;='Config'!$B$13,DATE(YEAR($A193),MONTH($A193),'Config'!$B$13),EOMONTH($A193,0)+'Config'!$B$13))</f>
      </c>
      <c r="L193" s="14">
        <f>IF($K193="","",DATE(YEAR(EOMONTH($K193,0)+1),MONTH(EOMONTH($K193,0)+1),'Config'!$B$14))</f>
      </c>
      <c r="M193" s="22"/>
      <c r="N193" s="16">
        <f>IF($B193="","",MAX($H193-$M193,0))</f>
      </c>
      <c r="O193" s="19">
        <f>IF($B193="","",IF($J193&lt;&gt;"Sí","Pagado (contado)",IF($N193&lt;=0,"Pagado",IF($M193&gt;0,"Abono parcial","Pendiente"))))</f>
      </c>
      <c r="P193" s="19">
        <f>IF(OR($B193="",$J193&lt;&gt;"Sí",$N193&lt;=0),"",IF(TODAY()&gt;$L193,"🔴 VENCIDO hace "&amp;(TODAY()-$L193)&amp;" día(s)",IF($L193-TODAY()&lt;='Config'!$B$15,"🟠 Faltan "&amp;($L193-TODAY())&amp;" día(s) para pagar","🟢 Al día (paga el "&amp;TEXT($L193,"dd/mm")&amp;")")))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16">
        <f>IF($B194="","",'Config'!$B$11+'Config'!$B$12)</f>
      </c>
      <c r="H194" s="16">
        <f>IF($B194="","",$F194+$G194)</f>
      </c>
      <c r="I194" s="20"/>
      <c r="J194" s="20"/>
      <c r="K194" s="14">
        <f>IF(OR($B194="",$J194&lt;&gt;"Sí"),"",IF(DAY($A194)&lt;='Config'!$B$13,DATE(YEAR($A194),MONTH($A194),'Config'!$B$13),EOMONTH($A194,0)+'Config'!$B$13))</f>
      </c>
      <c r="L194" s="14">
        <f>IF($K194="","",DATE(YEAR(EOMONTH($K194,0)+1),MONTH(EOMONTH($K194,0)+1),'Config'!$B$14))</f>
      </c>
      <c r="M194" s="22"/>
      <c r="N194" s="16">
        <f>IF($B194="","",MAX($H194-$M194,0))</f>
      </c>
      <c r="O194" s="19">
        <f>IF($B194="","",IF($J194&lt;&gt;"Sí","Pagado (contado)",IF($N194&lt;=0,"Pagado",IF($M194&gt;0,"Abono parcial","Pendiente"))))</f>
      </c>
      <c r="P194" s="19">
        <f>IF(OR($B194="",$J194&lt;&gt;"Sí",$N194&lt;=0),"",IF(TODAY()&gt;$L194,"🔴 VENCIDO hace "&amp;(TODAY()-$L194)&amp;" día(s)",IF($L194-TODAY()&lt;='Config'!$B$15,"🟠 Faltan "&amp;($L194-TODAY())&amp;" día(s) para pagar","🟢 Al día (paga el "&amp;TEXT($L194,"dd/mm")&amp;")")))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16">
        <f>IF($B195="","",'Config'!$B$11+'Config'!$B$12)</f>
      </c>
      <c r="H195" s="16">
        <f>IF($B195="","",$F195+$G195)</f>
      </c>
      <c r="I195" s="20"/>
      <c r="J195" s="20"/>
      <c r="K195" s="14">
        <f>IF(OR($B195="",$J195&lt;&gt;"Sí"),"",IF(DAY($A195)&lt;='Config'!$B$13,DATE(YEAR($A195),MONTH($A195),'Config'!$B$13),EOMONTH($A195,0)+'Config'!$B$13))</f>
      </c>
      <c r="L195" s="14">
        <f>IF($K195="","",DATE(YEAR(EOMONTH($K195,0)+1),MONTH(EOMONTH($K195,0)+1),'Config'!$B$14))</f>
      </c>
      <c r="M195" s="22"/>
      <c r="N195" s="16">
        <f>IF($B195="","",MAX($H195-$M195,0))</f>
      </c>
      <c r="O195" s="19">
        <f>IF($B195="","",IF($J195&lt;&gt;"Sí","Pagado (contado)",IF($N195&lt;=0,"Pagado",IF($M195&gt;0,"Abono parcial","Pendiente"))))</f>
      </c>
      <c r="P195" s="19">
        <f>IF(OR($B195="",$J195&lt;&gt;"Sí",$N195&lt;=0),"",IF(TODAY()&gt;$L195,"🔴 VENCIDO hace "&amp;(TODAY()-$L195)&amp;" día(s)",IF($L195-TODAY()&lt;='Config'!$B$15,"🟠 Faltan "&amp;($L195-TODAY())&amp;" día(s) para pagar","🟢 Al día (paga el "&amp;TEXT($L195,"dd/mm")&amp;")")))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16">
        <f>IF($B196="","",'Config'!$B$11+'Config'!$B$12)</f>
      </c>
      <c r="H196" s="16">
        <f>IF($B196="","",$F196+$G196)</f>
      </c>
      <c r="I196" s="20"/>
      <c r="J196" s="20"/>
      <c r="K196" s="14">
        <f>IF(OR($B196="",$J196&lt;&gt;"Sí"),"",IF(DAY($A196)&lt;='Config'!$B$13,DATE(YEAR($A196),MONTH($A196),'Config'!$B$13),EOMONTH($A196,0)+'Config'!$B$13))</f>
      </c>
      <c r="L196" s="14">
        <f>IF($K196="","",DATE(YEAR(EOMONTH($K196,0)+1),MONTH(EOMONTH($K196,0)+1),'Config'!$B$14))</f>
      </c>
      <c r="M196" s="22"/>
      <c r="N196" s="16">
        <f>IF($B196="","",MAX($H196-$M196,0))</f>
      </c>
      <c r="O196" s="19">
        <f>IF($B196="","",IF($J196&lt;&gt;"Sí","Pagado (contado)",IF($N196&lt;=0,"Pagado",IF($M196&gt;0,"Abono parcial","Pendiente"))))</f>
      </c>
      <c r="P196" s="19">
        <f>IF(OR($B196="",$J196&lt;&gt;"Sí",$N196&lt;=0),"",IF(TODAY()&gt;$L196,"🔴 VENCIDO hace "&amp;(TODAY()-$L196)&amp;" día(s)",IF($L196-TODAY()&lt;='Config'!$B$15,"🟠 Faltan "&amp;($L196-TODAY())&amp;" día(s) para pagar","🟢 Al día (paga el "&amp;TEXT($L196,"dd/mm")&amp;")")))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16">
        <f>IF($B197="","",'Config'!$B$11+'Config'!$B$12)</f>
      </c>
      <c r="H197" s="16">
        <f>IF($B197="","",$F197+$G197)</f>
      </c>
      <c r="I197" s="20"/>
      <c r="J197" s="20"/>
      <c r="K197" s="14">
        <f>IF(OR($B197="",$J197&lt;&gt;"Sí"),"",IF(DAY($A197)&lt;='Config'!$B$13,DATE(YEAR($A197),MONTH($A197),'Config'!$B$13),EOMONTH($A197,0)+'Config'!$B$13))</f>
      </c>
      <c r="L197" s="14">
        <f>IF($K197="","",DATE(YEAR(EOMONTH($K197,0)+1),MONTH(EOMONTH($K197,0)+1),'Config'!$B$14))</f>
      </c>
      <c r="M197" s="22"/>
      <c r="N197" s="16">
        <f>IF($B197="","",MAX($H197-$M197,0))</f>
      </c>
      <c r="O197" s="19">
        <f>IF($B197="","",IF($J197&lt;&gt;"Sí","Pagado (contado)",IF($N197&lt;=0,"Pagado",IF($M197&gt;0,"Abono parcial","Pendiente"))))</f>
      </c>
      <c r="P197" s="19">
        <f>IF(OR($B197="",$J197&lt;&gt;"Sí",$N197&lt;=0),"",IF(TODAY()&gt;$L197,"🔴 VENCIDO hace "&amp;(TODAY()-$L197)&amp;" día(s)",IF($L197-TODAY()&lt;='Config'!$B$15,"🟠 Faltan "&amp;($L197-TODAY())&amp;" día(s) para pagar","🟢 Al día (paga el "&amp;TEXT($L197,"dd/mm")&amp;")")))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16">
        <f>IF($B198="","",'Config'!$B$11+'Config'!$B$12)</f>
      </c>
      <c r="H198" s="16">
        <f>IF($B198="","",$F198+$G198)</f>
      </c>
      <c r="I198" s="20"/>
      <c r="J198" s="20"/>
      <c r="K198" s="14">
        <f>IF(OR($B198="",$J198&lt;&gt;"Sí"),"",IF(DAY($A198)&lt;='Config'!$B$13,DATE(YEAR($A198),MONTH($A198),'Config'!$B$13),EOMONTH($A198,0)+'Config'!$B$13))</f>
      </c>
      <c r="L198" s="14">
        <f>IF($K198="","",DATE(YEAR(EOMONTH($K198,0)+1),MONTH(EOMONTH($K198,0)+1),'Config'!$B$14))</f>
      </c>
      <c r="M198" s="22"/>
      <c r="N198" s="16">
        <f>IF($B198="","",MAX($H198-$M198,0))</f>
      </c>
      <c r="O198" s="19">
        <f>IF($B198="","",IF($J198&lt;&gt;"Sí","Pagado (contado)",IF($N198&lt;=0,"Pagado",IF($M198&gt;0,"Abono parcial","Pendiente"))))</f>
      </c>
      <c r="P198" s="19">
        <f>IF(OR($B198="",$J198&lt;&gt;"Sí",$N198&lt;=0),"",IF(TODAY()&gt;$L198,"🔴 VENCIDO hace "&amp;(TODAY()-$L198)&amp;" día(s)",IF($L198-TODAY()&lt;='Config'!$B$15,"🟠 Faltan "&amp;($L198-TODAY())&amp;" día(s) para pagar","🟢 Al día (paga el "&amp;TEXT($L198,"dd/mm")&amp;")")))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16">
        <f>IF($B199="","",'Config'!$B$11+'Config'!$B$12)</f>
      </c>
      <c r="H199" s="16">
        <f>IF($B199="","",$F199+$G199)</f>
      </c>
      <c r="I199" s="20"/>
      <c r="J199" s="20"/>
      <c r="K199" s="14">
        <f>IF(OR($B199="",$J199&lt;&gt;"Sí"),"",IF(DAY($A199)&lt;='Config'!$B$13,DATE(YEAR($A199),MONTH($A199),'Config'!$B$13),EOMONTH($A199,0)+'Config'!$B$13))</f>
      </c>
      <c r="L199" s="14">
        <f>IF($K199="","",DATE(YEAR(EOMONTH($K199,0)+1),MONTH(EOMONTH($K199,0)+1),'Config'!$B$14))</f>
      </c>
      <c r="M199" s="22"/>
      <c r="N199" s="16">
        <f>IF($B199="","",MAX($H199-$M199,0))</f>
      </c>
      <c r="O199" s="19">
        <f>IF($B199="","",IF($J199&lt;&gt;"Sí","Pagado (contado)",IF($N199&lt;=0,"Pagado",IF($M199&gt;0,"Abono parcial","Pendiente"))))</f>
      </c>
      <c r="P199" s="19">
        <f>IF(OR($B199="",$J199&lt;&gt;"Sí",$N199&lt;=0),"",IF(TODAY()&gt;$L199,"🔴 VENCIDO hace "&amp;(TODAY()-$L199)&amp;" día(s)",IF($L199-TODAY()&lt;='Config'!$B$15,"🟠 Faltan "&amp;($L199-TODAY())&amp;" día(s) para pagar","🟢 Al día (paga el "&amp;TEXT($L199,"dd/mm")&amp;")")))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16">
        <f>IF($B200="","",'Config'!$B$11+'Config'!$B$12)</f>
      </c>
      <c r="H200" s="16">
        <f>IF($B200="","",$F200+$G200)</f>
      </c>
      <c r="I200" s="20"/>
      <c r="J200" s="20"/>
      <c r="K200" s="14">
        <f>IF(OR($B200="",$J200&lt;&gt;"Sí"),"",IF(DAY($A200)&lt;='Config'!$B$13,DATE(YEAR($A200),MONTH($A200),'Config'!$B$13),EOMONTH($A200,0)+'Config'!$B$13))</f>
      </c>
      <c r="L200" s="14">
        <f>IF($K200="","",DATE(YEAR(EOMONTH($K200,0)+1),MONTH(EOMONTH($K200,0)+1),'Config'!$B$14))</f>
      </c>
      <c r="M200" s="22"/>
      <c r="N200" s="16">
        <f>IF($B200="","",MAX($H200-$M200,0))</f>
      </c>
      <c r="O200" s="19">
        <f>IF($B200="","",IF($J200&lt;&gt;"Sí","Pagado (contado)",IF($N200&lt;=0,"Pagado",IF($M200&gt;0,"Abono parcial","Pendiente"))))</f>
      </c>
      <c r="P200" s="19">
        <f>IF(OR($B200="",$J200&lt;&gt;"Sí",$N200&lt;=0),"",IF(TODAY()&gt;$L200,"🔴 VENCIDO hace "&amp;(TODAY()-$L200)&amp;" día(s)",IF($L200-TODAY()&lt;='Config'!$B$15,"🟠 Faltan "&amp;($L200-TODAY())&amp;" día(s) para pagar","🟢 Al día (paga el "&amp;TEXT($L200,"dd/mm")&amp;")")))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16">
        <f>IF($B201="","",'Config'!$B$11+'Config'!$B$12)</f>
      </c>
      <c r="H201" s="16">
        <f>IF($B201="","",$F201+$G201)</f>
      </c>
      <c r="I201" s="20"/>
      <c r="J201" s="20"/>
      <c r="K201" s="14">
        <f>IF(OR($B201="",$J201&lt;&gt;"Sí"),"",IF(DAY($A201)&lt;='Config'!$B$13,DATE(YEAR($A201),MONTH($A201),'Config'!$B$13),EOMONTH($A201,0)+'Config'!$B$13))</f>
      </c>
      <c r="L201" s="14">
        <f>IF($K201="","",DATE(YEAR(EOMONTH($K201,0)+1),MONTH(EOMONTH($K201,0)+1),'Config'!$B$14))</f>
      </c>
      <c r="M201" s="22"/>
      <c r="N201" s="16">
        <f>IF($B201="","",MAX($H201-$M201,0))</f>
      </c>
      <c r="O201" s="19">
        <f>IF($B201="","",IF($J201&lt;&gt;"Sí","Pagado (contado)",IF($N201&lt;=0,"Pagado",IF($M201&gt;0,"Abono parcial","Pendiente"))))</f>
      </c>
      <c r="P201" s="19">
        <f>IF(OR($B201="",$J201&lt;&gt;"Sí",$N201&lt;=0),"",IF(TODAY()&gt;$L201,"🔴 VENCIDO hace "&amp;(TODAY()-$L201)&amp;" día(s)",IF($L201-TODAY()&lt;='Config'!$B$15,"🟠 Faltan "&amp;($L201-TODAY())&amp;" día(s) para pagar","🟢 Al día (paga el "&amp;TEXT($L201,"dd/mm")&amp;")")))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16">
        <f>IF($B202="","",'Config'!$B$11+'Config'!$B$12)</f>
      </c>
      <c r="H202" s="16">
        <f>IF($B202="","",$F202+$G202)</f>
      </c>
      <c r="I202" s="20"/>
      <c r="J202" s="20"/>
      <c r="K202" s="14">
        <f>IF(OR($B202="",$J202&lt;&gt;"Sí"),"",IF(DAY($A202)&lt;='Config'!$B$13,DATE(YEAR($A202),MONTH($A202),'Config'!$B$13),EOMONTH($A202,0)+'Config'!$B$13))</f>
      </c>
      <c r="L202" s="14">
        <f>IF($K202="","",DATE(YEAR(EOMONTH($K202,0)+1),MONTH(EOMONTH($K202,0)+1),'Config'!$B$14))</f>
      </c>
      <c r="M202" s="22"/>
      <c r="N202" s="16">
        <f>IF($B202="","",MAX($H202-$M202,0))</f>
      </c>
      <c r="O202" s="19">
        <f>IF($B202="","",IF($J202&lt;&gt;"Sí","Pagado (contado)",IF($N202&lt;=0,"Pagado",IF($M202&gt;0,"Abono parcial","Pendiente"))))</f>
      </c>
      <c r="P202" s="19">
        <f>IF(OR($B202="",$J202&lt;&gt;"Sí",$N202&lt;=0),"",IF(TODAY()&gt;$L202,"🔴 VENCIDO hace "&amp;(TODAY()-$L202)&amp;" día(s)",IF($L202-TODAY()&lt;='Config'!$B$15,"🟠 Faltan "&amp;($L202-TODAY())&amp;" día(s) para pagar","🟢 Al día (paga el "&amp;TEXT($L202,"dd/mm")&amp;")")))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16">
        <f>IF($B203="","",'Config'!$B$11+'Config'!$B$12)</f>
      </c>
      <c r="H203" s="16">
        <f>IF($B203="","",$F203+$G203)</f>
      </c>
      <c r="I203" s="20"/>
      <c r="J203" s="20"/>
      <c r="K203" s="14">
        <f>IF(OR($B203="",$J203&lt;&gt;"Sí"),"",IF(DAY($A203)&lt;='Config'!$B$13,DATE(YEAR($A203),MONTH($A203),'Config'!$B$13),EOMONTH($A203,0)+'Config'!$B$13))</f>
      </c>
      <c r="L203" s="14">
        <f>IF($K203="","",DATE(YEAR(EOMONTH($K203,0)+1),MONTH(EOMONTH($K203,0)+1),'Config'!$B$14))</f>
      </c>
      <c r="M203" s="22"/>
      <c r="N203" s="16">
        <f>IF($B203="","",MAX($H203-$M203,0))</f>
      </c>
      <c r="O203" s="19">
        <f>IF($B203="","",IF($J203&lt;&gt;"Sí","Pagado (contado)",IF($N203&lt;=0,"Pagado",IF($M203&gt;0,"Abono parcial","Pendiente"))))</f>
      </c>
      <c r="P203" s="19">
        <f>IF(OR($B203="",$J203&lt;&gt;"Sí",$N203&lt;=0),"",IF(TODAY()&gt;$L203,"🔴 VENCIDO hace "&amp;(TODAY()-$L203)&amp;" día(s)",IF($L203-TODAY()&lt;='Config'!$B$15,"🟠 Faltan "&amp;($L203-TODAY())&amp;" día(s) para pagar","🟢 Al día (paga el "&amp;TEXT($L203,"dd/mm")&amp;")")))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16">
        <f>IF($B204="","",'Config'!$B$11+'Config'!$B$12)</f>
      </c>
      <c r="H204" s="16">
        <f>IF($B204="","",$F204+$G204)</f>
      </c>
      <c r="I204" s="20"/>
      <c r="J204" s="20"/>
      <c r="K204" s="14">
        <f>IF(OR($B204="",$J204&lt;&gt;"Sí"),"",IF(DAY($A204)&lt;='Config'!$B$13,DATE(YEAR($A204),MONTH($A204),'Config'!$B$13),EOMONTH($A204,0)+'Config'!$B$13))</f>
      </c>
      <c r="L204" s="14">
        <f>IF($K204="","",DATE(YEAR(EOMONTH($K204,0)+1),MONTH(EOMONTH($K204,0)+1),'Config'!$B$14))</f>
      </c>
      <c r="M204" s="22"/>
      <c r="N204" s="16">
        <f>IF($B204="","",MAX($H204-$M204,0))</f>
      </c>
      <c r="O204" s="19">
        <f>IF($B204="","",IF($J204&lt;&gt;"Sí","Pagado (contado)",IF($N204&lt;=0,"Pagado",IF($M204&gt;0,"Abono parcial","Pendiente"))))</f>
      </c>
      <c r="P204" s="19">
        <f>IF(OR($B204="",$J204&lt;&gt;"Sí",$N204&lt;=0),"",IF(TODAY()&gt;$L204,"🔴 VENCIDO hace "&amp;(TODAY()-$L204)&amp;" día(s)",IF($L204-TODAY()&lt;='Config'!$B$15,"🟠 Faltan "&amp;($L204-TODAY())&amp;" día(s) para pagar","🟢 Al día (paga el "&amp;TEXT($L204,"dd/mm")&amp;")")))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16">
        <f>IF($B205="","",'Config'!$B$11+'Config'!$B$12)</f>
      </c>
      <c r="H205" s="16">
        <f>IF($B205="","",$F205+$G205)</f>
      </c>
      <c r="I205" s="20"/>
      <c r="J205" s="20"/>
      <c r="K205" s="14">
        <f>IF(OR($B205="",$J205&lt;&gt;"Sí"),"",IF(DAY($A205)&lt;='Config'!$B$13,DATE(YEAR($A205),MONTH($A205),'Config'!$B$13),EOMONTH($A205,0)+'Config'!$B$13))</f>
      </c>
      <c r="L205" s="14">
        <f>IF($K205="","",DATE(YEAR(EOMONTH($K205,0)+1),MONTH(EOMONTH($K205,0)+1),'Config'!$B$14))</f>
      </c>
      <c r="M205" s="22"/>
      <c r="N205" s="16">
        <f>IF($B205="","",MAX($H205-$M205,0))</f>
      </c>
      <c r="O205" s="19">
        <f>IF($B205="","",IF($J205&lt;&gt;"Sí","Pagado (contado)",IF($N205&lt;=0,"Pagado",IF($M205&gt;0,"Abono parcial","Pendiente"))))</f>
      </c>
      <c r="P205" s="19">
        <f>IF(OR($B205="",$J205&lt;&gt;"Sí",$N205&lt;=0),"",IF(TODAY()&gt;$L205,"🔴 VENCIDO hace "&amp;(TODAY()-$L205)&amp;" día(s)",IF($L205-TODAY()&lt;='Config'!$B$15,"🟠 Faltan "&amp;($L205-TODAY())&amp;" día(s) para pagar","🟢 Al día (paga el "&amp;TEXT($L205,"dd/mm")&amp;")")))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16">
        <f>IF($B206="","",'Config'!$B$11+'Config'!$B$12)</f>
      </c>
      <c r="H206" s="16">
        <f>IF($B206="","",$F206+$G206)</f>
      </c>
      <c r="I206" s="20"/>
      <c r="J206" s="20"/>
      <c r="K206" s="14">
        <f>IF(OR($B206="",$J206&lt;&gt;"Sí"),"",IF(DAY($A206)&lt;='Config'!$B$13,DATE(YEAR($A206),MONTH($A206),'Config'!$B$13),EOMONTH($A206,0)+'Config'!$B$13))</f>
      </c>
      <c r="L206" s="14">
        <f>IF($K206="","",DATE(YEAR(EOMONTH($K206,0)+1),MONTH(EOMONTH($K206,0)+1),'Config'!$B$14))</f>
      </c>
      <c r="M206" s="22"/>
      <c r="N206" s="16">
        <f>IF($B206="","",MAX($H206-$M206,0))</f>
      </c>
      <c r="O206" s="19">
        <f>IF($B206="","",IF($J206&lt;&gt;"Sí","Pagado (contado)",IF($N206&lt;=0,"Pagado",IF($M206&gt;0,"Abono parcial","Pendiente"))))</f>
      </c>
      <c r="P206" s="19">
        <f>IF(OR($B206="",$J206&lt;&gt;"Sí",$N206&lt;=0),"",IF(TODAY()&gt;$L206,"🔴 VENCIDO hace "&amp;(TODAY()-$L206)&amp;" día(s)",IF($L206-TODAY()&lt;='Config'!$B$15,"🟠 Faltan "&amp;($L206-TODAY())&amp;" día(s) para pagar","🟢 Al día (paga el "&amp;TEXT($L206,"dd/mm")&amp;")")))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16">
        <f>IF($B207="","",'Config'!$B$11+'Config'!$B$12)</f>
      </c>
      <c r="H207" s="16">
        <f>IF($B207="","",$F207+$G207)</f>
      </c>
      <c r="I207" s="20"/>
      <c r="J207" s="20"/>
      <c r="K207" s="14">
        <f>IF(OR($B207="",$J207&lt;&gt;"Sí"),"",IF(DAY($A207)&lt;='Config'!$B$13,DATE(YEAR($A207),MONTH($A207),'Config'!$B$13),EOMONTH($A207,0)+'Config'!$B$13))</f>
      </c>
      <c r="L207" s="14">
        <f>IF($K207="","",DATE(YEAR(EOMONTH($K207,0)+1),MONTH(EOMONTH($K207,0)+1),'Config'!$B$14))</f>
      </c>
      <c r="M207" s="22"/>
      <c r="N207" s="16">
        <f>IF($B207="","",MAX($H207-$M207,0))</f>
      </c>
      <c r="O207" s="19">
        <f>IF($B207="","",IF($J207&lt;&gt;"Sí","Pagado (contado)",IF($N207&lt;=0,"Pagado",IF($M207&gt;0,"Abono parcial","Pendiente"))))</f>
      </c>
      <c r="P207" s="19">
        <f>IF(OR($B207="",$J207&lt;&gt;"Sí",$N207&lt;=0),"",IF(TODAY()&gt;$L207,"🔴 VENCIDO hace "&amp;(TODAY()-$L207)&amp;" día(s)",IF($L207-TODAY()&lt;='Config'!$B$15,"🟠 Faltan "&amp;($L207-TODAY())&amp;" día(s) para pagar","🟢 Al día (paga el "&amp;TEXT($L207,"dd/mm")&amp;")")))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16">
        <f>IF($B208="","",'Config'!$B$11+'Config'!$B$12)</f>
      </c>
      <c r="H208" s="16">
        <f>IF($B208="","",$F208+$G208)</f>
      </c>
      <c r="I208" s="20"/>
      <c r="J208" s="20"/>
      <c r="K208" s="14">
        <f>IF(OR($B208="",$J208&lt;&gt;"Sí"),"",IF(DAY($A208)&lt;='Config'!$B$13,DATE(YEAR($A208),MONTH($A208),'Config'!$B$13),EOMONTH($A208,0)+'Config'!$B$13))</f>
      </c>
      <c r="L208" s="14">
        <f>IF($K208="","",DATE(YEAR(EOMONTH($K208,0)+1),MONTH(EOMONTH($K208,0)+1),'Config'!$B$14))</f>
      </c>
      <c r="M208" s="22"/>
      <c r="N208" s="16">
        <f>IF($B208="","",MAX($H208-$M208,0))</f>
      </c>
      <c r="O208" s="19">
        <f>IF($B208="","",IF($J208&lt;&gt;"Sí","Pagado (contado)",IF($N208&lt;=0,"Pagado",IF($M208&gt;0,"Abono parcial","Pendiente"))))</f>
      </c>
      <c r="P208" s="19">
        <f>IF(OR($B208="",$J208&lt;&gt;"Sí",$N208&lt;=0),"",IF(TODAY()&gt;$L208,"🔴 VENCIDO hace "&amp;(TODAY()-$L208)&amp;" día(s)",IF($L208-TODAY()&lt;='Config'!$B$15,"🟠 Faltan "&amp;($L208-TODAY())&amp;" día(s) para pagar","🟢 Al día (paga el "&amp;TEXT($L208,"dd/mm")&amp;")")))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16">
        <f>IF($B209="","",'Config'!$B$11+'Config'!$B$12)</f>
      </c>
      <c r="H209" s="16">
        <f>IF($B209="","",$F209+$G209)</f>
      </c>
      <c r="I209" s="20"/>
      <c r="J209" s="20"/>
      <c r="K209" s="14">
        <f>IF(OR($B209="",$J209&lt;&gt;"Sí"),"",IF(DAY($A209)&lt;='Config'!$B$13,DATE(YEAR($A209),MONTH($A209),'Config'!$B$13),EOMONTH($A209,0)+'Config'!$B$13))</f>
      </c>
      <c r="L209" s="14">
        <f>IF($K209="","",DATE(YEAR(EOMONTH($K209,0)+1),MONTH(EOMONTH($K209,0)+1),'Config'!$B$14))</f>
      </c>
      <c r="M209" s="22"/>
      <c r="N209" s="16">
        <f>IF($B209="","",MAX($H209-$M209,0))</f>
      </c>
      <c r="O209" s="19">
        <f>IF($B209="","",IF($J209&lt;&gt;"Sí","Pagado (contado)",IF($N209&lt;=0,"Pagado",IF($M209&gt;0,"Abono parcial","Pendiente"))))</f>
      </c>
      <c r="P209" s="19">
        <f>IF(OR($B209="",$J209&lt;&gt;"Sí",$N209&lt;=0),"",IF(TODAY()&gt;$L209,"🔴 VENCIDO hace "&amp;(TODAY()-$L209)&amp;" día(s)",IF($L209-TODAY()&lt;='Config'!$B$15,"🟠 Faltan "&amp;($L209-TODAY())&amp;" día(s) para pagar","🟢 Al día (paga el "&amp;TEXT($L209,"dd/mm")&amp;")")))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16">
        <f>IF($B210="","",'Config'!$B$11+'Config'!$B$12)</f>
      </c>
      <c r="H210" s="16">
        <f>IF($B210="","",$F210+$G210)</f>
      </c>
      <c r="I210" s="20"/>
      <c r="J210" s="20"/>
      <c r="K210" s="14">
        <f>IF(OR($B210="",$J210&lt;&gt;"Sí"),"",IF(DAY($A210)&lt;='Config'!$B$13,DATE(YEAR($A210),MONTH($A210),'Config'!$B$13),EOMONTH($A210,0)+'Config'!$B$13))</f>
      </c>
      <c r="L210" s="14">
        <f>IF($K210="","",DATE(YEAR(EOMONTH($K210,0)+1),MONTH(EOMONTH($K210,0)+1),'Config'!$B$14))</f>
      </c>
      <c r="M210" s="22"/>
      <c r="N210" s="16">
        <f>IF($B210="","",MAX($H210-$M210,0))</f>
      </c>
      <c r="O210" s="19">
        <f>IF($B210="","",IF($J210&lt;&gt;"Sí","Pagado (contado)",IF($N210&lt;=0,"Pagado",IF($M210&gt;0,"Abono parcial","Pendiente"))))</f>
      </c>
      <c r="P210" s="19">
        <f>IF(OR($B210="",$J210&lt;&gt;"Sí",$N210&lt;=0),"",IF(TODAY()&gt;$L210,"🔴 VENCIDO hace "&amp;(TODAY()-$L210)&amp;" día(s)",IF($L210-TODAY()&lt;='Config'!$B$15,"🟠 Faltan "&amp;($L210-TODAY())&amp;" día(s) para pagar","🟢 Al día (paga el "&amp;TEXT($L210,"dd/mm")&amp;")")))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16">
        <f>IF($B211="","",'Config'!$B$11+'Config'!$B$12)</f>
      </c>
      <c r="H211" s="16">
        <f>IF($B211="","",$F211+$G211)</f>
      </c>
      <c r="I211" s="20"/>
      <c r="J211" s="20"/>
      <c r="K211" s="14">
        <f>IF(OR($B211="",$J211&lt;&gt;"Sí"),"",IF(DAY($A211)&lt;='Config'!$B$13,DATE(YEAR($A211),MONTH($A211),'Config'!$B$13),EOMONTH($A211,0)+'Config'!$B$13))</f>
      </c>
      <c r="L211" s="14">
        <f>IF($K211="","",DATE(YEAR(EOMONTH($K211,0)+1),MONTH(EOMONTH($K211,0)+1),'Config'!$B$14))</f>
      </c>
      <c r="M211" s="22"/>
      <c r="N211" s="16">
        <f>IF($B211="","",MAX($H211-$M211,0))</f>
      </c>
      <c r="O211" s="19">
        <f>IF($B211="","",IF($J211&lt;&gt;"Sí","Pagado (contado)",IF($N211&lt;=0,"Pagado",IF($M211&gt;0,"Abono parcial","Pendiente"))))</f>
      </c>
      <c r="P211" s="19">
        <f>IF(OR($B211="",$J211&lt;&gt;"Sí",$N211&lt;=0),"",IF(TODAY()&gt;$L211,"🔴 VENCIDO hace "&amp;(TODAY()-$L211)&amp;" día(s)",IF($L211-TODAY()&lt;='Config'!$B$15,"🟠 Faltan "&amp;($L211-TODAY())&amp;" día(s) para pagar","🟢 Al día (paga el "&amp;TEXT($L211,"dd/mm")&amp;")")))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16">
        <f>IF($B212="","",'Config'!$B$11+'Config'!$B$12)</f>
      </c>
      <c r="H212" s="16">
        <f>IF($B212="","",$F212+$G212)</f>
      </c>
      <c r="I212" s="20"/>
      <c r="J212" s="20"/>
      <c r="K212" s="14">
        <f>IF(OR($B212="",$J212&lt;&gt;"Sí"),"",IF(DAY($A212)&lt;='Config'!$B$13,DATE(YEAR($A212),MONTH($A212),'Config'!$B$13),EOMONTH($A212,0)+'Config'!$B$13))</f>
      </c>
      <c r="L212" s="14">
        <f>IF($K212="","",DATE(YEAR(EOMONTH($K212,0)+1),MONTH(EOMONTH($K212,0)+1),'Config'!$B$14))</f>
      </c>
      <c r="M212" s="22"/>
      <c r="N212" s="16">
        <f>IF($B212="","",MAX($H212-$M212,0))</f>
      </c>
      <c r="O212" s="19">
        <f>IF($B212="","",IF($J212&lt;&gt;"Sí","Pagado (contado)",IF($N212&lt;=0,"Pagado",IF($M212&gt;0,"Abono parcial","Pendiente"))))</f>
      </c>
      <c r="P212" s="19">
        <f>IF(OR($B212="",$J212&lt;&gt;"Sí",$N212&lt;=0),"",IF(TODAY()&gt;$L212,"🔴 VENCIDO hace "&amp;(TODAY()-$L212)&amp;" día(s)",IF($L212-TODAY()&lt;='Config'!$B$15,"🟠 Faltan "&amp;($L212-TODAY())&amp;" día(s) para pagar","🟢 Al día (paga el "&amp;TEXT($L212,"dd/mm")&amp;")")))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16">
        <f>IF($B213="","",'Config'!$B$11+'Config'!$B$12)</f>
      </c>
      <c r="H213" s="16">
        <f>IF($B213="","",$F213+$G213)</f>
      </c>
      <c r="I213" s="20"/>
      <c r="J213" s="20"/>
      <c r="K213" s="14">
        <f>IF(OR($B213="",$J213&lt;&gt;"Sí"),"",IF(DAY($A213)&lt;='Config'!$B$13,DATE(YEAR($A213),MONTH($A213),'Config'!$B$13),EOMONTH($A213,0)+'Config'!$B$13))</f>
      </c>
      <c r="L213" s="14">
        <f>IF($K213="","",DATE(YEAR(EOMONTH($K213,0)+1),MONTH(EOMONTH($K213,0)+1),'Config'!$B$14))</f>
      </c>
      <c r="M213" s="22"/>
      <c r="N213" s="16">
        <f>IF($B213="","",MAX($H213-$M213,0))</f>
      </c>
      <c r="O213" s="19">
        <f>IF($B213="","",IF($J213&lt;&gt;"Sí","Pagado (contado)",IF($N213&lt;=0,"Pagado",IF($M213&gt;0,"Abono parcial","Pendiente"))))</f>
      </c>
      <c r="P213" s="19">
        <f>IF(OR($B213="",$J213&lt;&gt;"Sí",$N213&lt;=0),"",IF(TODAY()&gt;$L213,"🔴 VENCIDO hace "&amp;(TODAY()-$L213)&amp;" día(s)",IF($L213-TODAY()&lt;='Config'!$B$15,"🟠 Faltan "&amp;($L213-TODAY())&amp;" día(s) para pagar","🟢 Al día (paga el "&amp;TEXT($L213,"dd/mm")&amp;")")))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16">
        <f>IF($B214="","",'Config'!$B$11+'Config'!$B$12)</f>
      </c>
      <c r="H214" s="16">
        <f>IF($B214="","",$F214+$G214)</f>
      </c>
      <c r="I214" s="20"/>
      <c r="J214" s="20"/>
      <c r="K214" s="14">
        <f>IF(OR($B214="",$J214&lt;&gt;"Sí"),"",IF(DAY($A214)&lt;='Config'!$B$13,DATE(YEAR($A214),MONTH($A214),'Config'!$B$13),EOMONTH($A214,0)+'Config'!$B$13))</f>
      </c>
      <c r="L214" s="14">
        <f>IF($K214="","",DATE(YEAR(EOMONTH($K214,0)+1),MONTH(EOMONTH($K214,0)+1),'Config'!$B$14))</f>
      </c>
      <c r="M214" s="22"/>
      <c r="N214" s="16">
        <f>IF($B214="","",MAX($H214-$M214,0))</f>
      </c>
      <c r="O214" s="19">
        <f>IF($B214="","",IF($J214&lt;&gt;"Sí","Pagado (contado)",IF($N214&lt;=0,"Pagado",IF($M214&gt;0,"Abono parcial","Pendiente"))))</f>
      </c>
      <c r="P214" s="19">
        <f>IF(OR($B214="",$J214&lt;&gt;"Sí",$N214&lt;=0),"",IF(TODAY()&gt;$L214,"🔴 VENCIDO hace "&amp;(TODAY()-$L214)&amp;" día(s)",IF($L214-TODAY()&lt;='Config'!$B$15,"🟠 Faltan "&amp;($L214-TODAY())&amp;" día(s) para pagar","🟢 Al día (paga el "&amp;TEXT($L214,"dd/mm")&amp;")")))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16">
        <f>IF($B215="","",'Config'!$B$11+'Config'!$B$12)</f>
      </c>
      <c r="H215" s="16">
        <f>IF($B215="","",$F215+$G215)</f>
      </c>
      <c r="I215" s="20"/>
      <c r="J215" s="20"/>
      <c r="K215" s="14">
        <f>IF(OR($B215="",$J215&lt;&gt;"Sí"),"",IF(DAY($A215)&lt;='Config'!$B$13,DATE(YEAR($A215),MONTH($A215),'Config'!$B$13),EOMONTH($A215,0)+'Config'!$B$13))</f>
      </c>
      <c r="L215" s="14">
        <f>IF($K215="","",DATE(YEAR(EOMONTH($K215,0)+1),MONTH(EOMONTH($K215,0)+1),'Config'!$B$14))</f>
      </c>
      <c r="M215" s="22"/>
      <c r="N215" s="16">
        <f>IF($B215="","",MAX($H215-$M215,0))</f>
      </c>
      <c r="O215" s="19">
        <f>IF($B215="","",IF($J215&lt;&gt;"Sí","Pagado (contado)",IF($N215&lt;=0,"Pagado",IF($M215&gt;0,"Abono parcial","Pendiente"))))</f>
      </c>
      <c r="P215" s="19">
        <f>IF(OR($B215="",$J215&lt;&gt;"Sí",$N215&lt;=0),"",IF(TODAY()&gt;$L215,"🔴 VENCIDO hace "&amp;(TODAY()-$L215)&amp;" día(s)",IF($L215-TODAY()&lt;='Config'!$B$15,"🟠 Faltan "&amp;($L215-TODAY())&amp;" día(s) para pagar","🟢 Al día (paga el "&amp;TEXT($L215,"dd/mm")&amp;")")))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16">
        <f>IF($B216="","",'Config'!$B$11+'Config'!$B$12)</f>
      </c>
      <c r="H216" s="16">
        <f>IF($B216="","",$F216+$G216)</f>
      </c>
      <c r="I216" s="20"/>
      <c r="J216" s="20"/>
      <c r="K216" s="14">
        <f>IF(OR($B216="",$J216&lt;&gt;"Sí"),"",IF(DAY($A216)&lt;='Config'!$B$13,DATE(YEAR($A216),MONTH($A216),'Config'!$B$13),EOMONTH($A216,0)+'Config'!$B$13))</f>
      </c>
      <c r="L216" s="14">
        <f>IF($K216="","",DATE(YEAR(EOMONTH($K216,0)+1),MONTH(EOMONTH($K216,0)+1),'Config'!$B$14))</f>
      </c>
      <c r="M216" s="22"/>
      <c r="N216" s="16">
        <f>IF($B216="","",MAX($H216-$M216,0))</f>
      </c>
      <c r="O216" s="19">
        <f>IF($B216="","",IF($J216&lt;&gt;"Sí","Pagado (contado)",IF($N216&lt;=0,"Pagado",IF($M216&gt;0,"Abono parcial","Pendiente"))))</f>
      </c>
      <c r="P216" s="19">
        <f>IF(OR($B216="",$J216&lt;&gt;"Sí",$N216&lt;=0),"",IF(TODAY()&gt;$L216,"🔴 VENCIDO hace "&amp;(TODAY()-$L216)&amp;" día(s)",IF($L216-TODAY()&lt;='Config'!$B$15,"🟠 Faltan "&amp;($L216-TODAY())&amp;" día(s) para pagar","🟢 Al día (paga el "&amp;TEXT($L216,"dd/mm")&amp;")")))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16">
        <f>IF($B217="","",'Config'!$B$11+'Config'!$B$12)</f>
      </c>
      <c r="H217" s="16">
        <f>IF($B217="","",$F217+$G217)</f>
      </c>
      <c r="I217" s="20"/>
      <c r="J217" s="20"/>
      <c r="K217" s="14">
        <f>IF(OR($B217="",$J217&lt;&gt;"Sí"),"",IF(DAY($A217)&lt;='Config'!$B$13,DATE(YEAR($A217),MONTH($A217),'Config'!$B$13),EOMONTH($A217,0)+'Config'!$B$13))</f>
      </c>
      <c r="L217" s="14">
        <f>IF($K217="","",DATE(YEAR(EOMONTH($K217,0)+1),MONTH(EOMONTH($K217,0)+1),'Config'!$B$14))</f>
      </c>
      <c r="M217" s="22"/>
      <c r="N217" s="16">
        <f>IF($B217="","",MAX($H217-$M217,0))</f>
      </c>
      <c r="O217" s="19">
        <f>IF($B217="","",IF($J217&lt;&gt;"Sí","Pagado (contado)",IF($N217&lt;=0,"Pagado",IF($M217&gt;0,"Abono parcial","Pendiente"))))</f>
      </c>
      <c r="P217" s="19">
        <f>IF(OR($B217="",$J217&lt;&gt;"Sí",$N217&lt;=0),"",IF(TODAY()&gt;$L217,"🔴 VENCIDO hace "&amp;(TODAY()-$L217)&amp;" día(s)",IF($L217-TODAY()&lt;='Config'!$B$15,"🟠 Faltan "&amp;($L217-TODAY())&amp;" día(s) para pagar","🟢 Al día (paga el "&amp;TEXT($L217,"dd/mm")&amp;")")))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16">
        <f>IF($B218="","",'Config'!$B$11+'Config'!$B$12)</f>
      </c>
      <c r="H218" s="16">
        <f>IF($B218="","",$F218+$G218)</f>
      </c>
      <c r="I218" s="20"/>
      <c r="J218" s="20"/>
      <c r="K218" s="14">
        <f>IF(OR($B218="",$J218&lt;&gt;"Sí"),"",IF(DAY($A218)&lt;='Config'!$B$13,DATE(YEAR($A218),MONTH($A218),'Config'!$B$13),EOMONTH($A218,0)+'Config'!$B$13))</f>
      </c>
      <c r="L218" s="14">
        <f>IF($K218="","",DATE(YEAR(EOMONTH($K218,0)+1),MONTH(EOMONTH($K218,0)+1),'Config'!$B$14))</f>
      </c>
      <c r="M218" s="22"/>
      <c r="N218" s="16">
        <f>IF($B218="","",MAX($H218-$M218,0))</f>
      </c>
      <c r="O218" s="19">
        <f>IF($B218="","",IF($J218&lt;&gt;"Sí","Pagado (contado)",IF($N218&lt;=0,"Pagado",IF($M218&gt;0,"Abono parcial","Pendiente"))))</f>
      </c>
      <c r="P218" s="19">
        <f>IF(OR($B218="",$J218&lt;&gt;"Sí",$N218&lt;=0),"",IF(TODAY()&gt;$L218,"🔴 VENCIDO hace "&amp;(TODAY()-$L218)&amp;" día(s)",IF($L218-TODAY()&lt;='Config'!$B$15,"🟠 Faltan "&amp;($L218-TODAY())&amp;" día(s) para pagar","🟢 Al día (paga el "&amp;TEXT($L218,"dd/mm")&amp;")")))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16">
        <f>IF($B219="","",'Config'!$B$11+'Config'!$B$12)</f>
      </c>
      <c r="H219" s="16">
        <f>IF($B219="","",$F219+$G219)</f>
      </c>
      <c r="I219" s="20"/>
      <c r="J219" s="20"/>
      <c r="K219" s="14">
        <f>IF(OR($B219="",$J219&lt;&gt;"Sí"),"",IF(DAY($A219)&lt;='Config'!$B$13,DATE(YEAR($A219),MONTH($A219),'Config'!$B$13),EOMONTH($A219,0)+'Config'!$B$13))</f>
      </c>
      <c r="L219" s="14">
        <f>IF($K219="","",DATE(YEAR(EOMONTH($K219,0)+1),MONTH(EOMONTH($K219,0)+1),'Config'!$B$14))</f>
      </c>
      <c r="M219" s="22"/>
      <c r="N219" s="16">
        <f>IF($B219="","",MAX($H219-$M219,0))</f>
      </c>
      <c r="O219" s="19">
        <f>IF($B219="","",IF($J219&lt;&gt;"Sí","Pagado (contado)",IF($N219&lt;=0,"Pagado",IF($M219&gt;0,"Abono parcial","Pendiente"))))</f>
      </c>
      <c r="P219" s="19">
        <f>IF(OR($B219="",$J219&lt;&gt;"Sí",$N219&lt;=0),"",IF(TODAY()&gt;$L219,"🔴 VENCIDO hace "&amp;(TODAY()-$L219)&amp;" día(s)",IF($L219-TODAY()&lt;='Config'!$B$15,"🟠 Faltan "&amp;($L219-TODAY())&amp;" día(s) para pagar","🟢 Al día (paga el "&amp;TEXT($L219,"dd/mm")&amp;")")))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16">
        <f>IF($B220="","",'Config'!$B$11+'Config'!$B$12)</f>
      </c>
      <c r="H220" s="16">
        <f>IF($B220="","",$F220+$G220)</f>
      </c>
      <c r="I220" s="20"/>
      <c r="J220" s="20"/>
      <c r="K220" s="14">
        <f>IF(OR($B220="",$J220&lt;&gt;"Sí"),"",IF(DAY($A220)&lt;='Config'!$B$13,DATE(YEAR($A220),MONTH($A220),'Config'!$B$13),EOMONTH($A220,0)+'Config'!$B$13))</f>
      </c>
      <c r="L220" s="14">
        <f>IF($K220="","",DATE(YEAR(EOMONTH($K220,0)+1),MONTH(EOMONTH($K220,0)+1),'Config'!$B$14))</f>
      </c>
      <c r="M220" s="22"/>
      <c r="N220" s="16">
        <f>IF($B220="","",MAX($H220-$M220,0))</f>
      </c>
      <c r="O220" s="19">
        <f>IF($B220="","",IF($J220&lt;&gt;"Sí","Pagado (contado)",IF($N220&lt;=0,"Pagado",IF($M220&gt;0,"Abono parcial","Pendiente"))))</f>
      </c>
      <c r="P220" s="19">
        <f>IF(OR($B220="",$J220&lt;&gt;"Sí",$N220&lt;=0),"",IF(TODAY()&gt;$L220,"🔴 VENCIDO hace "&amp;(TODAY()-$L220)&amp;" día(s)",IF($L220-TODAY()&lt;='Config'!$B$15,"🟠 Faltan "&amp;($L220-TODAY())&amp;" día(s) para pagar","🟢 Al día (paga el "&amp;TEXT($L220,"dd/mm")&amp;")")))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16">
        <f>IF($B221="","",'Config'!$B$11+'Config'!$B$12)</f>
      </c>
      <c r="H221" s="16">
        <f>IF($B221="","",$F221+$G221)</f>
      </c>
      <c r="I221" s="20"/>
      <c r="J221" s="20"/>
      <c r="K221" s="14">
        <f>IF(OR($B221="",$J221&lt;&gt;"Sí"),"",IF(DAY($A221)&lt;='Config'!$B$13,DATE(YEAR($A221),MONTH($A221),'Config'!$B$13),EOMONTH($A221,0)+'Config'!$B$13))</f>
      </c>
      <c r="L221" s="14">
        <f>IF($K221="","",DATE(YEAR(EOMONTH($K221,0)+1),MONTH(EOMONTH($K221,0)+1),'Config'!$B$14))</f>
      </c>
      <c r="M221" s="22"/>
      <c r="N221" s="16">
        <f>IF($B221="","",MAX($H221-$M221,0))</f>
      </c>
      <c r="O221" s="19">
        <f>IF($B221="","",IF($J221&lt;&gt;"Sí","Pagado (contado)",IF($N221&lt;=0,"Pagado",IF($M221&gt;0,"Abono parcial","Pendiente"))))</f>
      </c>
      <c r="P221" s="19">
        <f>IF(OR($B221="",$J221&lt;&gt;"Sí",$N221&lt;=0),"",IF(TODAY()&gt;$L221,"🔴 VENCIDO hace "&amp;(TODAY()-$L221)&amp;" día(s)",IF($L221-TODAY()&lt;='Config'!$B$15,"🟠 Faltan "&amp;($L221-TODAY())&amp;" día(s) para pagar","🟢 Al día (paga el "&amp;TEXT($L221,"dd/mm")&amp;")")))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16">
        <f>IF($B222="","",'Config'!$B$11+'Config'!$B$12)</f>
      </c>
      <c r="H222" s="16">
        <f>IF($B222="","",$F222+$G222)</f>
      </c>
      <c r="I222" s="20"/>
      <c r="J222" s="20"/>
      <c r="K222" s="14">
        <f>IF(OR($B222="",$J222&lt;&gt;"Sí"),"",IF(DAY($A222)&lt;='Config'!$B$13,DATE(YEAR($A222),MONTH($A222),'Config'!$B$13),EOMONTH($A222,0)+'Config'!$B$13))</f>
      </c>
      <c r="L222" s="14">
        <f>IF($K222="","",DATE(YEAR(EOMONTH($K222,0)+1),MONTH(EOMONTH($K222,0)+1),'Config'!$B$14))</f>
      </c>
      <c r="M222" s="22"/>
      <c r="N222" s="16">
        <f>IF($B222="","",MAX($H222-$M222,0))</f>
      </c>
      <c r="O222" s="19">
        <f>IF($B222="","",IF($J222&lt;&gt;"Sí","Pagado (contado)",IF($N222&lt;=0,"Pagado",IF($M222&gt;0,"Abono parcial","Pendiente"))))</f>
      </c>
      <c r="P222" s="19">
        <f>IF(OR($B222="",$J222&lt;&gt;"Sí",$N222&lt;=0),"",IF(TODAY()&gt;$L222,"🔴 VENCIDO hace "&amp;(TODAY()-$L222)&amp;" día(s)",IF($L222-TODAY()&lt;='Config'!$B$15,"🟠 Faltan "&amp;($L222-TODAY())&amp;" día(s) para pagar","🟢 Al día (paga el "&amp;TEXT($L222,"dd/mm")&amp;")")))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16">
        <f>IF($B223="","",'Config'!$B$11+'Config'!$B$12)</f>
      </c>
      <c r="H223" s="16">
        <f>IF($B223="","",$F223+$G223)</f>
      </c>
      <c r="I223" s="20"/>
      <c r="J223" s="20"/>
      <c r="K223" s="14">
        <f>IF(OR($B223="",$J223&lt;&gt;"Sí"),"",IF(DAY($A223)&lt;='Config'!$B$13,DATE(YEAR($A223),MONTH($A223),'Config'!$B$13),EOMONTH($A223,0)+'Config'!$B$13))</f>
      </c>
      <c r="L223" s="14">
        <f>IF($K223="","",DATE(YEAR(EOMONTH($K223,0)+1),MONTH(EOMONTH($K223,0)+1),'Config'!$B$14))</f>
      </c>
      <c r="M223" s="22"/>
      <c r="N223" s="16">
        <f>IF($B223="","",MAX($H223-$M223,0))</f>
      </c>
      <c r="O223" s="19">
        <f>IF($B223="","",IF($J223&lt;&gt;"Sí","Pagado (contado)",IF($N223&lt;=0,"Pagado",IF($M223&gt;0,"Abono parcial","Pendiente"))))</f>
      </c>
      <c r="P223" s="19">
        <f>IF(OR($B223="",$J223&lt;&gt;"Sí",$N223&lt;=0),"",IF(TODAY()&gt;$L223,"🔴 VENCIDO hace "&amp;(TODAY()-$L223)&amp;" día(s)",IF($L223-TODAY()&lt;='Config'!$B$15,"🟠 Faltan "&amp;($L223-TODAY())&amp;" día(s) para pagar","🟢 Al día (paga el "&amp;TEXT($L223,"dd/mm")&amp;")")))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16">
        <f>IF($B224="","",'Config'!$B$11+'Config'!$B$12)</f>
      </c>
      <c r="H224" s="16">
        <f>IF($B224="","",$F224+$G224)</f>
      </c>
      <c r="I224" s="20"/>
      <c r="J224" s="20"/>
      <c r="K224" s="14">
        <f>IF(OR($B224="",$J224&lt;&gt;"Sí"),"",IF(DAY($A224)&lt;='Config'!$B$13,DATE(YEAR($A224),MONTH($A224),'Config'!$B$13),EOMONTH($A224,0)+'Config'!$B$13))</f>
      </c>
      <c r="L224" s="14">
        <f>IF($K224="","",DATE(YEAR(EOMONTH($K224,0)+1),MONTH(EOMONTH($K224,0)+1),'Config'!$B$14))</f>
      </c>
      <c r="M224" s="22"/>
      <c r="N224" s="16">
        <f>IF($B224="","",MAX($H224-$M224,0))</f>
      </c>
      <c r="O224" s="19">
        <f>IF($B224="","",IF($J224&lt;&gt;"Sí","Pagado (contado)",IF($N224&lt;=0,"Pagado",IF($M224&gt;0,"Abono parcial","Pendiente"))))</f>
      </c>
      <c r="P224" s="19">
        <f>IF(OR($B224="",$J224&lt;&gt;"Sí",$N224&lt;=0),"",IF(TODAY()&gt;$L224,"🔴 VENCIDO hace "&amp;(TODAY()-$L224)&amp;" día(s)",IF($L224-TODAY()&lt;='Config'!$B$15,"🟠 Faltan "&amp;($L224-TODAY())&amp;" día(s) para pagar","🟢 Al día (paga el "&amp;TEXT($L224,"dd/mm")&amp;")")))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16">
        <f>IF($B225="","",'Config'!$B$11+'Config'!$B$12)</f>
      </c>
      <c r="H225" s="16">
        <f>IF($B225="","",$F225+$G225)</f>
      </c>
      <c r="I225" s="20"/>
      <c r="J225" s="20"/>
      <c r="K225" s="14">
        <f>IF(OR($B225="",$J225&lt;&gt;"Sí"),"",IF(DAY($A225)&lt;='Config'!$B$13,DATE(YEAR($A225),MONTH($A225),'Config'!$B$13),EOMONTH($A225,0)+'Config'!$B$13))</f>
      </c>
      <c r="L225" s="14">
        <f>IF($K225="","",DATE(YEAR(EOMONTH($K225,0)+1),MONTH(EOMONTH($K225,0)+1),'Config'!$B$14))</f>
      </c>
      <c r="M225" s="22"/>
      <c r="N225" s="16">
        <f>IF($B225="","",MAX($H225-$M225,0))</f>
      </c>
      <c r="O225" s="19">
        <f>IF($B225="","",IF($J225&lt;&gt;"Sí","Pagado (contado)",IF($N225&lt;=0,"Pagado",IF($M225&gt;0,"Abono parcial","Pendiente"))))</f>
      </c>
      <c r="P225" s="19">
        <f>IF(OR($B225="",$J225&lt;&gt;"Sí",$N225&lt;=0),"",IF(TODAY()&gt;$L225,"🔴 VENCIDO hace "&amp;(TODAY()-$L225)&amp;" día(s)",IF($L225-TODAY()&lt;='Config'!$B$15,"🟠 Faltan "&amp;($L225-TODAY())&amp;" día(s) para pagar","🟢 Al día (paga el "&amp;TEXT($L225,"dd/mm")&amp;")")))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16">
        <f>IF($B226="","",'Config'!$B$11+'Config'!$B$12)</f>
      </c>
      <c r="H226" s="16">
        <f>IF($B226="","",$F226+$G226)</f>
      </c>
      <c r="I226" s="20"/>
      <c r="J226" s="20"/>
      <c r="K226" s="14">
        <f>IF(OR($B226="",$J226&lt;&gt;"Sí"),"",IF(DAY($A226)&lt;='Config'!$B$13,DATE(YEAR($A226),MONTH($A226),'Config'!$B$13),EOMONTH($A226,0)+'Config'!$B$13))</f>
      </c>
      <c r="L226" s="14">
        <f>IF($K226="","",DATE(YEAR(EOMONTH($K226,0)+1),MONTH(EOMONTH($K226,0)+1),'Config'!$B$14))</f>
      </c>
      <c r="M226" s="22"/>
      <c r="N226" s="16">
        <f>IF($B226="","",MAX($H226-$M226,0))</f>
      </c>
      <c r="O226" s="19">
        <f>IF($B226="","",IF($J226&lt;&gt;"Sí","Pagado (contado)",IF($N226&lt;=0,"Pagado",IF($M226&gt;0,"Abono parcial","Pendiente"))))</f>
      </c>
      <c r="P226" s="19">
        <f>IF(OR($B226="",$J226&lt;&gt;"Sí",$N226&lt;=0),"",IF(TODAY()&gt;$L226,"🔴 VENCIDO hace "&amp;(TODAY()-$L226)&amp;" día(s)",IF($L226-TODAY()&lt;='Config'!$B$15,"🟠 Faltan "&amp;($L226-TODAY())&amp;" día(s) para pagar","🟢 Al día (paga el "&amp;TEXT($L226,"dd/mm")&amp;")")))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16">
        <f>IF($B227="","",'Config'!$B$11+'Config'!$B$12)</f>
      </c>
      <c r="H227" s="16">
        <f>IF($B227="","",$F227+$G227)</f>
      </c>
      <c r="I227" s="20"/>
      <c r="J227" s="20"/>
      <c r="K227" s="14">
        <f>IF(OR($B227="",$J227&lt;&gt;"Sí"),"",IF(DAY($A227)&lt;='Config'!$B$13,DATE(YEAR($A227),MONTH($A227),'Config'!$B$13),EOMONTH($A227,0)+'Config'!$B$13))</f>
      </c>
      <c r="L227" s="14">
        <f>IF($K227="","",DATE(YEAR(EOMONTH($K227,0)+1),MONTH(EOMONTH($K227,0)+1),'Config'!$B$14))</f>
      </c>
      <c r="M227" s="22"/>
      <c r="N227" s="16">
        <f>IF($B227="","",MAX($H227-$M227,0))</f>
      </c>
      <c r="O227" s="19">
        <f>IF($B227="","",IF($J227&lt;&gt;"Sí","Pagado (contado)",IF($N227&lt;=0,"Pagado",IF($M227&gt;0,"Abono parcial","Pendiente"))))</f>
      </c>
      <c r="P227" s="19">
        <f>IF(OR($B227="",$J227&lt;&gt;"Sí",$N227&lt;=0),"",IF(TODAY()&gt;$L227,"🔴 VENCIDO hace "&amp;(TODAY()-$L227)&amp;" día(s)",IF($L227-TODAY()&lt;='Config'!$B$15,"🟠 Faltan "&amp;($L227-TODAY())&amp;" día(s) para pagar","🟢 Al día (paga el "&amp;TEXT($L227,"dd/mm")&amp;")")))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16">
        <f>IF($B228="","",'Config'!$B$11+'Config'!$B$12)</f>
      </c>
      <c r="H228" s="16">
        <f>IF($B228="","",$F228+$G228)</f>
      </c>
      <c r="I228" s="20"/>
      <c r="J228" s="20"/>
      <c r="K228" s="14">
        <f>IF(OR($B228="",$J228&lt;&gt;"Sí"),"",IF(DAY($A228)&lt;='Config'!$B$13,DATE(YEAR($A228),MONTH($A228),'Config'!$B$13),EOMONTH($A228,0)+'Config'!$B$13))</f>
      </c>
      <c r="L228" s="14">
        <f>IF($K228="","",DATE(YEAR(EOMONTH($K228,0)+1),MONTH(EOMONTH($K228,0)+1),'Config'!$B$14))</f>
      </c>
      <c r="M228" s="22"/>
      <c r="N228" s="16">
        <f>IF($B228="","",MAX($H228-$M228,0))</f>
      </c>
      <c r="O228" s="19">
        <f>IF($B228="","",IF($J228&lt;&gt;"Sí","Pagado (contado)",IF($N228&lt;=0,"Pagado",IF($M228&gt;0,"Abono parcial","Pendiente"))))</f>
      </c>
      <c r="P228" s="19">
        <f>IF(OR($B228="",$J228&lt;&gt;"Sí",$N228&lt;=0),"",IF(TODAY()&gt;$L228,"🔴 VENCIDO hace "&amp;(TODAY()-$L228)&amp;" día(s)",IF($L228-TODAY()&lt;='Config'!$B$15,"🟠 Faltan "&amp;($L228-TODAY())&amp;" día(s) para pagar","🟢 Al día (paga el "&amp;TEXT($L228,"dd/mm")&amp;")")))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16">
        <f>IF($B229="","",'Config'!$B$11+'Config'!$B$12)</f>
      </c>
      <c r="H229" s="16">
        <f>IF($B229="","",$F229+$G229)</f>
      </c>
      <c r="I229" s="20"/>
      <c r="J229" s="20"/>
      <c r="K229" s="14">
        <f>IF(OR($B229="",$J229&lt;&gt;"Sí"),"",IF(DAY($A229)&lt;='Config'!$B$13,DATE(YEAR($A229),MONTH($A229),'Config'!$B$13),EOMONTH($A229,0)+'Config'!$B$13))</f>
      </c>
      <c r="L229" s="14">
        <f>IF($K229="","",DATE(YEAR(EOMONTH($K229,0)+1),MONTH(EOMONTH($K229,0)+1),'Config'!$B$14))</f>
      </c>
      <c r="M229" s="22"/>
      <c r="N229" s="16">
        <f>IF($B229="","",MAX($H229-$M229,0))</f>
      </c>
      <c r="O229" s="19">
        <f>IF($B229="","",IF($J229&lt;&gt;"Sí","Pagado (contado)",IF($N229&lt;=0,"Pagado",IF($M229&gt;0,"Abono parcial","Pendiente"))))</f>
      </c>
      <c r="P229" s="19">
        <f>IF(OR($B229="",$J229&lt;&gt;"Sí",$N229&lt;=0),"",IF(TODAY()&gt;$L229,"🔴 VENCIDO hace "&amp;(TODAY()-$L229)&amp;" día(s)",IF($L229-TODAY()&lt;='Config'!$B$15,"🟠 Faltan "&amp;($L229-TODAY())&amp;" día(s) para pagar","🟢 Al día (paga el "&amp;TEXT($L229,"dd/mm")&amp;")")))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16">
        <f>IF($B230="","",'Config'!$B$11+'Config'!$B$12)</f>
      </c>
      <c r="H230" s="16">
        <f>IF($B230="","",$F230+$G230)</f>
      </c>
      <c r="I230" s="20"/>
      <c r="J230" s="20"/>
      <c r="K230" s="14">
        <f>IF(OR($B230="",$J230&lt;&gt;"Sí"),"",IF(DAY($A230)&lt;='Config'!$B$13,DATE(YEAR($A230),MONTH($A230),'Config'!$B$13),EOMONTH($A230,0)+'Config'!$B$13))</f>
      </c>
      <c r="L230" s="14">
        <f>IF($K230="","",DATE(YEAR(EOMONTH($K230,0)+1),MONTH(EOMONTH($K230,0)+1),'Config'!$B$14))</f>
      </c>
      <c r="M230" s="22"/>
      <c r="N230" s="16">
        <f>IF($B230="","",MAX($H230-$M230,0))</f>
      </c>
      <c r="O230" s="19">
        <f>IF($B230="","",IF($J230&lt;&gt;"Sí","Pagado (contado)",IF($N230&lt;=0,"Pagado",IF($M230&gt;0,"Abono parcial","Pendiente"))))</f>
      </c>
      <c r="P230" s="19">
        <f>IF(OR($B230="",$J230&lt;&gt;"Sí",$N230&lt;=0),"",IF(TODAY()&gt;$L230,"🔴 VENCIDO hace "&amp;(TODAY()-$L230)&amp;" día(s)",IF($L230-TODAY()&lt;='Config'!$B$15,"🟠 Faltan "&amp;($L230-TODAY())&amp;" día(s) para pagar","🟢 Al día (paga el "&amp;TEXT($L230,"dd/mm")&amp;")")))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16">
        <f>IF($B231="","",'Config'!$B$11+'Config'!$B$12)</f>
      </c>
      <c r="H231" s="16">
        <f>IF($B231="","",$F231+$G231)</f>
      </c>
      <c r="I231" s="20"/>
      <c r="J231" s="20"/>
      <c r="K231" s="14">
        <f>IF(OR($B231="",$J231&lt;&gt;"Sí"),"",IF(DAY($A231)&lt;='Config'!$B$13,DATE(YEAR($A231),MONTH($A231),'Config'!$B$13),EOMONTH($A231,0)+'Config'!$B$13))</f>
      </c>
      <c r="L231" s="14">
        <f>IF($K231="","",DATE(YEAR(EOMONTH($K231,0)+1),MONTH(EOMONTH($K231,0)+1),'Config'!$B$14))</f>
      </c>
      <c r="M231" s="22"/>
      <c r="N231" s="16">
        <f>IF($B231="","",MAX($H231-$M231,0))</f>
      </c>
      <c r="O231" s="19">
        <f>IF($B231="","",IF($J231&lt;&gt;"Sí","Pagado (contado)",IF($N231&lt;=0,"Pagado",IF($M231&gt;0,"Abono parcial","Pendiente"))))</f>
      </c>
      <c r="P231" s="19">
        <f>IF(OR($B231="",$J231&lt;&gt;"Sí",$N231&lt;=0),"",IF(TODAY()&gt;$L231,"🔴 VENCIDO hace "&amp;(TODAY()-$L231)&amp;" día(s)",IF($L231-TODAY()&lt;='Config'!$B$15,"🟠 Faltan "&amp;($L231-TODAY())&amp;" día(s) para pagar","🟢 Al día (paga el "&amp;TEXT($L231,"dd/mm")&amp;")")))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16">
        <f>IF($B232="","",'Config'!$B$11+'Config'!$B$12)</f>
      </c>
      <c r="H232" s="16">
        <f>IF($B232="","",$F232+$G232)</f>
      </c>
      <c r="I232" s="20"/>
      <c r="J232" s="20"/>
      <c r="K232" s="14">
        <f>IF(OR($B232="",$J232&lt;&gt;"Sí"),"",IF(DAY($A232)&lt;='Config'!$B$13,DATE(YEAR($A232),MONTH($A232),'Config'!$B$13),EOMONTH($A232,0)+'Config'!$B$13))</f>
      </c>
      <c r="L232" s="14">
        <f>IF($K232="","",DATE(YEAR(EOMONTH($K232,0)+1),MONTH(EOMONTH($K232,0)+1),'Config'!$B$14))</f>
      </c>
      <c r="M232" s="22"/>
      <c r="N232" s="16">
        <f>IF($B232="","",MAX($H232-$M232,0))</f>
      </c>
      <c r="O232" s="19">
        <f>IF($B232="","",IF($J232&lt;&gt;"Sí","Pagado (contado)",IF($N232&lt;=0,"Pagado",IF($M232&gt;0,"Abono parcial","Pendiente"))))</f>
      </c>
      <c r="P232" s="19">
        <f>IF(OR($B232="",$J232&lt;&gt;"Sí",$N232&lt;=0),"",IF(TODAY()&gt;$L232,"🔴 VENCIDO hace "&amp;(TODAY()-$L232)&amp;" día(s)",IF($L232-TODAY()&lt;='Config'!$B$15,"🟠 Faltan "&amp;($L232-TODAY())&amp;" día(s) para pagar","🟢 Al día (paga el "&amp;TEXT($L232,"dd/mm")&amp;")")))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16">
        <f>IF($B233="","",'Config'!$B$11+'Config'!$B$12)</f>
      </c>
      <c r="H233" s="16">
        <f>IF($B233="","",$F233+$G233)</f>
      </c>
      <c r="I233" s="20"/>
      <c r="J233" s="20"/>
      <c r="K233" s="14">
        <f>IF(OR($B233="",$J233&lt;&gt;"Sí"),"",IF(DAY($A233)&lt;='Config'!$B$13,DATE(YEAR($A233),MONTH($A233),'Config'!$B$13),EOMONTH($A233,0)+'Config'!$B$13))</f>
      </c>
      <c r="L233" s="14">
        <f>IF($K233="","",DATE(YEAR(EOMONTH($K233,0)+1),MONTH(EOMONTH($K233,0)+1),'Config'!$B$14))</f>
      </c>
      <c r="M233" s="22"/>
      <c r="N233" s="16">
        <f>IF($B233="","",MAX($H233-$M233,0))</f>
      </c>
      <c r="O233" s="19">
        <f>IF($B233="","",IF($J233&lt;&gt;"Sí","Pagado (contado)",IF($N233&lt;=0,"Pagado",IF($M233&gt;0,"Abono parcial","Pendiente"))))</f>
      </c>
      <c r="P233" s="19">
        <f>IF(OR($B233="",$J233&lt;&gt;"Sí",$N233&lt;=0),"",IF(TODAY()&gt;$L233,"🔴 VENCIDO hace "&amp;(TODAY()-$L233)&amp;" día(s)",IF($L233-TODAY()&lt;='Config'!$B$15,"🟠 Faltan "&amp;($L233-TODAY())&amp;" día(s) para pagar","🟢 Al día (paga el "&amp;TEXT($L233,"dd/mm")&amp;")")))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16">
        <f>IF($B234="","",'Config'!$B$11+'Config'!$B$12)</f>
      </c>
      <c r="H234" s="16">
        <f>IF($B234="","",$F234+$G234)</f>
      </c>
      <c r="I234" s="20"/>
      <c r="J234" s="20"/>
      <c r="K234" s="14">
        <f>IF(OR($B234="",$J234&lt;&gt;"Sí"),"",IF(DAY($A234)&lt;='Config'!$B$13,DATE(YEAR($A234),MONTH($A234),'Config'!$B$13),EOMONTH($A234,0)+'Config'!$B$13))</f>
      </c>
      <c r="L234" s="14">
        <f>IF($K234="","",DATE(YEAR(EOMONTH($K234,0)+1),MONTH(EOMONTH($K234,0)+1),'Config'!$B$14))</f>
      </c>
      <c r="M234" s="22"/>
      <c r="N234" s="16">
        <f>IF($B234="","",MAX($H234-$M234,0))</f>
      </c>
      <c r="O234" s="19">
        <f>IF($B234="","",IF($J234&lt;&gt;"Sí","Pagado (contado)",IF($N234&lt;=0,"Pagado",IF($M234&gt;0,"Abono parcial","Pendiente"))))</f>
      </c>
      <c r="P234" s="19">
        <f>IF(OR($B234="",$J234&lt;&gt;"Sí",$N234&lt;=0),"",IF(TODAY()&gt;$L234,"🔴 VENCIDO hace "&amp;(TODAY()-$L234)&amp;" día(s)",IF($L234-TODAY()&lt;='Config'!$B$15,"🟠 Faltan "&amp;($L234-TODAY())&amp;" día(s) para pagar","🟢 Al día (paga el "&amp;TEXT($L234,"dd/mm")&amp;")")))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16">
        <f>IF($B235="","",'Config'!$B$11+'Config'!$B$12)</f>
      </c>
      <c r="H235" s="16">
        <f>IF($B235="","",$F235+$G235)</f>
      </c>
      <c r="I235" s="20"/>
      <c r="J235" s="20"/>
      <c r="K235" s="14">
        <f>IF(OR($B235="",$J235&lt;&gt;"Sí"),"",IF(DAY($A235)&lt;='Config'!$B$13,DATE(YEAR($A235),MONTH($A235),'Config'!$B$13),EOMONTH($A235,0)+'Config'!$B$13))</f>
      </c>
      <c r="L235" s="14">
        <f>IF($K235="","",DATE(YEAR(EOMONTH($K235,0)+1),MONTH(EOMONTH($K235,0)+1),'Config'!$B$14))</f>
      </c>
      <c r="M235" s="22"/>
      <c r="N235" s="16">
        <f>IF($B235="","",MAX($H235-$M235,0))</f>
      </c>
      <c r="O235" s="19">
        <f>IF($B235="","",IF($J235&lt;&gt;"Sí","Pagado (contado)",IF($N235&lt;=0,"Pagado",IF($M235&gt;0,"Abono parcial","Pendiente"))))</f>
      </c>
      <c r="P235" s="19">
        <f>IF(OR($B235="",$J235&lt;&gt;"Sí",$N235&lt;=0),"",IF(TODAY()&gt;$L235,"🔴 VENCIDO hace "&amp;(TODAY()-$L235)&amp;" día(s)",IF($L235-TODAY()&lt;='Config'!$B$15,"🟠 Faltan "&amp;($L235-TODAY())&amp;" día(s) para pagar","🟢 Al día (paga el "&amp;TEXT($L235,"dd/mm")&amp;")")))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16">
        <f>IF($B236="","",'Config'!$B$11+'Config'!$B$12)</f>
      </c>
      <c r="H236" s="16">
        <f>IF($B236="","",$F236+$G236)</f>
      </c>
      <c r="I236" s="20"/>
      <c r="J236" s="20"/>
      <c r="K236" s="14">
        <f>IF(OR($B236="",$J236&lt;&gt;"Sí"),"",IF(DAY($A236)&lt;='Config'!$B$13,DATE(YEAR($A236),MONTH($A236),'Config'!$B$13),EOMONTH($A236,0)+'Config'!$B$13))</f>
      </c>
      <c r="L236" s="14">
        <f>IF($K236="","",DATE(YEAR(EOMONTH($K236,0)+1),MONTH(EOMONTH($K236,0)+1),'Config'!$B$14))</f>
      </c>
      <c r="M236" s="22"/>
      <c r="N236" s="16">
        <f>IF($B236="","",MAX($H236-$M236,0))</f>
      </c>
      <c r="O236" s="19">
        <f>IF($B236="","",IF($J236&lt;&gt;"Sí","Pagado (contado)",IF($N236&lt;=0,"Pagado",IF($M236&gt;0,"Abono parcial","Pendiente"))))</f>
      </c>
      <c r="P236" s="19">
        <f>IF(OR($B236="",$J236&lt;&gt;"Sí",$N236&lt;=0),"",IF(TODAY()&gt;$L236,"🔴 VENCIDO hace "&amp;(TODAY()-$L236)&amp;" día(s)",IF($L236-TODAY()&lt;='Config'!$B$15,"🟠 Faltan "&amp;($L236-TODAY())&amp;" día(s) para pagar","🟢 Al día (paga el "&amp;TEXT($L236,"dd/mm")&amp;")")))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16">
        <f>IF($B237="","",'Config'!$B$11+'Config'!$B$12)</f>
      </c>
      <c r="H237" s="16">
        <f>IF($B237="","",$F237+$G237)</f>
      </c>
      <c r="I237" s="20"/>
      <c r="J237" s="20"/>
      <c r="K237" s="14">
        <f>IF(OR($B237="",$J237&lt;&gt;"Sí"),"",IF(DAY($A237)&lt;='Config'!$B$13,DATE(YEAR($A237),MONTH($A237),'Config'!$B$13),EOMONTH($A237,0)+'Config'!$B$13))</f>
      </c>
      <c r="L237" s="14">
        <f>IF($K237="","",DATE(YEAR(EOMONTH($K237,0)+1),MONTH(EOMONTH($K237,0)+1),'Config'!$B$14))</f>
      </c>
      <c r="M237" s="22"/>
      <c r="N237" s="16">
        <f>IF($B237="","",MAX($H237-$M237,0))</f>
      </c>
      <c r="O237" s="19">
        <f>IF($B237="","",IF($J237&lt;&gt;"Sí","Pagado (contado)",IF($N237&lt;=0,"Pagado",IF($M237&gt;0,"Abono parcial","Pendiente"))))</f>
      </c>
      <c r="P237" s="19">
        <f>IF(OR($B237="",$J237&lt;&gt;"Sí",$N237&lt;=0),"",IF(TODAY()&gt;$L237,"🔴 VENCIDO hace "&amp;(TODAY()-$L237)&amp;" día(s)",IF($L237-TODAY()&lt;='Config'!$B$15,"🟠 Faltan "&amp;($L237-TODAY())&amp;" día(s) para pagar","🟢 Al día (paga el "&amp;TEXT($L237,"dd/mm")&amp;")")))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16">
        <f>IF($B238="","",'Config'!$B$11+'Config'!$B$12)</f>
      </c>
      <c r="H238" s="16">
        <f>IF($B238="","",$F238+$G238)</f>
      </c>
      <c r="I238" s="20"/>
      <c r="J238" s="20"/>
      <c r="K238" s="14">
        <f>IF(OR($B238="",$J238&lt;&gt;"Sí"),"",IF(DAY($A238)&lt;='Config'!$B$13,DATE(YEAR($A238),MONTH($A238),'Config'!$B$13),EOMONTH($A238,0)+'Config'!$B$13))</f>
      </c>
      <c r="L238" s="14">
        <f>IF($K238="","",DATE(YEAR(EOMONTH($K238,0)+1),MONTH(EOMONTH($K238,0)+1),'Config'!$B$14))</f>
      </c>
      <c r="M238" s="22"/>
      <c r="N238" s="16">
        <f>IF($B238="","",MAX($H238-$M238,0))</f>
      </c>
      <c r="O238" s="19">
        <f>IF($B238="","",IF($J238&lt;&gt;"Sí","Pagado (contado)",IF($N238&lt;=0,"Pagado",IF($M238&gt;0,"Abono parcial","Pendiente"))))</f>
      </c>
      <c r="P238" s="19">
        <f>IF(OR($B238="",$J238&lt;&gt;"Sí",$N238&lt;=0),"",IF(TODAY()&gt;$L238,"🔴 VENCIDO hace "&amp;(TODAY()-$L238)&amp;" día(s)",IF($L238-TODAY()&lt;='Config'!$B$15,"🟠 Faltan "&amp;($L238-TODAY())&amp;" día(s) para pagar","🟢 Al día (paga el "&amp;TEXT($L238,"dd/mm")&amp;")")))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16">
        <f>IF($B239="","",'Config'!$B$11+'Config'!$B$12)</f>
      </c>
      <c r="H239" s="16">
        <f>IF($B239="","",$F239+$G239)</f>
      </c>
      <c r="I239" s="20"/>
      <c r="J239" s="20"/>
      <c r="K239" s="14">
        <f>IF(OR($B239="",$J239&lt;&gt;"Sí"),"",IF(DAY($A239)&lt;='Config'!$B$13,DATE(YEAR($A239),MONTH($A239),'Config'!$B$13),EOMONTH($A239,0)+'Config'!$B$13))</f>
      </c>
      <c r="L239" s="14">
        <f>IF($K239="","",DATE(YEAR(EOMONTH($K239,0)+1),MONTH(EOMONTH($K239,0)+1),'Config'!$B$14))</f>
      </c>
      <c r="M239" s="22"/>
      <c r="N239" s="16">
        <f>IF($B239="","",MAX($H239-$M239,0))</f>
      </c>
      <c r="O239" s="19">
        <f>IF($B239="","",IF($J239&lt;&gt;"Sí","Pagado (contado)",IF($N239&lt;=0,"Pagado",IF($M239&gt;0,"Abono parcial","Pendiente"))))</f>
      </c>
      <c r="P239" s="19">
        <f>IF(OR($B239="",$J239&lt;&gt;"Sí",$N239&lt;=0),"",IF(TODAY()&gt;$L239,"🔴 VENCIDO hace "&amp;(TODAY()-$L239)&amp;" día(s)",IF($L239-TODAY()&lt;='Config'!$B$15,"🟠 Faltan "&amp;($L239-TODAY())&amp;" día(s) para pagar","🟢 Al día (paga el "&amp;TEXT($L239,"dd/mm")&amp;")")))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16">
        <f>IF($B240="","",'Config'!$B$11+'Config'!$B$12)</f>
      </c>
      <c r="H240" s="16">
        <f>IF($B240="","",$F240+$G240)</f>
      </c>
      <c r="I240" s="20"/>
      <c r="J240" s="20"/>
      <c r="K240" s="14">
        <f>IF(OR($B240="",$J240&lt;&gt;"Sí"),"",IF(DAY($A240)&lt;='Config'!$B$13,DATE(YEAR($A240),MONTH($A240),'Config'!$B$13),EOMONTH($A240,0)+'Config'!$B$13))</f>
      </c>
      <c r="L240" s="14">
        <f>IF($K240="","",DATE(YEAR(EOMONTH($K240,0)+1),MONTH(EOMONTH($K240,0)+1),'Config'!$B$14))</f>
      </c>
      <c r="M240" s="22"/>
      <c r="N240" s="16">
        <f>IF($B240="","",MAX($H240-$M240,0))</f>
      </c>
      <c r="O240" s="19">
        <f>IF($B240="","",IF($J240&lt;&gt;"Sí","Pagado (contado)",IF($N240&lt;=0,"Pagado",IF($M240&gt;0,"Abono parcial","Pendiente"))))</f>
      </c>
      <c r="P240" s="19">
        <f>IF(OR($B240="",$J240&lt;&gt;"Sí",$N240&lt;=0),"",IF(TODAY()&gt;$L240,"🔴 VENCIDO hace "&amp;(TODAY()-$L240)&amp;" día(s)",IF($L240-TODAY()&lt;='Config'!$B$15,"🟠 Faltan "&amp;($L240-TODAY())&amp;" día(s) para pagar","🟢 Al día (paga el "&amp;TEXT($L240,"dd/mm")&amp;")")))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16">
        <f>IF($B241="","",'Config'!$B$11+'Config'!$B$12)</f>
      </c>
      <c r="H241" s="16">
        <f>IF($B241="","",$F241+$G241)</f>
      </c>
      <c r="I241" s="20"/>
      <c r="J241" s="20"/>
      <c r="K241" s="14">
        <f>IF(OR($B241="",$J241&lt;&gt;"Sí"),"",IF(DAY($A241)&lt;='Config'!$B$13,DATE(YEAR($A241),MONTH($A241),'Config'!$B$13),EOMONTH($A241,0)+'Config'!$B$13))</f>
      </c>
      <c r="L241" s="14">
        <f>IF($K241="","",DATE(YEAR(EOMONTH($K241,0)+1),MONTH(EOMONTH($K241,0)+1),'Config'!$B$14))</f>
      </c>
      <c r="M241" s="22"/>
      <c r="N241" s="16">
        <f>IF($B241="","",MAX($H241-$M241,0))</f>
      </c>
      <c r="O241" s="19">
        <f>IF($B241="","",IF($J241&lt;&gt;"Sí","Pagado (contado)",IF($N241&lt;=0,"Pagado",IF($M241&gt;0,"Abono parcial","Pendiente"))))</f>
      </c>
      <c r="P241" s="19">
        <f>IF(OR($B241="",$J241&lt;&gt;"Sí",$N241&lt;=0),"",IF(TODAY()&gt;$L241,"🔴 VENCIDO hace "&amp;(TODAY()-$L241)&amp;" día(s)",IF($L241-TODAY()&lt;='Config'!$B$15,"🟠 Faltan "&amp;($L241-TODAY())&amp;" día(s) para pagar","🟢 Al día (paga el "&amp;TEXT($L241,"dd/mm")&amp;")")))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16">
        <f>IF($B242="","",'Config'!$B$11+'Config'!$B$12)</f>
      </c>
      <c r="H242" s="16">
        <f>IF($B242="","",$F242+$G242)</f>
      </c>
      <c r="I242" s="20"/>
      <c r="J242" s="20"/>
      <c r="K242" s="14">
        <f>IF(OR($B242="",$J242&lt;&gt;"Sí"),"",IF(DAY($A242)&lt;='Config'!$B$13,DATE(YEAR($A242),MONTH($A242),'Config'!$B$13),EOMONTH($A242,0)+'Config'!$B$13))</f>
      </c>
      <c r="L242" s="14">
        <f>IF($K242="","",DATE(YEAR(EOMONTH($K242,0)+1),MONTH(EOMONTH($K242,0)+1),'Config'!$B$14))</f>
      </c>
      <c r="M242" s="22"/>
      <c r="N242" s="16">
        <f>IF($B242="","",MAX($H242-$M242,0))</f>
      </c>
      <c r="O242" s="19">
        <f>IF($B242="","",IF($J242&lt;&gt;"Sí","Pagado (contado)",IF($N242&lt;=0,"Pagado",IF($M242&gt;0,"Abono parcial","Pendiente"))))</f>
      </c>
      <c r="P242" s="19">
        <f>IF(OR($B242="",$J242&lt;&gt;"Sí",$N242&lt;=0),"",IF(TODAY()&gt;$L242,"🔴 VENCIDO hace "&amp;(TODAY()-$L242)&amp;" día(s)",IF($L242-TODAY()&lt;='Config'!$B$15,"🟠 Faltan "&amp;($L242-TODAY())&amp;" día(s) para pagar","🟢 Al día (paga el "&amp;TEXT($L242,"dd/mm")&amp;")")))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16">
        <f>IF($B243="","",'Config'!$B$11+'Config'!$B$12)</f>
      </c>
      <c r="H243" s="16">
        <f>IF($B243="","",$F243+$G243)</f>
      </c>
      <c r="I243" s="20"/>
      <c r="J243" s="20"/>
      <c r="K243" s="14">
        <f>IF(OR($B243="",$J243&lt;&gt;"Sí"),"",IF(DAY($A243)&lt;='Config'!$B$13,DATE(YEAR($A243),MONTH($A243),'Config'!$B$13),EOMONTH($A243,0)+'Config'!$B$13))</f>
      </c>
      <c r="L243" s="14">
        <f>IF($K243="","",DATE(YEAR(EOMONTH($K243,0)+1),MONTH(EOMONTH($K243,0)+1),'Config'!$B$14))</f>
      </c>
      <c r="M243" s="22"/>
      <c r="N243" s="16">
        <f>IF($B243="","",MAX($H243-$M243,0))</f>
      </c>
      <c r="O243" s="19">
        <f>IF($B243="","",IF($J243&lt;&gt;"Sí","Pagado (contado)",IF($N243&lt;=0,"Pagado",IF($M243&gt;0,"Abono parcial","Pendiente"))))</f>
      </c>
      <c r="P243" s="19">
        <f>IF(OR($B243="",$J243&lt;&gt;"Sí",$N243&lt;=0),"",IF(TODAY()&gt;$L243,"🔴 VENCIDO hace "&amp;(TODAY()-$L243)&amp;" día(s)",IF($L243-TODAY()&lt;='Config'!$B$15,"🟠 Faltan "&amp;($L243-TODAY())&amp;" día(s) para pagar","🟢 Al día (paga el "&amp;TEXT($L243,"dd/mm")&amp;")")))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16">
        <f>IF($B244="","",'Config'!$B$11+'Config'!$B$12)</f>
      </c>
      <c r="H244" s="16">
        <f>IF($B244="","",$F244+$G244)</f>
      </c>
      <c r="I244" s="20"/>
      <c r="J244" s="20"/>
      <c r="K244" s="14">
        <f>IF(OR($B244="",$J244&lt;&gt;"Sí"),"",IF(DAY($A244)&lt;='Config'!$B$13,DATE(YEAR($A244),MONTH($A244),'Config'!$B$13),EOMONTH($A244,0)+'Config'!$B$13))</f>
      </c>
      <c r="L244" s="14">
        <f>IF($K244="","",DATE(YEAR(EOMONTH($K244,0)+1),MONTH(EOMONTH($K244,0)+1),'Config'!$B$14))</f>
      </c>
      <c r="M244" s="22"/>
      <c r="N244" s="16">
        <f>IF($B244="","",MAX($H244-$M244,0))</f>
      </c>
      <c r="O244" s="19">
        <f>IF($B244="","",IF($J244&lt;&gt;"Sí","Pagado (contado)",IF($N244&lt;=0,"Pagado",IF($M244&gt;0,"Abono parcial","Pendiente"))))</f>
      </c>
      <c r="P244" s="19">
        <f>IF(OR($B244="",$J244&lt;&gt;"Sí",$N244&lt;=0),"",IF(TODAY()&gt;$L244,"🔴 VENCIDO hace "&amp;(TODAY()-$L244)&amp;" día(s)",IF($L244-TODAY()&lt;='Config'!$B$15,"🟠 Faltan "&amp;($L244-TODAY())&amp;" día(s) para pagar","🟢 Al día (paga el "&amp;TEXT($L244,"dd/mm")&amp;")")))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16">
        <f>IF($B245="","",'Config'!$B$11+'Config'!$B$12)</f>
      </c>
      <c r="H245" s="16">
        <f>IF($B245="","",$F245+$G245)</f>
      </c>
      <c r="I245" s="20"/>
      <c r="J245" s="20"/>
      <c r="K245" s="14">
        <f>IF(OR($B245="",$J245&lt;&gt;"Sí"),"",IF(DAY($A245)&lt;='Config'!$B$13,DATE(YEAR($A245),MONTH($A245),'Config'!$B$13),EOMONTH($A245,0)+'Config'!$B$13))</f>
      </c>
      <c r="L245" s="14">
        <f>IF($K245="","",DATE(YEAR(EOMONTH($K245,0)+1),MONTH(EOMONTH($K245,0)+1),'Config'!$B$14))</f>
      </c>
      <c r="M245" s="22"/>
      <c r="N245" s="16">
        <f>IF($B245="","",MAX($H245-$M245,0))</f>
      </c>
      <c r="O245" s="19">
        <f>IF($B245="","",IF($J245&lt;&gt;"Sí","Pagado (contado)",IF($N245&lt;=0,"Pagado",IF($M245&gt;0,"Abono parcial","Pendiente"))))</f>
      </c>
      <c r="P245" s="19">
        <f>IF(OR($B245="",$J245&lt;&gt;"Sí",$N245&lt;=0),"",IF(TODAY()&gt;$L245,"🔴 VENCIDO hace "&amp;(TODAY()-$L245)&amp;" día(s)",IF($L245-TODAY()&lt;='Config'!$B$15,"🟠 Faltan "&amp;($L245-TODAY())&amp;" día(s) para pagar","🟢 Al día (paga el "&amp;TEXT($L245,"dd/mm")&amp;")")))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16">
        <f>IF($B246="","",'Config'!$B$11+'Config'!$B$12)</f>
      </c>
      <c r="H246" s="16">
        <f>IF($B246="","",$F246+$G246)</f>
      </c>
      <c r="I246" s="20"/>
      <c r="J246" s="20"/>
      <c r="K246" s="14">
        <f>IF(OR($B246="",$J246&lt;&gt;"Sí"),"",IF(DAY($A246)&lt;='Config'!$B$13,DATE(YEAR($A246),MONTH($A246),'Config'!$B$13),EOMONTH($A246,0)+'Config'!$B$13))</f>
      </c>
      <c r="L246" s="14">
        <f>IF($K246="","",DATE(YEAR(EOMONTH($K246,0)+1),MONTH(EOMONTH($K246,0)+1),'Config'!$B$14))</f>
      </c>
      <c r="M246" s="22"/>
      <c r="N246" s="16">
        <f>IF($B246="","",MAX($H246-$M246,0))</f>
      </c>
      <c r="O246" s="19">
        <f>IF($B246="","",IF($J246&lt;&gt;"Sí","Pagado (contado)",IF($N246&lt;=0,"Pagado",IF($M246&gt;0,"Abono parcial","Pendiente"))))</f>
      </c>
      <c r="P246" s="19">
        <f>IF(OR($B246="",$J246&lt;&gt;"Sí",$N246&lt;=0),"",IF(TODAY()&gt;$L246,"🔴 VENCIDO hace "&amp;(TODAY()-$L246)&amp;" día(s)",IF($L246-TODAY()&lt;='Config'!$B$15,"🟠 Faltan "&amp;($L246-TODAY())&amp;" día(s) para pagar","🟢 Al día (paga el "&amp;TEXT($L246,"dd/mm")&amp;")")))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16">
        <f>IF($B247="","",'Config'!$B$11+'Config'!$B$12)</f>
      </c>
      <c r="H247" s="16">
        <f>IF($B247="","",$F247+$G247)</f>
      </c>
      <c r="I247" s="20"/>
      <c r="J247" s="20"/>
      <c r="K247" s="14">
        <f>IF(OR($B247="",$J247&lt;&gt;"Sí"),"",IF(DAY($A247)&lt;='Config'!$B$13,DATE(YEAR($A247),MONTH($A247),'Config'!$B$13),EOMONTH($A247,0)+'Config'!$B$13))</f>
      </c>
      <c r="L247" s="14">
        <f>IF($K247="","",DATE(YEAR(EOMONTH($K247,0)+1),MONTH(EOMONTH($K247,0)+1),'Config'!$B$14))</f>
      </c>
      <c r="M247" s="22"/>
      <c r="N247" s="16">
        <f>IF($B247="","",MAX($H247-$M247,0))</f>
      </c>
      <c r="O247" s="19">
        <f>IF($B247="","",IF($J247&lt;&gt;"Sí","Pagado (contado)",IF($N247&lt;=0,"Pagado",IF($M247&gt;0,"Abono parcial","Pendiente"))))</f>
      </c>
      <c r="P247" s="19">
        <f>IF(OR($B247="",$J247&lt;&gt;"Sí",$N247&lt;=0),"",IF(TODAY()&gt;$L247,"🔴 VENCIDO hace "&amp;(TODAY()-$L247)&amp;" día(s)",IF($L247-TODAY()&lt;='Config'!$B$15,"🟠 Faltan "&amp;($L247-TODAY())&amp;" día(s) para pagar","🟢 Al día (paga el "&amp;TEXT($L247,"dd/mm")&amp;")")))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16">
        <f>IF($B248="","",'Config'!$B$11+'Config'!$B$12)</f>
      </c>
      <c r="H248" s="16">
        <f>IF($B248="","",$F248+$G248)</f>
      </c>
      <c r="I248" s="20"/>
      <c r="J248" s="20"/>
      <c r="K248" s="14">
        <f>IF(OR($B248="",$J248&lt;&gt;"Sí"),"",IF(DAY($A248)&lt;='Config'!$B$13,DATE(YEAR($A248),MONTH($A248),'Config'!$B$13),EOMONTH($A248,0)+'Config'!$B$13))</f>
      </c>
      <c r="L248" s="14">
        <f>IF($K248="","",DATE(YEAR(EOMONTH($K248,0)+1),MONTH(EOMONTH($K248,0)+1),'Config'!$B$14))</f>
      </c>
      <c r="M248" s="22"/>
      <c r="N248" s="16">
        <f>IF($B248="","",MAX($H248-$M248,0))</f>
      </c>
      <c r="O248" s="19">
        <f>IF($B248="","",IF($J248&lt;&gt;"Sí","Pagado (contado)",IF($N248&lt;=0,"Pagado",IF($M248&gt;0,"Abono parcial","Pendiente"))))</f>
      </c>
      <c r="P248" s="19">
        <f>IF(OR($B248="",$J248&lt;&gt;"Sí",$N248&lt;=0),"",IF(TODAY()&gt;$L248,"🔴 VENCIDO hace "&amp;(TODAY()-$L248)&amp;" día(s)",IF($L248-TODAY()&lt;='Config'!$B$15,"🟠 Faltan "&amp;($L248-TODAY())&amp;" día(s) para pagar","🟢 Al día (paga el "&amp;TEXT($L248,"dd/mm")&amp;")")))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16">
        <f>IF($B249="","",'Config'!$B$11+'Config'!$B$12)</f>
      </c>
      <c r="H249" s="16">
        <f>IF($B249="","",$F249+$G249)</f>
      </c>
      <c r="I249" s="20"/>
      <c r="J249" s="20"/>
      <c r="K249" s="14">
        <f>IF(OR($B249="",$J249&lt;&gt;"Sí"),"",IF(DAY($A249)&lt;='Config'!$B$13,DATE(YEAR($A249),MONTH($A249),'Config'!$B$13),EOMONTH($A249,0)+'Config'!$B$13))</f>
      </c>
      <c r="L249" s="14">
        <f>IF($K249="","",DATE(YEAR(EOMONTH($K249,0)+1),MONTH(EOMONTH($K249,0)+1),'Config'!$B$14))</f>
      </c>
      <c r="M249" s="22"/>
      <c r="N249" s="16">
        <f>IF($B249="","",MAX($H249-$M249,0))</f>
      </c>
      <c r="O249" s="19">
        <f>IF($B249="","",IF($J249&lt;&gt;"Sí","Pagado (contado)",IF($N249&lt;=0,"Pagado",IF($M249&gt;0,"Abono parcial","Pendiente"))))</f>
      </c>
      <c r="P249" s="19">
        <f>IF(OR($B249="",$J249&lt;&gt;"Sí",$N249&lt;=0),"",IF(TODAY()&gt;$L249,"🔴 VENCIDO hace "&amp;(TODAY()-$L249)&amp;" día(s)",IF($L249-TODAY()&lt;='Config'!$B$15,"🟠 Faltan "&amp;($L249-TODAY())&amp;" día(s) para pagar","🟢 Al día (paga el "&amp;TEXT($L249,"dd/mm")&amp;")")))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16">
        <f>IF($B250="","",'Config'!$B$11+'Config'!$B$12)</f>
      </c>
      <c r="H250" s="16">
        <f>IF($B250="","",$F250+$G250)</f>
      </c>
      <c r="I250" s="20"/>
      <c r="J250" s="20"/>
      <c r="K250" s="14">
        <f>IF(OR($B250="",$J250&lt;&gt;"Sí"),"",IF(DAY($A250)&lt;='Config'!$B$13,DATE(YEAR($A250),MONTH($A250),'Config'!$B$13),EOMONTH($A250,0)+'Config'!$B$13))</f>
      </c>
      <c r="L250" s="14">
        <f>IF($K250="","",DATE(YEAR(EOMONTH($K250,0)+1),MONTH(EOMONTH($K250,0)+1),'Config'!$B$14))</f>
      </c>
      <c r="M250" s="22"/>
      <c r="N250" s="16">
        <f>IF($B250="","",MAX($H250-$M250,0))</f>
      </c>
      <c r="O250" s="19">
        <f>IF($B250="","",IF($J250&lt;&gt;"Sí","Pagado (contado)",IF($N250&lt;=0,"Pagado",IF($M250&gt;0,"Abono parcial","Pendiente"))))</f>
      </c>
      <c r="P250" s="19">
        <f>IF(OR($B250="",$J250&lt;&gt;"Sí",$N250&lt;=0),"",IF(TODAY()&gt;$L250,"🔴 VENCIDO hace "&amp;(TODAY()-$L250)&amp;" día(s)",IF($L250-TODAY()&lt;='Config'!$B$15,"🟠 Faltan "&amp;($L250-TODAY())&amp;" día(s) para pagar","🟢 Al día (paga el "&amp;TEXT($L250,"dd/mm")&amp;")")))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16">
        <f>IF($B251="","",'Config'!$B$11+'Config'!$B$12)</f>
      </c>
      <c r="H251" s="16">
        <f>IF($B251="","",$F251+$G251)</f>
      </c>
      <c r="I251" s="20"/>
      <c r="J251" s="20"/>
      <c r="K251" s="14">
        <f>IF(OR($B251="",$J251&lt;&gt;"Sí"),"",IF(DAY($A251)&lt;='Config'!$B$13,DATE(YEAR($A251),MONTH($A251),'Config'!$B$13),EOMONTH($A251,0)+'Config'!$B$13))</f>
      </c>
      <c r="L251" s="14">
        <f>IF($K251="","",DATE(YEAR(EOMONTH($K251,0)+1),MONTH(EOMONTH($K251,0)+1),'Config'!$B$14))</f>
      </c>
      <c r="M251" s="22"/>
      <c r="N251" s="16">
        <f>IF($B251="","",MAX($H251-$M251,0))</f>
      </c>
      <c r="O251" s="19">
        <f>IF($B251="","",IF($J251&lt;&gt;"Sí","Pagado (contado)",IF($N251&lt;=0,"Pagado",IF($M251&gt;0,"Abono parcial","Pendiente"))))</f>
      </c>
      <c r="P251" s="19">
        <f>IF(OR($B251="",$J251&lt;&gt;"Sí",$N251&lt;=0),"",IF(TODAY()&gt;$L251,"🔴 VENCIDO hace "&amp;(TODAY()-$L251)&amp;" día(s)",IF($L251-TODAY()&lt;='Config'!$B$15,"🟠 Faltan "&amp;($L251-TODAY())&amp;" día(s) para pagar","🟢 Al día (paga el "&amp;TEXT($L251,"dd/mm")&amp;")")))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16">
        <f>IF($B252="","",'Config'!$B$11+'Config'!$B$12)</f>
      </c>
      <c r="H252" s="16">
        <f>IF($B252="","",$F252+$G252)</f>
      </c>
      <c r="I252" s="20"/>
      <c r="J252" s="20"/>
      <c r="K252" s="14">
        <f>IF(OR($B252="",$J252&lt;&gt;"Sí"),"",IF(DAY($A252)&lt;='Config'!$B$13,DATE(YEAR($A252),MONTH($A252),'Config'!$B$13),EOMONTH($A252,0)+'Config'!$B$13))</f>
      </c>
      <c r="L252" s="14">
        <f>IF($K252="","",DATE(YEAR(EOMONTH($K252,0)+1),MONTH(EOMONTH($K252,0)+1),'Config'!$B$14))</f>
      </c>
      <c r="M252" s="22"/>
      <c r="N252" s="16">
        <f>IF($B252="","",MAX($H252-$M252,0))</f>
      </c>
      <c r="O252" s="19">
        <f>IF($B252="","",IF($J252&lt;&gt;"Sí","Pagado (contado)",IF($N252&lt;=0,"Pagado",IF($M252&gt;0,"Abono parcial","Pendiente"))))</f>
      </c>
      <c r="P252" s="19">
        <f>IF(OR($B252="",$J252&lt;&gt;"Sí",$N252&lt;=0),"",IF(TODAY()&gt;$L252,"🔴 VENCIDO hace "&amp;(TODAY()-$L252)&amp;" día(s)",IF($L252-TODAY()&lt;='Config'!$B$15,"🟠 Faltan "&amp;($L252-TODAY())&amp;" día(s) para pagar","🟢 Al día (paga el "&amp;TEXT($L252,"dd/mm")&amp;")")))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16">
        <f>IF($B253="","",'Config'!$B$11+'Config'!$B$12)</f>
      </c>
      <c r="H253" s="16">
        <f>IF($B253="","",$F253+$G253)</f>
      </c>
      <c r="I253" s="20"/>
      <c r="J253" s="20"/>
      <c r="K253" s="14">
        <f>IF(OR($B253="",$J253&lt;&gt;"Sí"),"",IF(DAY($A253)&lt;='Config'!$B$13,DATE(YEAR($A253),MONTH($A253),'Config'!$B$13),EOMONTH($A253,0)+'Config'!$B$13))</f>
      </c>
      <c r="L253" s="14">
        <f>IF($K253="","",DATE(YEAR(EOMONTH($K253,0)+1),MONTH(EOMONTH($K253,0)+1),'Config'!$B$14))</f>
      </c>
      <c r="M253" s="22"/>
      <c r="N253" s="16">
        <f>IF($B253="","",MAX($H253-$M253,0))</f>
      </c>
      <c r="O253" s="19">
        <f>IF($B253="","",IF($J253&lt;&gt;"Sí","Pagado (contado)",IF($N253&lt;=0,"Pagado",IF($M253&gt;0,"Abono parcial","Pendiente"))))</f>
      </c>
      <c r="P253" s="19">
        <f>IF(OR($B253="",$J253&lt;&gt;"Sí",$N253&lt;=0),"",IF(TODAY()&gt;$L253,"🔴 VENCIDO hace "&amp;(TODAY()-$L253)&amp;" día(s)",IF($L253-TODAY()&lt;='Config'!$B$15,"🟠 Faltan "&amp;($L253-TODAY())&amp;" día(s) para pagar","🟢 Al día (paga el "&amp;TEXT($L253,"dd/mm")&amp;")")))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16">
        <f>IF($B254="","",'Config'!$B$11+'Config'!$B$12)</f>
      </c>
      <c r="H254" s="16">
        <f>IF($B254="","",$F254+$G254)</f>
      </c>
      <c r="I254" s="20"/>
      <c r="J254" s="20"/>
      <c r="K254" s="14">
        <f>IF(OR($B254="",$J254&lt;&gt;"Sí"),"",IF(DAY($A254)&lt;='Config'!$B$13,DATE(YEAR($A254),MONTH($A254),'Config'!$B$13),EOMONTH($A254,0)+'Config'!$B$13))</f>
      </c>
      <c r="L254" s="14">
        <f>IF($K254="","",DATE(YEAR(EOMONTH($K254,0)+1),MONTH(EOMONTH($K254,0)+1),'Config'!$B$14))</f>
      </c>
      <c r="M254" s="22"/>
      <c r="N254" s="16">
        <f>IF($B254="","",MAX($H254-$M254,0))</f>
      </c>
      <c r="O254" s="19">
        <f>IF($B254="","",IF($J254&lt;&gt;"Sí","Pagado (contado)",IF($N254&lt;=0,"Pagado",IF($M254&gt;0,"Abono parcial","Pendiente"))))</f>
      </c>
      <c r="P254" s="19">
        <f>IF(OR($B254="",$J254&lt;&gt;"Sí",$N254&lt;=0),"",IF(TODAY()&gt;$L254,"🔴 VENCIDO hace "&amp;(TODAY()-$L254)&amp;" día(s)",IF($L254-TODAY()&lt;='Config'!$B$15,"🟠 Faltan "&amp;($L254-TODAY())&amp;" día(s) para pagar","🟢 Al día (paga el "&amp;TEXT($L254,"dd/mm")&amp;")")))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16">
        <f>IF($B255="","",'Config'!$B$11+'Config'!$B$12)</f>
      </c>
      <c r="H255" s="16">
        <f>IF($B255="","",$F255+$G255)</f>
      </c>
      <c r="I255" s="20"/>
      <c r="J255" s="20"/>
      <c r="K255" s="14">
        <f>IF(OR($B255="",$J255&lt;&gt;"Sí"),"",IF(DAY($A255)&lt;='Config'!$B$13,DATE(YEAR($A255),MONTH($A255),'Config'!$B$13),EOMONTH($A255,0)+'Config'!$B$13))</f>
      </c>
      <c r="L255" s="14">
        <f>IF($K255="","",DATE(YEAR(EOMONTH($K255,0)+1),MONTH(EOMONTH($K255,0)+1),'Config'!$B$14))</f>
      </c>
      <c r="M255" s="22"/>
      <c r="N255" s="16">
        <f>IF($B255="","",MAX($H255-$M255,0))</f>
      </c>
      <c r="O255" s="19">
        <f>IF($B255="","",IF($J255&lt;&gt;"Sí","Pagado (contado)",IF($N255&lt;=0,"Pagado",IF($M255&gt;0,"Abono parcial","Pendiente"))))</f>
      </c>
      <c r="P255" s="19">
        <f>IF(OR($B255="",$J255&lt;&gt;"Sí",$N255&lt;=0),"",IF(TODAY()&gt;$L255,"🔴 VENCIDO hace "&amp;(TODAY()-$L255)&amp;" día(s)",IF($L255-TODAY()&lt;='Config'!$B$15,"🟠 Faltan "&amp;($L255-TODAY())&amp;" día(s) para pagar","🟢 Al día (paga el "&amp;TEXT($L255,"dd/mm")&amp;")")))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16">
        <f>IF($B256="","",'Config'!$B$11+'Config'!$B$12)</f>
      </c>
      <c r="H256" s="16">
        <f>IF($B256="","",$F256+$G256)</f>
      </c>
      <c r="I256" s="20"/>
      <c r="J256" s="20"/>
      <c r="K256" s="14">
        <f>IF(OR($B256="",$J256&lt;&gt;"Sí"),"",IF(DAY($A256)&lt;='Config'!$B$13,DATE(YEAR($A256),MONTH($A256),'Config'!$B$13),EOMONTH($A256,0)+'Config'!$B$13))</f>
      </c>
      <c r="L256" s="14">
        <f>IF($K256="","",DATE(YEAR(EOMONTH($K256,0)+1),MONTH(EOMONTH($K256,0)+1),'Config'!$B$14))</f>
      </c>
      <c r="M256" s="22"/>
      <c r="N256" s="16">
        <f>IF($B256="","",MAX($H256-$M256,0))</f>
      </c>
      <c r="O256" s="19">
        <f>IF($B256="","",IF($J256&lt;&gt;"Sí","Pagado (contado)",IF($N256&lt;=0,"Pagado",IF($M256&gt;0,"Abono parcial","Pendiente"))))</f>
      </c>
      <c r="P256" s="19">
        <f>IF(OR($B256="",$J256&lt;&gt;"Sí",$N256&lt;=0),"",IF(TODAY()&gt;$L256,"🔴 VENCIDO hace "&amp;(TODAY()-$L256)&amp;" día(s)",IF($L256-TODAY()&lt;='Config'!$B$15,"🟠 Faltan "&amp;($L256-TODAY())&amp;" día(s) para pagar","🟢 Al día (paga el "&amp;TEXT($L256,"dd/mm")&amp;")")))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16">
        <f>IF($B257="","",'Config'!$B$11+'Config'!$B$12)</f>
      </c>
      <c r="H257" s="16">
        <f>IF($B257="","",$F257+$G257)</f>
      </c>
      <c r="I257" s="20"/>
      <c r="J257" s="20"/>
      <c r="K257" s="14">
        <f>IF(OR($B257="",$J257&lt;&gt;"Sí"),"",IF(DAY($A257)&lt;='Config'!$B$13,DATE(YEAR($A257),MONTH($A257),'Config'!$B$13),EOMONTH($A257,0)+'Config'!$B$13))</f>
      </c>
      <c r="L257" s="14">
        <f>IF($K257="","",DATE(YEAR(EOMONTH($K257,0)+1),MONTH(EOMONTH($K257,0)+1),'Config'!$B$14))</f>
      </c>
      <c r="M257" s="22"/>
      <c r="N257" s="16">
        <f>IF($B257="","",MAX($H257-$M257,0))</f>
      </c>
      <c r="O257" s="19">
        <f>IF($B257="","",IF($J257&lt;&gt;"Sí","Pagado (contado)",IF($N257&lt;=0,"Pagado",IF($M257&gt;0,"Abono parcial","Pendiente"))))</f>
      </c>
      <c r="P257" s="19">
        <f>IF(OR($B257="",$J257&lt;&gt;"Sí",$N257&lt;=0),"",IF(TODAY()&gt;$L257,"🔴 VENCIDO hace "&amp;(TODAY()-$L257)&amp;" día(s)",IF($L257-TODAY()&lt;='Config'!$B$15,"🟠 Faltan "&amp;($L257-TODAY())&amp;" día(s) para pagar","🟢 Al día (paga el "&amp;TEXT($L257,"dd/mm")&amp;")")))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16">
        <f>IF($B258="","",'Config'!$B$11+'Config'!$B$12)</f>
      </c>
      <c r="H258" s="16">
        <f>IF($B258="","",$F258+$G258)</f>
      </c>
      <c r="I258" s="20"/>
      <c r="J258" s="20"/>
      <c r="K258" s="14">
        <f>IF(OR($B258="",$J258&lt;&gt;"Sí"),"",IF(DAY($A258)&lt;='Config'!$B$13,DATE(YEAR($A258),MONTH($A258),'Config'!$B$13),EOMONTH($A258,0)+'Config'!$B$13))</f>
      </c>
      <c r="L258" s="14">
        <f>IF($K258="","",DATE(YEAR(EOMONTH($K258,0)+1),MONTH(EOMONTH($K258,0)+1),'Config'!$B$14))</f>
      </c>
      <c r="M258" s="22"/>
      <c r="N258" s="16">
        <f>IF($B258="","",MAX($H258-$M258,0))</f>
      </c>
      <c r="O258" s="19">
        <f>IF($B258="","",IF($J258&lt;&gt;"Sí","Pagado (contado)",IF($N258&lt;=0,"Pagado",IF($M258&gt;0,"Abono parcial","Pendiente"))))</f>
      </c>
      <c r="P258" s="19">
        <f>IF(OR($B258="",$J258&lt;&gt;"Sí",$N258&lt;=0),"",IF(TODAY()&gt;$L258,"🔴 VENCIDO hace "&amp;(TODAY()-$L258)&amp;" día(s)",IF($L258-TODAY()&lt;='Config'!$B$15,"🟠 Faltan "&amp;($L258-TODAY())&amp;" día(s) para pagar","🟢 Al día (paga el "&amp;TEXT($L258,"dd/mm")&amp;")")))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16">
        <f>IF($B259="","",'Config'!$B$11+'Config'!$B$12)</f>
      </c>
      <c r="H259" s="16">
        <f>IF($B259="","",$F259+$G259)</f>
      </c>
      <c r="I259" s="20"/>
      <c r="J259" s="20"/>
      <c r="K259" s="14">
        <f>IF(OR($B259="",$J259&lt;&gt;"Sí"),"",IF(DAY($A259)&lt;='Config'!$B$13,DATE(YEAR($A259),MONTH($A259),'Config'!$B$13),EOMONTH($A259,0)+'Config'!$B$13))</f>
      </c>
      <c r="L259" s="14">
        <f>IF($K259="","",DATE(YEAR(EOMONTH($K259,0)+1),MONTH(EOMONTH($K259,0)+1),'Config'!$B$14))</f>
      </c>
      <c r="M259" s="22"/>
      <c r="N259" s="16">
        <f>IF($B259="","",MAX($H259-$M259,0))</f>
      </c>
      <c r="O259" s="19">
        <f>IF($B259="","",IF($J259&lt;&gt;"Sí","Pagado (contado)",IF($N259&lt;=0,"Pagado",IF($M259&gt;0,"Abono parcial","Pendiente"))))</f>
      </c>
      <c r="P259" s="19">
        <f>IF(OR($B259="",$J259&lt;&gt;"Sí",$N259&lt;=0),"",IF(TODAY()&gt;$L259,"🔴 VENCIDO hace "&amp;(TODAY()-$L259)&amp;" día(s)",IF($L259-TODAY()&lt;='Config'!$B$15,"🟠 Faltan "&amp;($L259-TODAY())&amp;" día(s) para pagar","🟢 Al día (paga el "&amp;TEXT($L259,"dd/mm")&amp;")")))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16">
        <f>IF($B260="","",'Config'!$B$11+'Config'!$B$12)</f>
      </c>
      <c r="H260" s="16">
        <f>IF($B260="","",$F260+$G260)</f>
      </c>
      <c r="I260" s="20"/>
      <c r="J260" s="20"/>
      <c r="K260" s="14">
        <f>IF(OR($B260="",$J260&lt;&gt;"Sí"),"",IF(DAY($A260)&lt;='Config'!$B$13,DATE(YEAR($A260),MONTH($A260),'Config'!$B$13),EOMONTH($A260,0)+'Config'!$B$13))</f>
      </c>
      <c r="L260" s="14">
        <f>IF($K260="","",DATE(YEAR(EOMONTH($K260,0)+1),MONTH(EOMONTH($K260,0)+1),'Config'!$B$14))</f>
      </c>
      <c r="M260" s="22"/>
      <c r="N260" s="16">
        <f>IF($B260="","",MAX($H260-$M260,0))</f>
      </c>
      <c r="O260" s="19">
        <f>IF($B260="","",IF($J260&lt;&gt;"Sí","Pagado (contado)",IF($N260&lt;=0,"Pagado",IF($M260&gt;0,"Abono parcial","Pendiente"))))</f>
      </c>
      <c r="P260" s="19">
        <f>IF(OR($B260="",$J260&lt;&gt;"Sí",$N260&lt;=0),"",IF(TODAY()&gt;$L260,"🔴 VENCIDO hace "&amp;(TODAY()-$L260)&amp;" día(s)",IF($L260-TODAY()&lt;='Config'!$B$15,"🟠 Faltan "&amp;($L260-TODAY())&amp;" día(s) para pagar","🟢 Al día (paga el "&amp;TEXT($L260,"dd/mm")&amp;")")))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16">
        <f>IF($B261="","",'Config'!$B$11+'Config'!$B$12)</f>
      </c>
      <c r="H261" s="16">
        <f>IF($B261="","",$F261+$G261)</f>
      </c>
      <c r="I261" s="20"/>
      <c r="J261" s="20"/>
      <c r="K261" s="14">
        <f>IF(OR($B261="",$J261&lt;&gt;"Sí"),"",IF(DAY($A261)&lt;='Config'!$B$13,DATE(YEAR($A261),MONTH($A261),'Config'!$B$13),EOMONTH($A261,0)+'Config'!$B$13))</f>
      </c>
      <c r="L261" s="14">
        <f>IF($K261="","",DATE(YEAR(EOMONTH($K261,0)+1),MONTH(EOMONTH($K261,0)+1),'Config'!$B$14))</f>
      </c>
      <c r="M261" s="22"/>
      <c r="N261" s="16">
        <f>IF($B261="","",MAX($H261-$M261,0))</f>
      </c>
      <c r="O261" s="19">
        <f>IF($B261="","",IF($J261&lt;&gt;"Sí","Pagado (contado)",IF($N261&lt;=0,"Pagado",IF($M261&gt;0,"Abono parcial","Pendiente"))))</f>
      </c>
      <c r="P261" s="19">
        <f>IF(OR($B261="",$J261&lt;&gt;"Sí",$N261&lt;=0),"",IF(TODAY()&gt;$L261,"🔴 VENCIDO hace "&amp;(TODAY()-$L261)&amp;" día(s)",IF($L261-TODAY()&lt;='Config'!$B$15,"🟠 Faltan "&amp;($L261-TODAY())&amp;" día(s) para pagar","🟢 Al día (paga el "&amp;TEXT($L261,"dd/mm")&amp;")")))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16">
        <f>IF($B262="","",'Config'!$B$11+'Config'!$B$12)</f>
      </c>
      <c r="H262" s="16">
        <f>IF($B262="","",$F262+$G262)</f>
      </c>
      <c r="I262" s="20"/>
      <c r="J262" s="20"/>
      <c r="K262" s="14">
        <f>IF(OR($B262="",$J262&lt;&gt;"Sí"),"",IF(DAY($A262)&lt;='Config'!$B$13,DATE(YEAR($A262),MONTH($A262),'Config'!$B$13),EOMONTH($A262,0)+'Config'!$B$13))</f>
      </c>
      <c r="L262" s="14">
        <f>IF($K262="","",DATE(YEAR(EOMONTH($K262,0)+1),MONTH(EOMONTH($K262,0)+1),'Config'!$B$14))</f>
      </c>
      <c r="M262" s="22"/>
      <c r="N262" s="16">
        <f>IF($B262="","",MAX($H262-$M262,0))</f>
      </c>
      <c r="O262" s="19">
        <f>IF($B262="","",IF($J262&lt;&gt;"Sí","Pagado (contado)",IF($N262&lt;=0,"Pagado",IF($M262&gt;0,"Abono parcial","Pendiente"))))</f>
      </c>
      <c r="P262" s="19">
        <f>IF(OR($B262="",$J262&lt;&gt;"Sí",$N262&lt;=0),"",IF(TODAY()&gt;$L262,"🔴 VENCIDO hace "&amp;(TODAY()-$L262)&amp;" día(s)",IF($L262-TODAY()&lt;='Config'!$B$15,"🟠 Faltan "&amp;($L262-TODAY())&amp;" día(s) para pagar","🟢 Al día (paga el "&amp;TEXT($L262,"dd/mm")&amp;")")))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16">
        <f>IF($B263="","",'Config'!$B$11+'Config'!$B$12)</f>
      </c>
      <c r="H263" s="16">
        <f>IF($B263="","",$F263+$G263)</f>
      </c>
      <c r="I263" s="20"/>
      <c r="J263" s="20"/>
      <c r="K263" s="14">
        <f>IF(OR($B263="",$J263&lt;&gt;"Sí"),"",IF(DAY($A263)&lt;='Config'!$B$13,DATE(YEAR($A263),MONTH($A263),'Config'!$B$13),EOMONTH($A263,0)+'Config'!$B$13))</f>
      </c>
      <c r="L263" s="14">
        <f>IF($K263="","",DATE(YEAR(EOMONTH($K263,0)+1),MONTH(EOMONTH($K263,0)+1),'Config'!$B$14))</f>
      </c>
      <c r="M263" s="22"/>
      <c r="N263" s="16">
        <f>IF($B263="","",MAX($H263-$M263,0))</f>
      </c>
      <c r="O263" s="19">
        <f>IF($B263="","",IF($J263&lt;&gt;"Sí","Pagado (contado)",IF($N263&lt;=0,"Pagado",IF($M263&gt;0,"Abono parcial","Pendiente"))))</f>
      </c>
      <c r="P263" s="19">
        <f>IF(OR($B263="",$J263&lt;&gt;"Sí",$N263&lt;=0),"",IF(TODAY()&gt;$L263,"🔴 VENCIDO hace "&amp;(TODAY()-$L263)&amp;" día(s)",IF($L263-TODAY()&lt;='Config'!$B$15,"🟠 Faltan "&amp;($L263-TODAY())&amp;" día(s) para pagar","🟢 Al día (paga el "&amp;TEXT($L263,"dd/mm")&amp;")")))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16">
        <f>IF($B264="","",'Config'!$B$11+'Config'!$B$12)</f>
      </c>
      <c r="H264" s="16">
        <f>IF($B264="","",$F264+$G264)</f>
      </c>
      <c r="I264" s="20"/>
      <c r="J264" s="20"/>
      <c r="K264" s="14">
        <f>IF(OR($B264="",$J264&lt;&gt;"Sí"),"",IF(DAY($A264)&lt;='Config'!$B$13,DATE(YEAR($A264),MONTH($A264),'Config'!$B$13),EOMONTH($A264,0)+'Config'!$B$13))</f>
      </c>
      <c r="L264" s="14">
        <f>IF($K264="","",DATE(YEAR(EOMONTH($K264,0)+1),MONTH(EOMONTH($K264,0)+1),'Config'!$B$14))</f>
      </c>
      <c r="M264" s="22"/>
      <c r="N264" s="16">
        <f>IF($B264="","",MAX($H264-$M264,0))</f>
      </c>
      <c r="O264" s="19">
        <f>IF($B264="","",IF($J264&lt;&gt;"Sí","Pagado (contado)",IF($N264&lt;=0,"Pagado",IF($M264&gt;0,"Abono parcial","Pendiente"))))</f>
      </c>
      <c r="P264" s="19">
        <f>IF(OR($B264="",$J264&lt;&gt;"Sí",$N264&lt;=0),"",IF(TODAY()&gt;$L264,"🔴 VENCIDO hace "&amp;(TODAY()-$L264)&amp;" día(s)",IF($L264-TODAY()&lt;='Config'!$B$15,"🟠 Faltan "&amp;($L264-TODAY())&amp;" día(s) para pagar","🟢 Al día (paga el "&amp;TEXT($L264,"dd/mm")&amp;")")))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16">
        <f>IF($B265="","",'Config'!$B$11+'Config'!$B$12)</f>
      </c>
      <c r="H265" s="16">
        <f>IF($B265="","",$F265+$G265)</f>
      </c>
      <c r="I265" s="20"/>
      <c r="J265" s="20"/>
      <c r="K265" s="14">
        <f>IF(OR($B265="",$J265&lt;&gt;"Sí"),"",IF(DAY($A265)&lt;='Config'!$B$13,DATE(YEAR($A265),MONTH($A265),'Config'!$B$13),EOMONTH($A265,0)+'Config'!$B$13))</f>
      </c>
      <c r="L265" s="14">
        <f>IF($K265="","",DATE(YEAR(EOMONTH($K265,0)+1),MONTH(EOMONTH($K265,0)+1),'Config'!$B$14))</f>
      </c>
      <c r="M265" s="22"/>
      <c r="N265" s="16">
        <f>IF($B265="","",MAX($H265-$M265,0))</f>
      </c>
      <c r="O265" s="19">
        <f>IF($B265="","",IF($J265&lt;&gt;"Sí","Pagado (contado)",IF($N265&lt;=0,"Pagado",IF($M265&gt;0,"Abono parcial","Pendiente"))))</f>
      </c>
      <c r="P265" s="19">
        <f>IF(OR($B265="",$J265&lt;&gt;"Sí",$N265&lt;=0),"",IF(TODAY()&gt;$L265,"🔴 VENCIDO hace "&amp;(TODAY()-$L265)&amp;" día(s)",IF($L265-TODAY()&lt;='Config'!$B$15,"🟠 Faltan "&amp;($L265-TODAY())&amp;" día(s) para pagar","🟢 Al día (paga el "&amp;TEXT($L265,"dd/mm")&amp;")")))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16">
        <f>IF($B266="","",'Config'!$B$11+'Config'!$B$12)</f>
      </c>
      <c r="H266" s="16">
        <f>IF($B266="","",$F266+$G266)</f>
      </c>
      <c r="I266" s="20"/>
      <c r="J266" s="20"/>
      <c r="K266" s="14">
        <f>IF(OR($B266="",$J266&lt;&gt;"Sí"),"",IF(DAY($A266)&lt;='Config'!$B$13,DATE(YEAR($A266),MONTH($A266),'Config'!$B$13),EOMONTH($A266,0)+'Config'!$B$13))</f>
      </c>
      <c r="L266" s="14">
        <f>IF($K266="","",DATE(YEAR(EOMONTH($K266,0)+1),MONTH(EOMONTH($K266,0)+1),'Config'!$B$14))</f>
      </c>
      <c r="M266" s="22"/>
      <c r="N266" s="16">
        <f>IF($B266="","",MAX($H266-$M266,0))</f>
      </c>
      <c r="O266" s="19">
        <f>IF($B266="","",IF($J266&lt;&gt;"Sí","Pagado (contado)",IF($N266&lt;=0,"Pagado",IF($M266&gt;0,"Abono parcial","Pendiente"))))</f>
      </c>
      <c r="P266" s="19">
        <f>IF(OR($B266="",$J266&lt;&gt;"Sí",$N266&lt;=0),"",IF(TODAY()&gt;$L266,"🔴 VENCIDO hace "&amp;(TODAY()-$L266)&amp;" día(s)",IF($L266-TODAY()&lt;='Config'!$B$15,"🟠 Faltan "&amp;($L266-TODAY())&amp;" día(s) para pagar","🟢 Al día (paga el "&amp;TEXT($L266,"dd/mm")&amp;")")))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16">
        <f>IF($B267="","",'Config'!$B$11+'Config'!$B$12)</f>
      </c>
      <c r="H267" s="16">
        <f>IF($B267="","",$F267+$G267)</f>
      </c>
      <c r="I267" s="20"/>
      <c r="J267" s="20"/>
      <c r="K267" s="14">
        <f>IF(OR($B267="",$J267&lt;&gt;"Sí"),"",IF(DAY($A267)&lt;='Config'!$B$13,DATE(YEAR($A267),MONTH($A267),'Config'!$B$13),EOMONTH($A267,0)+'Config'!$B$13))</f>
      </c>
      <c r="L267" s="14">
        <f>IF($K267="","",DATE(YEAR(EOMONTH($K267,0)+1),MONTH(EOMONTH($K267,0)+1),'Config'!$B$14))</f>
      </c>
      <c r="M267" s="22"/>
      <c r="N267" s="16">
        <f>IF($B267="","",MAX($H267-$M267,0))</f>
      </c>
      <c r="O267" s="19">
        <f>IF($B267="","",IF($J267&lt;&gt;"Sí","Pagado (contado)",IF($N267&lt;=0,"Pagado",IF($M267&gt;0,"Abono parcial","Pendiente"))))</f>
      </c>
      <c r="P267" s="19">
        <f>IF(OR($B267="",$J267&lt;&gt;"Sí",$N267&lt;=0),"",IF(TODAY()&gt;$L267,"🔴 VENCIDO hace "&amp;(TODAY()-$L267)&amp;" día(s)",IF($L267-TODAY()&lt;='Config'!$B$15,"🟠 Faltan "&amp;($L267-TODAY())&amp;" día(s) para pagar","🟢 Al día (paga el "&amp;TEXT($L267,"dd/mm")&amp;")")))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16">
        <f>IF($B268="","",'Config'!$B$11+'Config'!$B$12)</f>
      </c>
      <c r="H268" s="16">
        <f>IF($B268="","",$F268+$G268)</f>
      </c>
      <c r="I268" s="20"/>
      <c r="J268" s="20"/>
      <c r="K268" s="14">
        <f>IF(OR($B268="",$J268&lt;&gt;"Sí"),"",IF(DAY($A268)&lt;='Config'!$B$13,DATE(YEAR($A268),MONTH($A268),'Config'!$B$13),EOMONTH($A268,0)+'Config'!$B$13))</f>
      </c>
      <c r="L268" s="14">
        <f>IF($K268="","",DATE(YEAR(EOMONTH($K268,0)+1),MONTH(EOMONTH($K268,0)+1),'Config'!$B$14))</f>
      </c>
      <c r="M268" s="22"/>
      <c r="N268" s="16">
        <f>IF($B268="","",MAX($H268-$M268,0))</f>
      </c>
      <c r="O268" s="19">
        <f>IF($B268="","",IF($J268&lt;&gt;"Sí","Pagado (contado)",IF($N268&lt;=0,"Pagado",IF($M268&gt;0,"Abono parcial","Pendiente"))))</f>
      </c>
      <c r="P268" s="19">
        <f>IF(OR($B268="",$J268&lt;&gt;"Sí",$N268&lt;=0),"",IF(TODAY()&gt;$L268,"🔴 VENCIDO hace "&amp;(TODAY()-$L268)&amp;" día(s)",IF($L268-TODAY()&lt;='Config'!$B$15,"🟠 Faltan "&amp;($L268-TODAY())&amp;" día(s) para pagar","🟢 Al día (paga el "&amp;TEXT($L268,"dd/mm")&amp;")")))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16">
        <f>IF($B269="","",'Config'!$B$11+'Config'!$B$12)</f>
      </c>
      <c r="H269" s="16">
        <f>IF($B269="","",$F269+$G269)</f>
      </c>
      <c r="I269" s="20"/>
      <c r="J269" s="20"/>
      <c r="K269" s="14">
        <f>IF(OR($B269="",$J269&lt;&gt;"Sí"),"",IF(DAY($A269)&lt;='Config'!$B$13,DATE(YEAR($A269),MONTH($A269),'Config'!$B$13),EOMONTH($A269,0)+'Config'!$B$13))</f>
      </c>
      <c r="L269" s="14">
        <f>IF($K269="","",DATE(YEAR(EOMONTH($K269,0)+1),MONTH(EOMONTH($K269,0)+1),'Config'!$B$14))</f>
      </c>
      <c r="M269" s="22"/>
      <c r="N269" s="16">
        <f>IF($B269="","",MAX($H269-$M269,0))</f>
      </c>
      <c r="O269" s="19">
        <f>IF($B269="","",IF($J269&lt;&gt;"Sí","Pagado (contado)",IF($N269&lt;=0,"Pagado",IF($M269&gt;0,"Abono parcial","Pendiente"))))</f>
      </c>
      <c r="P269" s="19">
        <f>IF(OR($B269="",$J269&lt;&gt;"Sí",$N269&lt;=0),"",IF(TODAY()&gt;$L269,"🔴 VENCIDO hace "&amp;(TODAY()-$L269)&amp;" día(s)",IF($L269-TODAY()&lt;='Config'!$B$15,"🟠 Faltan "&amp;($L269-TODAY())&amp;" día(s) para pagar","🟢 Al día (paga el "&amp;TEXT($L269,"dd/mm")&amp;")")))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16">
        <f>IF($B270="","",'Config'!$B$11+'Config'!$B$12)</f>
      </c>
      <c r="H270" s="16">
        <f>IF($B270="","",$F270+$G270)</f>
      </c>
      <c r="I270" s="20"/>
      <c r="J270" s="20"/>
      <c r="K270" s="14">
        <f>IF(OR($B270="",$J270&lt;&gt;"Sí"),"",IF(DAY($A270)&lt;='Config'!$B$13,DATE(YEAR($A270),MONTH($A270),'Config'!$B$13),EOMONTH($A270,0)+'Config'!$B$13))</f>
      </c>
      <c r="L270" s="14">
        <f>IF($K270="","",DATE(YEAR(EOMONTH($K270,0)+1),MONTH(EOMONTH($K270,0)+1),'Config'!$B$14))</f>
      </c>
      <c r="M270" s="22"/>
      <c r="N270" s="16">
        <f>IF($B270="","",MAX($H270-$M270,0))</f>
      </c>
      <c r="O270" s="19">
        <f>IF($B270="","",IF($J270&lt;&gt;"Sí","Pagado (contado)",IF($N270&lt;=0,"Pagado",IF($M270&gt;0,"Abono parcial","Pendiente"))))</f>
      </c>
      <c r="P270" s="19">
        <f>IF(OR($B270="",$J270&lt;&gt;"Sí",$N270&lt;=0),"",IF(TODAY()&gt;$L270,"🔴 VENCIDO hace "&amp;(TODAY()-$L270)&amp;" día(s)",IF($L270-TODAY()&lt;='Config'!$B$15,"🟠 Faltan "&amp;($L270-TODAY())&amp;" día(s) para pagar","🟢 Al día (paga el "&amp;TEXT($L270,"dd/mm")&amp;")")))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16">
        <f>IF($B271="","",'Config'!$B$11+'Config'!$B$12)</f>
      </c>
      <c r="H271" s="16">
        <f>IF($B271="","",$F271+$G271)</f>
      </c>
      <c r="I271" s="20"/>
      <c r="J271" s="20"/>
      <c r="K271" s="14">
        <f>IF(OR($B271="",$J271&lt;&gt;"Sí"),"",IF(DAY($A271)&lt;='Config'!$B$13,DATE(YEAR($A271),MONTH($A271),'Config'!$B$13),EOMONTH($A271,0)+'Config'!$B$13))</f>
      </c>
      <c r="L271" s="14">
        <f>IF($K271="","",DATE(YEAR(EOMONTH($K271,0)+1),MONTH(EOMONTH($K271,0)+1),'Config'!$B$14))</f>
      </c>
      <c r="M271" s="22"/>
      <c r="N271" s="16">
        <f>IF($B271="","",MAX($H271-$M271,0))</f>
      </c>
      <c r="O271" s="19">
        <f>IF($B271="","",IF($J271&lt;&gt;"Sí","Pagado (contado)",IF($N271&lt;=0,"Pagado",IF($M271&gt;0,"Abono parcial","Pendiente"))))</f>
      </c>
      <c r="P271" s="19">
        <f>IF(OR($B271="",$J271&lt;&gt;"Sí",$N271&lt;=0),"",IF(TODAY()&gt;$L271,"🔴 VENCIDO hace "&amp;(TODAY()-$L271)&amp;" día(s)",IF($L271-TODAY()&lt;='Config'!$B$15,"🟠 Faltan "&amp;($L271-TODAY())&amp;" día(s) para pagar","🟢 Al día (paga el "&amp;TEXT($L271,"dd/mm")&amp;")")))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16">
        <f>IF($B272="","",'Config'!$B$11+'Config'!$B$12)</f>
      </c>
      <c r="H272" s="16">
        <f>IF($B272="","",$F272+$G272)</f>
      </c>
      <c r="I272" s="20"/>
      <c r="J272" s="20"/>
      <c r="K272" s="14">
        <f>IF(OR($B272="",$J272&lt;&gt;"Sí"),"",IF(DAY($A272)&lt;='Config'!$B$13,DATE(YEAR($A272),MONTH($A272),'Config'!$B$13),EOMONTH($A272,0)+'Config'!$B$13))</f>
      </c>
      <c r="L272" s="14">
        <f>IF($K272="","",DATE(YEAR(EOMONTH($K272,0)+1),MONTH(EOMONTH($K272,0)+1),'Config'!$B$14))</f>
      </c>
      <c r="M272" s="22"/>
      <c r="N272" s="16">
        <f>IF($B272="","",MAX($H272-$M272,0))</f>
      </c>
      <c r="O272" s="19">
        <f>IF($B272="","",IF($J272&lt;&gt;"Sí","Pagado (contado)",IF($N272&lt;=0,"Pagado",IF($M272&gt;0,"Abono parcial","Pendiente"))))</f>
      </c>
      <c r="P272" s="19">
        <f>IF(OR($B272="",$J272&lt;&gt;"Sí",$N272&lt;=0),"",IF(TODAY()&gt;$L272,"🔴 VENCIDO hace "&amp;(TODAY()-$L272)&amp;" día(s)",IF($L272-TODAY()&lt;='Config'!$B$15,"🟠 Faltan "&amp;($L272-TODAY())&amp;" día(s) para pagar","🟢 Al día (paga el "&amp;TEXT($L272,"dd/mm")&amp;")")))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16">
        <f>IF($B273="","",'Config'!$B$11+'Config'!$B$12)</f>
      </c>
      <c r="H273" s="16">
        <f>IF($B273="","",$F273+$G273)</f>
      </c>
      <c r="I273" s="20"/>
      <c r="J273" s="20"/>
      <c r="K273" s="14">
        <f>IF(OR($B273="",$J273&lt;&gt;"Sí"),"",IF(DAY($A273)&lt;='Config'!$B$13,DATE(YEAR($A273),MONTH($A273),'Config'!$B$13),EOMONTH($A273,0)+'Config'!$B$13))</f>
      </c>
      <c r="L273" s="14">
        <f>IF($K273="","",DATE(YEAR(EOMONTH($K273,0)+1),MONTH(EOMONTH($K273,0)+1),'Config'!$B$14))</f>
      </c>
      <c r="M273" s="22"/>
      <c r="N273" s="16">
        <f>IF($B273="","",MAX($H273-$M273,0))</f>
      </c>
      <c r="O273" s="19">
        <f>IF($B273="","",IF($J273&lt;&gt;"Sí","Pagado (contado)",IF($N273&lt;=0,"Pagado",IF($M273&gt;0,"Abono parcial","Pendiente"))))</f>
      </c>
      <c r="P273" s="19">
        <f>IF(OR($B273="",$J273&lt;&gt;"Sí",$N273&lt;=0),"",IF(TODAY()&gt;$L273,"🔴 VENCIDO hace "&amp;(TODAY()-$L273)&amp;" día(s)",IF($L273-TODAY()&lt;='Config'!$B$15,"🟠 Faltan "&amp;($L273-TODAY())&amp;" día(s) para pagar","🟢 Al día (paga el "&amp;TEXT($L273,"dd/mm")&amp;")")))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16">
        <f>IF($B274="","",'Config'!$B$11+'Config'!$B$12)</f>
      </c>
      <c r="H274" s="16">
        <f>IF($B274="","",$F274+$G274)</f>
      </c>
      <c r="I274" s="20"/>
      <c r="J274" s="20"/>
      <c r="K274" s="14">
        <f>IF(OR($B274="",$J274&lt;&gt;"Sí"),"",IF(DAY($A274)&lt;='Config'!$B$13,DATE(YEAR($A274),MONTH($A274),'Config'!$B$13),EOMONTH($A274,0)+'Config'!$B$13))</f>
      </c>
      <c r="L274" s="14">
        <f>IF($K274="","",DATE(YEAR(EOMONTH($K274,0)+1),MONTH(EOMONTH($K274,0)+1),'Config'!$B$14))</f>
      </c>
      <c r="M274" s="22"/>
      <c r="N274" s="16">
        <f>IF($B274="","",MAX($H274-$M274,0))</f>
      </c>
      <c r="O274" s="19">
        <f>IF($B274="","",IF($J274&lt;&gt;"Sí","Pagado (contado)",IF($N274&lt;=0,"Pagado",IF($M274&gt;0,"Abono parcial","Pendiente"))))</f>
      </c>
      <c r="P274" s="19">
        <f>IF(OR($B274="",$J274&lt;&gt;"Sí",$N274&lt;=0),"",IF(TODAY()&gt;$L274,"🔴 VENCIDO hace "&amp;(TODAY()-$L274)&amp;" día(s)",IF($L274-TODAY()&lt;='Config'!$B$15,"🟠 Faltan "&amp;($L274-TODAY())&amp;" día(s) para pagar","🟢 Al día (paga el "&amp;TEXT($L274,"dd/mm")&amp;")")))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16">
        <f>IF($B275="","",'Config'!$B$11+'Config'!$B$12)</f>
      </c>
      <c r="H275" s="16">
        <f>IF($B275="","",$F275+$G275)</f>
      </c>
      <c r="I275" s="20"/>
      <c r="J275" s="20"/>
      <c r="K275" s="14">
        <f>IF(OR($B275="",$J275&lt;&gt;"Sí"),"",IF(DAY($A275)&lt;='Config'!$B$13,DATE(YEAR($A275),MONTH($A275),'Config'!$B$13),EOMONTH($A275,0)+'Config'!$B$13))</f>
      </c>
      <c r="L275" s="14">
        <f>IF($K275="","",DATE(YEAR(EOMONTH($K275,0)+1),MONTH(EOMONTH($K275,0)+1),'Config'!$B$14))</f>
      </c>
      <c r="M275" s="22"/>
      <c r="N275" s="16">
        <f>IF($B275="","",MAX($H275-$M275,0))</f>
      </c>
      <c r="O275" s="19">
        <f>IF($B275="","",IF($J275&lt;&gt;"Sí","Pagado (contado)",IF($N275&lt;=0,"Pagado",IF($M275&gt;0,"Abono parcial","Pendiente"))))</f>
      </c>
      <c r="P275" s="19">
        <f>IF(OR($B275="",$J275&lt;&gt;"Sí",$N275&lt;=0),"",IF(TODAY()&gt;$L275,"🔴 VENCIDO hace "&amp;(TODAY()-$L275)&amp;" día(s)",IF($L275-TODAY()&lt;='Config'!$B$15,"🟠 Faltan "&amp;($L275-TODAY())&amp;" día(s) para pagar","🟢 Al día (paga el "&amp;TEXT($L275,"dd/mm")&amp;")")))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16">
        <f>IF($B276="","",'Config'!$B$11+'Config'!$B$12)</f>
      </c>
      <c r="H276" s="16">
        <f>IF($B276="","",$F276+$G276)</f>
      </c>
      <c r="I276" s="20"/>
      <c r="J276" s="20"/>
      <c r="K276" s="14">
        <f>IF(OR($B276="",$J276&lt;&gt;"Sí"),"",IF(DAY($A276)&lt;='Config'!$B$13,DATE(YEAR($A276),MONTH($A276),'Config'!$B$13),EOMONTH($A276,0)+'Config'!$B$13))</f>
      </c>
      <c r="L276" s="14">
        <f>IF($K276="","",DATE(YEAR(EOMONTH($K276,0)+1),MONTH(EOMONTH($K276,0)+1),'Config'!$B$14))</f>
      </c>
      <c r="M276" s="22"/>
      <c r="N276" s="16">
        <f>IF($B276="","",MAX($H276-$M276,0))</f>
      </c>
      <c r="O276" s="19">
        <f>IF($B276="","",IF($J276&lt;&gt;"Sí","Pagado (contado)",IF($N276&lt;=0,"Pagado",IF($M276&gt;0,"Abono parcial","Pendiente"))))</f>
      </c>
      <c r="P276" s="19">
        <f>IF(OR($B276="",$J276&lt;&gt;"Sí",$N276&lt;=0),"",IF(TODAY()&gt;$L276,"🔴 VENCIDO hace "&amp;(TODAY()-$L276)&amp;" día(s)",IF($L276-TODAY()&lt;='Config'!$B$15,"🟠 Faltan "&amp;($L276-TODAY())&amp;" día(s) para pagar","🟢 Al día (paga el "&amp;TEXT($L276,"dd/mm")&amp;")")))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16">
        <f>IF($B277="","",'Config'!$B$11+'Config'!$B$12)</f>
      </c>
      <c r="H277" s="16">
        <f>IF($B277="","",$F277+$G277)</f>
      </c>
      <c r="I277" s="20"/>
      <c r="J277" s="20"/>
      <c r="K277" s="14">
        <f>IF(OR($B277="",$J277&lt;&gt;"Sí"),"",IF(DAY($A277)&lt;='Config'!$B$13,DATE(YEAR($A277),MONTH($A277),'Config'!$B$13),EOMONTH($A277,0)+'Config'!$B$13))</f>
      </c>
      <c r="L277" s="14">
        <f>IF($K277="","",DATE(YEAR(EOMONTH($K277,0)+1),MONTH(EOMONTH($K277,0)+1),'Config'!$B$14))</f>
      </c>
      <c r="M277" s="22"/>
      <c r="N277" s="16">
        <f>IF($B277="","",MAX($H277-$M277,0))</f>
      </c>
      <c r="O277" s="19">
        <f>IF($B277="","",IF($J277&lt;&gt;"Sí","Pagado (contado)",IF($N277&lt;=0,"Pagado",IF($M277&gt;0,"Abono parcial","Pendiente"))))</f>
      </c>
      <c r="P277" s="19">
        <f>IF(OR($B277="",$J277&lt;&gt;"Sí",$N277&lt;=0),"",IF(TODAY()&gt;$L277,"🔴 VENCIDO hace "&amp;(TODAY()-$L277)&amp;" día(s)",IF($L277-TODAY()&lt;='Config'!$B$15,"🟠 Faltan "&amp;($L277-TODAY())&amp;" día(s) para pagar","🟢 Al día (paga el "&amp;TEXT($L277,"dd/mm")&amp;")")))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16">
        <f>IF($B278="","",'Config'!$B$11+'Config'!$B$12)</f>
      </c>
      <c r="H278" s="16">
        <f>IF($B278="","",$F278+$G278)</f>
      </c>
      <c r="I278" s="20"/>
      <c r="J278" s="20"/>
      <c r="K278" s="14">
        <f>IF(OR($B278="",$J278&lt;&gt;"Sí"),"",IF(DAY($A278)&lt;='Config'!$B$13,DATE(YEAR($A278),MONTH($A278),'Config'!$B$13),EOMONTH($A278,0)+'Config'!$B$13))</f>
      </c>
      <c r="L278" s="14">
        <f>IF($K278="","",DATE(YEAR(EOMONTH($K278,0)+1),MONTH(EOMONTH($K278,0)+1),'Config'!$B$14))</f>
      </c>
      <c r="M278" s="22"/>
      <c r="N278" s="16">
        <f>IF($B278="","",MAX($H278-$M278,0))</f>
      </c>
      <c r="O278" s="19">
        <f>IF($B278="","",IF($J278&lt;&gt;"Sí","Pagado (contado)",IF($N278&lt;=0,"Pagado",IF($M278&gt;0,"Abono parcial","Pendiente"))))</f>
      </c>
      <c r="P278" s="19">
        <f>IF(OR($B278="",$J278&lt;&gt;"Sí",$N278&lt;=0),"",IF(TODAY()&gt;$L278,"🔴 VENCIDO hace "&amp;(TODAY()-$L278)&amp;" día(s)",IF($L278-TODAY()&lt;='Config'!$B$15,"🟠 Faltan "&amp;($L278-TODAY())&amp;" día(s) para pagar","🟢 Al día (paga el "&amp;TEXT($L278,"dd/mm")&amp;")")))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16">
        <f>IF($B279="","",'Config'!$B$11+'Config'!$B$12)</f>
      </c>
      <c r="H279" s="16">
        <f>IF($B279="","",$F279+$G279)</f>
      </c>
      <c r="I279" s="20"/>
      <c r="J279" s="20"/>
      <c r="K279" s="14">
        <f>IF(OR($B279="",$J279&lt;&gt;"Sí"),"",IF(DAY($A279)&lt;='Config'!$B$13,DATE(YEAR($A279),MONTH($A279),'Config'!$B$13),EOMONTH($A279,0)+'Config'!$B$13))</f>
      </c>
      <c r="L279" s="14">
        <f>IF($K279="","",DATE(YEAR(EOMONTH($K279,0)+1),MONTH(EOMONTH($K279,0)+1),'Config'!$B$14))</f>
      </c>
      <c r="M279" s="22"/>
      <c r="N279" s="16">
        <f>IF($B279="","",MAX($H279-$M279,0))</f>
      </c>
      <c r="O279" s="19">
        <f>IF($B279="","",IF($J279&lt;&gt;"Sí","Pagado (contado)",IF($N279&lt;=0,"Pagado",IF($M279&gt;0,"Abono parcial","Pendiente"))))</f>
      </c>
      <c r="P279" s="19">
        <f>IF(OR($B279="",$J279&lt;&gt;"Sí",$N279&lt;=0),"",IF(TODAY()&gt;$L279,"🔴 VENCIDO hace "&amp;(TODAY()-$L279)&amp;" día(s)",IF($L279-TODAY()&lt;='Config'!$B$15,"🟠 Faltan "&amp;($L279-TODAY())&amp;" día(s) para pagar","🟢 Al día (paga el "&amp;TEXT($L279,"dd/mm")&amp;")")))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16">
        <f>IF($B280="","",'Config'!$B$11+'Config'!$B$12)</f>
      </c>
      <c r="H280" s="16">
        <f>IF($B280="","",$F280+$G280)</f>
      </c>
      <c r="I280" s="20"/>
      <c r="J280" s="20"/>
      <c r="K280" s="14">
        <f>IF(OR($B280="",$J280&lt;&gt;"Sí"),"",IF(DAY($A280)&lt;='Config'!$B$13,DATE(YEAR($A280),MONTH($A280),'Config'!$B$13),EOMONTH($A280,0)+'Config'!$B$13))</f>
      </c>
      <c r="L280" s="14">
        <f>IF($K280="","",DATE(YEAR(EOMONTH($K280,0)+1),MONTH(EOMONTH($K280,0)+1),'Config'!$B$14))</f>
      </c>
      <c r="M280" s="22"/>
      <c r="N280" s="16">
        <f>IF($B280="","",MAX($H280-$M280,0))</f>
      </c>
      <c r="O280" s="19">
        <f>IF($B280="","",IF($J280&lt;&gt;"Sí","Pagado (contado)",IF($N280&lt;=0,"Pagado",IF($M280&gt;0,"Abono parcial","Pendiente"))))</f>
      </c>
      <c r="P280" s="19">
        <f>IF(OR($B280="",$J280&lt;&gt;"Sí",$N280&lt;=0),"",IF(TODAY()&gt;$L280,"🔴 VENCIDO hace "&amp;(TODAY()-$L280)&amp;" día(s)",IF($L280-TODAY()&lt;='Config'!$B$15,"🟠 Faltan "&amp;($L280-TODAY())&amp;" día(s) para pagar","🟢 Al día (paga el "&amp;TEXT($L280,"dd/mm")&amp;")")))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16">
        <f>IF($B281="","",'Config'!$B$11+'Config'!$B$12)</f>
      </c>
      <c r="H281" s="16">
        <f>IF($B281="","",$F281+$G281)</f>
      </c>
      <c r="I281" s="20"/>
      <c r="J281" s="20"/>
      <c r="K281" s="14">
        <f>IF(OR($B281="",$J281&lt;&gt;"Sí"),"",IF(DAY($A281)&lt;='Config'!$B$13,DATE(YEAR($A281),MONTH($A281),'Config'!$B$13),EOMONTH($A281,0)+'Config'!$B$13))</f>
      </c>
      <c r="L281" s="14">
        <f>IF($K281="","",DATE(YEAR(EOMONTH($K281,0)+1),MONTH(EOMONTH($K281,0)+1),'Config'!$B$14))</f>
      </c>
      <c r="M281" s="22"/>
      <c r="N281" s="16">
        <f>IF($B281="","",MAX($H281-$M281,0))</f>
      </c>
      <c r="O281" s="19">
        <f>IF($B281="","",IF($J281&lt;&gt;"Sí","Pagado (contado)",IF($N281&lt;=0,"Pagado",IF($M281&gt;0,"Abono parcial","Pendiente"))))</f>
      </c>
      <c r="P281" s="19">
        <f>IF(OR($B281="",$J281&lt;&gt;"Sí",$N281&lt;=0),"",IF(TODAY()&gt;$L281,"🔴 VENCIDO hace "&amp;(TODAY()-$L281)&amp;" día(s)",IF($L281-TODAY()&lt;='Config'!$B$15,"🟠 Faltan "&amp;($L281-TODAY())&amp;" día(s) para pagar","🟢 Al día (paga el "&amp;TEXT($L281,"dd/mm")&amp;")")))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16">
        <f>IF($B282="","",'Config'!$B$11+'Config'!$B$12)</f>
      </c>
      <c r="H282" s="16">
        <f>IF($B282="","",$F282+$G282)</f>
      </c>
      <c r="I282" s="20"/>
      <c r="J282" s="20"/>
      <c r="K282" s="14">
        <f>IF(OR($B282="",$J282&lt;&gt;"Sí"),"",IF(DAY($A282)&lt;='Config'!$B$13,DATE(YEAR($A282),MONTH($A282),'Config'!$B$13),EOMONTH($A282,0)+'Config'!$B$13))</f>
      </c>
      <c r="L282" s="14">
        <f>IF($K282="","",DATE(YEAR(EOMONTH($K282,0)+1),MONTH(EOMONTH($K282,0)+1),'Config'!$B$14))</f>
      </c>
      <c r="M282" s="22"/>
      <c r="N282" s="16">
        <f>IF($B282="","",MAX($H282-$M282,0))</f>
      </c>
      <c r="O282" s="19">
        <f>IF($B282="","",IF($J282&lt;&gt;"Sí","Pagado (contado)",IF($N282&lt;=0,"Pagado",IF($M282&gt;0,"Abono parcial","Pendiente"))))</f>
      </c>
      <c r="P282" s="19">
        <f>IF(OR($B282="",$J282&lt;&gt;"Sí",$N282&lt;=0),"",IF(TODAY()&gt;$L282,"🔴 VENCIDO hace "&amp;(TODAY()-$L282)&amp;" día(s)",IF($L282-TODAY()&lt;='Config'!$B$15,"🟠 Faltan "&amp;($L282-TODAY())&amp;" día(s) para pagar","🟢 Al día (paga el "&amp;TEXT($L282,"dd/mm")&amp;")")))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16">
        <f>IF($B283="","",'Config'!$B$11+'Config'!$B$12)</f>
      </c>
      <c r="H283" s="16">
        <f>IF($B283="","",$F283+$G283)</f>
      </c>
      <c r="I283" s="20"/>
      <c r="J283" s="20"/>
      <c r="K283" s="14">
        <f>IF(OR($B283="",$J283&lt;&gt;"Sí"),"",IF(DAY($A283)&lt;='Config'!$B$13,DATE(YEAR($A283),MONTH($A283),'Config'!$B$13),EOMONTH($A283,0)+'Config'!$B$13))</f>
      </c>
      <c r="L283" s="14">
        <f>IF($K283="","",DATE(YEAR(EOMONTH($K283,0)+1),MONTH(EOMONTH($K283,0)+1),'Config'!$B$14))</f>
      </c>
      <c r="M283" s="22"/>
      <c r="N283" s="16">
        <f>IF($B283="","",MAX($H283-$M283,0))</f>
      </c>
      <c r="O283" s="19">
        <f>IF($B283="","",IF($J283&lt;&gt;"Sí","Pagado (contado)",IF($N283&lt;=0,"Pagado",IF($M283&gt;0,"Abono parcial","Pendiente"))))</f>
      </c>
      <c r="P283" s="19">
        <f>IF(OR($B283="",$J283&lt;&gt;"Sí",$N283&lt;=0),"",IF(TODAY()&gt;$L283,"🔴 VENCIDO hace "&amp;(TODAY()-$L283)&amp;" día(s)",IF($L283-TODAY()&lt;='Config'!$B$15,"🟠 Faltan "&amp;($L283-TODAY())&amp;" día(s) para pagar","🟢 Al día (paga el "&amp;TEXT($L283,"dd/mm")&amp;")")))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16">
        <f>IF($B284="","",'Config'!$B$11+'Config'!$B$12)</f>
      </c>
      <c r="H284" s="16">
        <f>IF($B284="","",$F284+$G284)</f>
      </c>
      <c r="I284" s="20"/>
      <c r="J284" s="20"/>
      <c r="K284" s="14">
        <f>IF(OR($B284="",$J284&lt;&gt;"Sí"),"",IF(DAY($A284)&lt;='Config'!$B$13,DATE(YEAR($A284),MONTH($A284),'Config'!$B$13),EOMONTH($A284,0)+'Config'!$B$13))</f>
      </c>
      <c r="L284" s="14">
        <f>IF($K284="","",DATE(YEAR(EOMONTH($K284,0)+1),MONTH(EOMONTH($K284,0)+1),'Config'!$B$14))</f>
      </c>
      <c r="M284" s="22"/>
      <c r="N284" s="16">
        <f>IF($B284="","",MAX($H284-$M284,0))</f>
      </c>
      <c r="O284" s="19">
        <f>IF($B284="","",IF($J284&lt;&gt;"Sí","Pagado (contado)",IF($N284&lt;=0,"Pagado",IF($M284&gt;0,"Abono parcial","Pendiente"))))</f>
      </c>
      <c r="P284" s="19">
        <f>IF(OR($B284="",$J284&lt;&gt;"Sí",$N284&lt;=0),"",IF(TODAY()&gt;$L284,"🔴 VENCIDO hace "&amp;(TODAY()-$L284)&amp;" día(s)",IF($L284-TODAY()&lt;='Config'!$B$15,"🟠 Faltan "&amp;($L284-TODAY())&amp;" día(s) para pagar","🟢 Al día (paga el "&amp;TEXT($L284,"dd/mm")&amp;")")))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16">
        <f>IF($B285="","",'Config'!$B$11+'Config'!$B$12)</f>
      </c>
      <c r="H285" s="16">
        <f>IF($B285="","",$F285+$G285)</f>
      </c>
      <c r="I285" s="20"/>
      <c r="J285" s="20"/>
      <c r="K285" s="14">
        <f>IF(OR($B285="",$J285&lt;&gt;"Sí"),"",IF(DAY($A285)&lt;='Config'!$B$13,DATE(YEAR($A285),MONTH($A285),'Config'!$B$13),EOMONTH($A285,0)+'Config'!$B$13))</f>
      </c>
      <c r="L285" s="14">
        <f>IF($K285="","",DATE(YEAR(EOMONTH($K285,0)+1),MONTH(EOMONTH($K285,0)+1),'Config'!$B$14))</f>
      </c>
      <c r="M285" s="22"/>
      <c r="N285" s="16">
        <f>IF($B285="","",MAX($H285-$M285,0))</f>
      </c>
      <c r="O285" s="19">
        <f>IF($B285="","",IF($J285&lt;&gt;"Sí","Pagado (contado)",IF($N285&lt;=0,"Pagado",IF($M285&gt;0,"Abono parcial","Pendiente"))))</f>
      </c>
      <c r="P285" s="19">
        <f>IF(OR($B285="",$J285&lt;&gt;"Sí",$N285&lt;=0),"",IF(TODAY()&gt;$L285,"🔴 VENCIDO hace "&amp;(TODAY()-$L285)&amp;" día(s)",IF($L285-TODAY()&lt;='Config'!$B$15,"🟠 Faltan "&amp;($L285-TODAY())&amp;" día(s) para pagar","🟢 Al día (paga el "&amp;TEXT($L285,"dd/mm")&amp;")")))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16">
        <f>IF($B286="","",'Config'!$B$11+'Config'!$B$12)</f>
      </c>
      <c r="H286" s="16">
        <f>IF($B286="","",$F286+$G286)</f>
      </c>
      <c r="I286" s="20"/>
      <c r="J286" s="20"/>
      <c r="K286" s="14">
        <f>IF(OR($B286="",$J286&lt;&gt;"Sí"),"",IF(DAY($A286)&lt;='Config'!$B$13,DATE(YEAR($A286),MONTH($A286),'Config'!$B$13),EOMONTH($A286,0)+'Config'!$B$13))</f>
      </c>
      <c r="L286" s="14">
        <f>IF($K286="","",DATE(YEAR(EOMONTH($K286,0)+1),MONTH(EOMONTH($K286,0)+1),'Config'!$B$14))</f>
      </c>
      <c r="M286" s="22"/>
      <c r="N286" s="16">
        <f>IF($B286="","",MAX($H286-$M286,0))</f>
      </c>
      <c r="O286" s="19">
        <f>IF($B286="","",IF($J286&lt;&gt;"Sí","Pagado (contado)",IF($N286&lt;=0,"Pagado",IF($M286&gt;0,"Abono parcial","Pendiente"))))</f>
      </c>
      <c r="P286" s="19">
        <f>IF(OR($B286="",$J286&lt;&gt;"Sí",$N286&lt;=0),"",IF(TODAY()&gt;$L286,"🔴 VENCIDO hace "&amp;(TODAY()-$L286)&amp;" día(s)",IF($L286-TODAY()&lt;='Config'!$B$15,"🟠 Faltan "&amp;($L286-TODAY())&amp;" día(s) para pagar","🟢 Al día (paga el "&amp;TEXT($L286,"dd/mm")&amp;")")))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16">
        <f>IF($B287="","",'Config'!$B$11+'Config'!$B$12)</f>
      </c>
      <c r="H287" s="16">
        <f>IF($B287="","",$F287+$G287)</f>
      </c>
      <c r="I287" s="20"/>
      <c r="J287" s="20"/>
      <c r="K287" s="14">
        <f>IF(OR($B287="",$J287&lt;&gt;"Sí"),"",IF(DAY($A287)&lt;='Config'!$B$13,DATE(YEAR($A287),MONTH($A287),'Config'!$B$13),EOMONTH($A287,0)+'Config'!$B$13))</f>
      </c>
      <c r="L287" s="14">
        <f>IF($K287="","",DATE(YEAR(EOMONTH($K287,0)+1),MONTH(EOMONTH($K287,0)+1),'Config'!$B$14))</f>
      </c>
      <c r="M287" s="22"/>
      <c r="N287" s="16">
        <f>IF($B287="","",MAX($H287-$M287,0))</f>
      </c>
      <c r="O287" s="19">
        <f>IF($B287="","",IF($J287&lt;&gt;"Sí","Pagado (contado)",IF($N287&lt;=0,"Pagado",IF($M287&gt;0,"Abono parcial","Pendiente"))))</f>
      </c>
      <c r="P287" s="19">
        <f>IF(OR($B287="",$J287&lt;&gt;"Sí",$N287&lt;=0),"",IF(TODAY()&gt;$L287,"🔴 VENCIDO hace "&amp;(TODAY()-$L287)&amp;" día(s)",IF($L287-TODAY()&lt;='Config'!$B$15,"🟠 Faltan "&amp;($L287-TODAY())&amp;" día(s) para pagar","🟢 Al día (paga el "&amp;TEXT($L287,"dd/mm")&amp;")")))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16">
        <f>IF($B288="","",'Config'!$B$11+'Config'!$B$12)</f>
      </c>
      <c r="H288" s="16">
        <f>IF($B288="","",$F288+$G288)</f>
      </c>
      <c r="I288" s="20"/>
      <c r="J288" s="20"/>
      <c r="K288" s="14">
        <f>IF(OR($B288="",$J288&lt;&gt;"Sí"),"",IF(DAY($A288)&lt;='Config'!$B$13,DATE(YEAR($A288),MONTH($A288),'Config'!$B$13),EOMONTH($A288,0)+'Config'!$B$13))</f>
      </c>
      <c r="L288" s="14">
        <f>IF($K288="","",DATE(YEAR(EOMONTH($K288,0)+1),MONTH(EOMONTH($K288,0)+1),'Config'!$B$14))</f>
      </c>
      <c r="M288" s="22"/>
      <c r="N288" s="16">
        <f>IF($B288="","",MAX($H288-$M288,0))</f>
      </c>
      <c r="O288" s="19">
        <f>IF($B288="","",IF($J288&lt;&gt;"Sí","Pagado (contado)",IF($N288&lt;=0,"Pagado",IF($M288&gt;0,"Abono parcial","Pendiente"))))</f>
      </c>
      <c r="P288" s="19">
        <f>IF(OR($B288="",$J288&lt;&gt;"Sí",$N288&lt;=0),"",IF(TODAY()&gt;$L288,"🔴 VENCIDO hace "&amp;(TODAY()-$L288)&amp;" día(s)",IF($L288-TODAY()&lt;='Config'!$B$15,"🟠 Faltan "&amp;($L288-TODAY())&amp;" día(s) para pagar","🟢 Al día (paga el "&amp;TEXT($L288,"dd/mm")&amp;")")))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16">
        <f>IF($B289="","",'Config'!$B$11+'Config'!$B$12)</f>
      </c>
      <c r="H289" s="16">
        <f>IF($B289="","",$F289+$G289)</f>
      </c>
      <c r="I289" s="20"/>
      <c r="J289" s="20"/>
      <c r="K289" s="14">
        <f>IF(OR($B289="",$J289&lt;&gt;"Sí"),"",IF(DAY($A289)&lt;='Config'!$B$13,DATE(YEAR($A289),MONTH($A289),'Config'!$B$13),EOMONTH($A289,0)+'Config'!$B$13))</f>
      </c>
      <c r="L289" s="14">
        <f>IF($K289="","",DATE(YEAR(EOMONTH($K289,0)+1),MONTH(EOMONTH($K289,0)+1),'Config'!$B$14))</f>
      </c>
      <c r="M289" s="22"/>
      <c r="N289" s="16">
        <f>IF($B289="","",MAX($H289-$M289,0))</f>
      </c>
      <c r="O289" s="19">
        <f>IF($B289="","",IF($J289&lt;&gt;"Sí","Pagado (contado)",IF($N289&lt;=0,"Pagado",IF($M289&gt;0,"Abono parcial","Pendiente"))))</f>
      </c>
      <c r="P289" s="19">
        <f>IF(OR($B289="",$J289&lt;&gt;"Sí",$N289&lt;=0),"",IF(TODAY()&gt;$L289,"🔴 VENCIDO hace "&amp;(TODAY()-$L289)&amp;" día(s)",IF($L289-TODAY()&lt;='Config'!$B$15,"🟠 Faltan "&amp;($L289-TODAY())&amp;" día(s) para pagar","🟢 Al día (paga el "&amp;TEXT($L289,"dd/mm")&amp;")")))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16">
        <f>IF($B290="","",'Config'!$B$11+'Config'!$B$12)</f>
      </c>
      <c r="H290" s="16">
        <f>IF($B290="","",$F290+$G290)</f>
      </c>
      <c r="I290" s="20"/>
      <c r="J290" s="20"/>
      <c r="K290" s="14">
        <f>IF(OR($B290="",$J290&lt;&gt;"Sí"),"",IF(DAY($A290)&lt;='Config'!$B$13,DATE(YEAR($A290),MONTH($A290),'Config'!$B$13),EOMONTH($A290,0)+'Config'!$B$13))</f>
      </c>
      <c r="L290" s="14">
        <f>IF($K290="","",DATE(YEAR(EOMONTH($K290,0)+1),MONTH(EOMONTH($K290,0)+1),'Config'!$B$14))</f>
      </c>
      <c r="M290" s="22"/>
      <c r="N290" s="16">
        <f>IF($B290="","",MAX($H290-$M290,0))</f>
      </c>
      <c r="O290" s="19">
        <f>IF($B290="","",IF($J290&lt;&gt;"Sí","Pagado (contado)",IF($N290&lt;=0,"Pagado",IF($M290&gt;0,"Abono parcial","Pendiente"))))</f>
      </c>
      <c r="P290" s="19">
        <f>IF(OR($B290="",$J290&lt;&gt;"Sí",$N290&lt;=0),"",IF(TODAY()&gt;$L290,"🔴 VENCIDO hace "&amp;(TODAY()-$L290)&amp;" día(s)",IF($L290-TODAY()&lt;='Config'!$B$15,"🟠 Faltan "&amp;($L290-TODAY())&amp;" día(s) para pagar","🟢 Al día (paga el "&amp;TEXT($L290,"dd/mm")&amp;")")))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16">
        <f>IF($B291="","",'Config'!$B$11+'Config'!$B$12)</f>
      </c>
      <c r="H291" s="16">
        <f>IF($B291="","",$F291+$G291)</f>
      </c>
      <c r="I291" s="20"/>
      <c r="J291" s="20"/>
      <c r="K291" s="14">
        <f>IF(OR($B291="",$J291&lt;&gt;"Sí"),"",IF(DAY($A291)&lt;='Config'!$B$13,DATE(YEAR($A291),MONTH($A291),'Config'!$B$13),EOMONTH($A291,0)+'Config'!$B$13))</f>
      </c>
      <c r="L291" s="14">
        <f>IF($K291="","",DATE(YEAR(EOMONTH($K291,0)+1),MONTH(EOMONTH($K291,0)+1),'Config'!$B$14))</f>
      </c>
      <c r="M291" s="22"/>
      <c r="N291" s="16">
        <f>IF($B291="","",MAX($H291-$M291,0))</f>
      </c>
      <c r="O291" s="19">
        <f>IF($B291="","",IF($J291&lt;&gt;"Sí","Pagado (contado)",IF($N291&lt;=0,"Pagado",IF($M291&gt;0,"Abono parcial","Pendiente"))))</f>
      </c>
      <c r="P291" s="19">
        <f>IF(OR($B291="",$J291&lt;&gt;"Sí",$N291&lt;=0),"",IF(TODAY()&gt;$L291,"🔴 VENCIDO hace "&amp;(TODAY()-$L291)&amp;" día(s)",IF($L291-TODAY()&lt;='Config'!$B$15,"🟠 Faltan "&amp;($L291-TODAY())&amp;" día(s) para pagar","🟢 Al día (paga el "&amp;TEXT($L291,"dd/mm")&amp;")")))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16">
        <f>IF($B292="","",'Config'!$B$11+'Config'!$B$12)</f>
      </c>
      <c r="H292" s="16">
        <f>IF($B292="","",$F292+$G292)</f>
      </c>
      <c r="I292" s="20"/>
      <c r="J292" s="20"/>
      <c r="K292" s="14">
        <f>IF(OR($B292="",$J292&lt;&gt;"Sí"),"",IF(DAY($A292)&lt;='Config'!$B$13,DATE(YEAR($A292),MONTH($A292),'Config'!$B$13),EOMONTH($A292,0)+'Config'!$B$13))</f>
      </c>
      <c r="L292" s="14">
        <f>IF($K292="","",DATE(YEAR(EOMONTH($K292,0)+1),MONTH(EOMONTH($K292,0)+1),'Config'!$B$14))</f>
      </c>
      <c r="M292" s="22"/>
      <c r="N292" s="16">
        <f>IF($B292="","",MAX($H292-$M292,0))</f>
      </c>
      <c r="O292" s="19">
        <f>IF($B292="","",IF($J292&lt;&gt;"Sí","Pagado (contado)",IF($N292&lt;=0,"Pagado",IF($M292&gt;0,"Abono parcial","Pendiente"))))</f>
      </c>
      <c r="P292" s="19">
        <f>IF(OR($B292="",$J292&lt;&gt;"Sí",$N292&lt;=0),"",IF(TODAY()&gt;$L292,"🔴 VENCIDO hace "&amp;(TODAY()-$L292)&amp;" día(s)",IF($L292-TODAY()&lt;='Config'!$B$15,"🟠 Faltan "&amp;($L292-TODAY())&amp;" día(s) para pagar","🟢 Al día (paga el "&amp;TEXT($L292,"dd/mm")&amp;")")))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16">
        <f>IF($B293="","",'Config'!$B$11+'Config'!$B$12)</f>
      </c>
      <c r="H293" s="16">
        <f>IF($B293="","",$F293+$G293)</f>
      </c>
      <c r="I293" s="20"/>
      <c r="J293" s="20"/>
      <c r="K293" s="14">
        <f>IF(OR($B293="",$J293&lt;&gt;"Sí"),"",IF(DAY($A293)&lt;='Config'!$B$13,DATE(YEAR($A293),MONTH($A293),'Config'!$B$13),EOMONTH($A293,0)+'Config'!$B$13))</f>
      </c>
      <c r="L293" s="14">
        <f>IF($K293="","",DATE(YEAR(EOMONTH($K293,0)+1),MONTH(EOMONTH($K293,0)+1),'Config'!$B$14))</f>
      </c>
      <c r="M293" s="22"/>
      <c r="N293" s="16">
        <f>IF($B293="","",MAX($H293-$M293,0))</f>
      </c>
      <c r="O293" s="19">
        <f>IF($B293="","",IF($J293&lt;&gt;"Sí","Pagado (contado)",IF($N293&lt;=0,"Pagado",IF($M293&gt;0,"Abono parcial","Pendiente"))))</f>
      </c>
      <c r="P293" s="19">
        <f>IF(OR($B293="",$J293&lt;&gt;"Sí",$N293&lt;=0),"",IF(TODAY()&gt;$L293,"🔴 VENCIDO hace "&amp;(TODAY()-$L293)&amp;" día(s)",IF($L293-TODAY()&lt;='Config'!$B$15,"🟠 Faltan "&amp;($L293-TODAY())&amp;" día(s) para pagar","🟢 Al día (paga el "&amp;TEXT($L293,"dd/mm")&amp;")")))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16">
        <f>IF($B294="","",'Config'!$B$11+'Config'!$B$12)</f>
      </c>
      <c r="H294" s="16">
        <f>IF($B294="","",$F294+$G294)</f>
      </c>
      <c r="I294" s="20"/>
      <c r="J294" s="20"/>
      <c r="K294" s="14">
        <f>IF(OR($B294="",$J294&lt;&gt;"Sí"),"",IF(DAY($A294)&lt;='Config'!$B$13,DATE(YEAR($A294),MONTH($A294),'Config'!$B$13),EOMONTH($A294,0)+'Config'!$B$13))</f>
      </c>
      <c r="L294" s="14">
        <f>IF($K294="","",DATE(YEAR(EOMONTH($K294,0)+1),MONTH(EOMONTH($K294,0)+1),'Config'!$B$14))</f>
      </c>
      <c r="M294" s="22"/>
      <c r="N294" s="16">
        <f>IF($B294="","",MAX($H294-$M294,0))</f>
      </c>
      <c r="O294" s="19">
        <f>IF($B294="","",IF($J294&lt;&gt;"Sí","Pagado (contado)",IF($N294&lt;=0,"Pagado",IF($M294&gt;0,"Abono parcial","Pendiente"))))</f>
      </c>
      <c r="P294" s="19">
        <f>IF(OR($B294="",$J294&lt;&gt;"Sí",$N294&lt;=0),"",IF(TODAY()&gt;$L294,"🔴 VENCIDO hace "&amp;(TODAY()-$L294)&amp;" día(s)",IF($L294-TODAY()&lt;='Config'!$B$15,"🟠 Faltan "&amp;($L294-TODAY())&amp;" día(s) para pagar","🟢 Al día (paga el "&amp;TEXT($L294,"dd/mm")&amp;")")))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16">
        <f>IF($B295="","",'Config'!$B$11+'Config'!$B$12)</f>
      </c>
      <c r="H295" s="16">
        <f>IF($B295="","",$F295+$G295)</f>
      </c>
      <c r="I295" s="20"/>
      <c r="J295" s="20"/>
      <c r="K295" s="14">
        <f>IF(OR($B295="",$J295&lt;&gt;"Sí"),"",IF(DAY($A295)&lt;='Config'!$B$13,DATE(YEAR($A295),MONTH($A295),'Config'!$B$13),EOMONTH($A295,0)+'Config'!$B$13))</f>
      </c>
      <c r="L295" s="14">
        <f>IF($K295="","",DATE(YEAR(EOMONTH($K295,0)+1),MONTH(EOMONTH($K295,0)+1),'Config'!$B$14))</f>
      </c>
      <c r="M295" s="22"/>
      <c r="N295" s="16">
        <f>IF($B295="","",MAX($H295-$M295,0))</f>
      </c>
      <c r="O295" s="19">
        <f>IF($B295="","",IF($J295&lt;&gt;"Sí","Pagado (contado)",IF($N295&lt;=0,"Pagado",IF($M295&gt;0,"Abono parcial","Pendiente"))))</f>
      </c>
      <c r="P295" s="19">
        <f>IF(OR($B295="",$J295&lt;&gt;"Sí",$N295&lt;=0),"",IF(TODAY()&gt;$L295,"🔴 VENCIDO hace "&amp;(TODAY()-$L295)&amp;" día(s)",IF($L295-TODAY()&lt;='Config'!$B$15,"🟠 Faltan "&amp;($L295-TODAY())&amp;" día(s) para pagar","🟢 Al día (paga el "&amp;TEXT($L295,"dd/mm")&amp;")")))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16">
        <f>IF($B296="","",'Config'!$B$11+'Config'!$B$12)</f>
      </c>
      <c r="H296" s="16">
        <f>IF($B296="","",$F296+$G296)</f>
      </c>
      <c r="I296" s="20"/>
      <c r="J296" s="20"/>
      <c r="K296" s="14">
        <f>IF(OR($B296="",$J296&lt;&gt;"Sí"),"",IF(DAY($A296)&lt;='Config'!$B$13,DATE(YEAR($A296),MONTH($A296),'Config'!$B$13),EOMONTH($A296,0)+'Config'!$B$13))</f>
      </c>
      <c r="L296" s="14">
        <f>IF($K296="","",DATE(YEAR(EOMONTH($K296,0)+1),MONTH(EOMONTH($K296,0)+1),'Config'!$B$14))</f>
      </c>
      <c r="M296" s="22"/>
      <c r="N296" s="16">
        <f>IF($B296="","",MAX($H296-$M296,0))</f>
      </c>
      <c r="O296" s="19">
        <f>IF($B296="","",IF($J296&lt;&gt;"Sí","Pagado (contado)",IF($N296&lt;=0,"Pagado",IF($M296&gt;0,"Abono parcial","Pendiente"))))</f>
      </c>
      <c r="P296" s="19">
        <f>IF(OR($B296="",$J296&lt;&gt;"Sí",$N296&lt;=0),"",IF(TODAY()&gt;$L296,"🔴 VENCIDO hace "&amp;(TODAY()-$L296)&amp;" día(s)",IF($L296-TODAY()&lt;='Config'!$B$15,"🟠 Faltan "&amp;($L296-TODAY())&amp;" día(s) para pagar","🟢 Al día (paga el "&amp;TEXT($L296,"dd/mm")&amp;")")))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16">
        <f>IF($B297="","",'Config'!$B$11+'Config'!$B$12)</f>
      </c>
      <c r="H297" s="16">
        <f>IF($B297="","",$F297+$G297)</f>
      </c>
      <c r="I297" s="20"/>
      <c r="J297" s="20"/>
      <c r="K297" s="14">
        <f>IF(OR($B297="",$J297&lt;&gt;"Sí"),"",IF(DAY($A297)&lt;='Config'!$B$13,DATE(YEAR($A297),MONTH($A297),'Config'!$B$13),EOMONTH($A297,0)+'Config'!$B$13))</f>
      </c>
      <c r="L297" s="14">
        <f>IF($K297="","",DATE(YEAR(EOMONTH($K297,0)+1),MONTH(EOMONTH($K297,0)+1),'Config'!$B$14))</f>
      </c>
      <c r="M297" s="22"/>
      <c r="N297" s="16">
        <f>IF($B297="","",MAX($H297-$M297,0))</f>
      </c>
      <c r="O297" s="19">
        <f>IF($B297="","",IF($J297&lt;&gt;"Sí","Pagado (contado)",IF($N297&lt;=0,"Pagado",IF($M297&gt;0,"Abono parcial","Pendiente"))))</f>
      </c>
      <c r="P297" s="19">
        <f>IF(OR($B297="",$J297&lt;&gt;"Sí",$N297&lt;=0),"",IF(TODAY()&gt;$L297,"🔴 VENCIDO hace "&amp;(TODAY()-$L297)&amp;" día(s)",IF($L297-TODAY()&lt;='Config'!$B$15,"🟠 Faltan "&amp;($L297-TODAY())&amp;" día(s) para pagar","🟢 Al día (paga el "&amp;TEXT($L297,"dd/mm")&amp;")")))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16">
        <f>IF($B298="","",'Config'!$B$11+'Config'!$B$12)</f>
      </c>
      <c r="H298" s="16">
        <f>IF($B298="","",$F298+$G298)</f>
      </c>
      <c r="I298" s="20"/>
      <c r="J298" s="20"/>
      <c r="K298" s="14">
        <f>IF(OR($B298="",$J298&lt;&gt;"Sí"),"",IF(DAY($A298)&lt;='Config'!$B$13,DATE(YEAR($A298),MONTH($A298),'Config'!$B$13),EOMONTH($A298,0)+'Config'!$B$13))</f>
      </c>
      <c r="L298" s="14">
        <f>IF($K298="","",DATE(YEAR(EOMONTH($K298,0)+1),MONTH(EOMONTH($K298,0)+1),'Config'!$B$14))</f>
      </c>
      <c r="M298" s="22"/>
      <c r="N298" s="16">
        <f>IF($B298="","",MAX($H298-$M298,0))</f>
      </c>
      <c r="O298" s="19">
        <f>IF($B298="","",IF($J298&lt;&gt;"Sí","Pagado (contado)",IF($N298&lt;=0,"Pagado",IF($M298&gt;0,"Abono parcial","Pendiente"))))</f>
      </c>
      <c r="P298" s="19">
        <f>IF(OR($B298="",$J298&lt;&gt;"Sí",$N298&lt;=0),"",IF(TODAY()&gt;$L298,"🔴 VENCIDO hace "&amp;(TODAY()-$L298)&amp;" día(s)",IF($L298-TODAY()&lt;='Config'!$B$15,"🟠 Faltan "&amp;($L298-TODAY())&amp;" día(s) para pagar","🟢 Al día (paga el "&amp;TEXT($L298,"dd/mm")&amp;")")))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16">
        <f>IF($B299="","",'Config'!$B$11+'Config'!$B$12)</f>
      </c>
      <c r="H299" s="16">
        <f>IF($B299="","",$F299+$G299)</f>
      </c>
      <c r="I299" s="20"/>
      <c r="J299" s="20"/>
      <c r="K299" s="14">
        <f>IF(OR($B299="",$J299&lt;&gt;"Sí"),"",IF(DAY($A299)&lt;='Config'!$B$13,DATE(YEAR($A299),MONTH($A299),'Config'!$B$13),EOMONTH($A299,0)+'Config'!$B$13))</f>
      </c>
      <c r="L299" s="14">
        <f>IF($K299="","",DATE(YEAR(EOMONTH($K299,0)+1),MONTH(EOMONTH($K299,0)+1),'Config'!$B$14))</f>
      </c>
      <c r="M299" s="22"/>
      <c r="N299" s="16">
        <f>IF($B299="","",MAX($H299-$M299,0))</f>
      </c>
      <c r="O299" s="19">
        <f>IF($B299="","",IF($J299&lt;&gt;"Sí","Pagado (contado)",IF($N299&lt;=0,"Pagado",IF($M299&gt;0,"Abono parcial","Pendiente"))))</f>
      </c>
      <c r="P299" s="19">
        <f>IF(OR($B299="",$J299&lt;&gt;"Sí",$N299&lt;=0),"",IF(TODAY()&gt;$L299,"🔴 VENCIDO hace "&amp;(TODAY()-$L299)&amp;" día(s)",IF($L299-TODAY()&lt;='Config'!$B$15,"🟠 Faltan "&amp;($L299-TODAY())&amp;" día(s) para pagar","🟢 Al día (paga el "&amp;TEXT($L299,"dd/mm")&amp;")")))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16">
        <f>IF($B300="","",'Config'!$B$11+'Config'!$B$12)</f>
      </c>
      <c r="H300" s="16">
        <f>IF($B300="","",$F300+$G300)</f>
      </c>
      <c r="I300" s="20"/>
      <c r="J300" s="20"/>
      <c r="K300" s="14">
        <f>IF(OR($B300="",$J300&lt;&gt;"Sí"),"",IF(DAY($A300)&lt;='Config'!$B$13,DATE(YEAR($A300),MONTH($A300),'Config'!$B$13),EOMONTH($A300,0)+'Config'!$B$13))</f>
      </c>
      <c r="L300" s="14">
        <f>IF($K300="","",DATE(YEAR(EOMONTH($K300,0)+1),MONTH(EOMONTH($K300,0)+1),'Config'!$B$14))</f>
      </c>
      <c r="M300" s="22"/>
      <c r="N300" s="16">
        <f>IF($B300="","",MAX($H300-$M300,0))</f>
      </c>
      <c r="O300" s="19">
        <f>IF($B300="","",IF($J300&lt;&gt;"Sí","Pagado (contado)",IF($N300&lt;=0,"Pagado",IF($M300&gt;0,"Abono parcial","Pendiente"))))</f>
      </c>
      <c r="P300" s="19">
        <f>IF(OR($B300="",$J300&lt;&gt;"Sí",$N300&lt;=0),"",IF(TODAY()&gt;$L300,"🔴 VENCIDO hace "&amp;(TODAY()-$L300)&amp;" día(s)",IF($L300-TODAY()&lt;='Config'!$B$15,"🟠 Faltan "&amp;($L300-TODAY())&amp;" día(s) para pagar","🟢 Al día (paga el "&amp;TEXT($L300,"dd/mm")&amp;")")))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16">
        <f>IF($B301="","",'Config'!$B$11+'Config'!$B$12)</f>
      </c>
      <c r="H301" s="16">
        <f>IF($B301="","",$F301+$G301)</f>
      </c>
      <c r="I301" s="20"/>
      <c r="J301" s="20"/>
      <c r="K301" s="14">
        <f>IF(OR($B301="",$J301&lt;&gt;"Sí"),"",IF(DAY($A301)&lt;='Config'!$B$13,DATE(YEAR($A301),MONTH($A301),'Config'!$B$13),EOMONTH($A301,0)+'Config'!$B$13))</f>
      </c>
      <c r="L301" s="14">
        <f>IF($K301="","",DATE(YEAR(EOMONTH($K301,0)+1),MONTH(EOMONTH($K301,0)+1),'Config'!$B$14))</f>
      </c>
      <c r="M301" s="22"/>
      <c r="N301" s="16">
        <f>IF($B301="","",MAX($H301-$M301,0))</f>
      </c>
      <c r="O301" s="19">
        <f>IF($B301="","",IF($J301&lt;&gt;"Sí","Pagado (contado)",IF($N301&lt;=0,"Pagado",IF($M301&gt;0,"Abono parcial","Pendiente"))))</f>
      </c>
      <c r="P301" s="19">
        <f>IF(OR($B301="",$J301&lt;&gt;"Sí",$N301&lt;=0),"",IF(TODAY()&gt;$L301,"🔴 VENCIDO hace "&amp;(TODAY()-$L301)&amp;" día(s)",IF($L301-TODAY()&lt;='Config'!$B$15,"🟠 Faltan "&amp;($L301-TODAY())&amp;" día(s) para pagar","🟢 Al día (paga el "&amp;TEXT($L301,"dd/mm")&amp;")")))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I2:I301">
      <formula1>'Config'!$N$2:$N$20</formula1>
    </dataValidation>
    <dataValidation type="list" allowBlank="1" showInputMessage="1" showErrorMessage="0" sqref="J2:J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4.00" customWidth="1"/>
    <col min="12" max="12" width="10.00" customWidth="1"/>
    <col min="13" max="13" width="14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Utilidad</t>
        </is>
      </c>
      <c r="L1" s="1" t="inlineStr">
        <is>
          <t xml:space="preserve">Margen %</t>
        </is>
      </c>
      <c r="M1" s="1" t="inlineStr">
        <is>
          <t xml:space="preserve">clave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IF($D2="","",$H2-$J2)</f>
      </c>
      <c r="L2" s="18">
        <f>IF($D2="","",IF($H2=0,0,($H2-$J2)/$H2))</f>
      </c>
      <c r="M2" s="19">
        <f>IF($D2="","",$D2&amp;"|"&amp;$G2)</f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IF($D3="","",$H3-$J3)</f>
      </c>
      <c r="L3" s="18">
        <f>IF($D3="","",IF($H3=0,0,($H3-$J3)/$H3))</f>
      </c>
      <c r="M3" s="19">
        <f>IF($D3="","",$D3&amp;"|"&amp;$G3)</f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IF($D4="","",$H4-$J4)</f>
      </c>
      <c r="L4" s="18">
        <f>IF($D4="","",IF($H4=0,0,($H4-$J4)/$H4))</f>
      </c>
      <c r="M4" s="19">
        <f>IF($D4="","",$D4&amp;"|"&amp;$G4)</f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IF($D5="","",$H5-$J5)</f>
      </c>
      <c r="L5" s="18">
        <f>IF($D5="","",IF($H5=0,0,($H5-$J5)/$H5))</f>
      </c>
      <c r="M5" s="19">
        <f>IF($D5="","",$D5&amp;"|"&amp;$G5)</f>
      </c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IF($D6="","",$H6-$J6)</f>
      </c>
      <c r="L6" s="18">
        <f>IF($D6="","",IF($H6=0,0,($H6-$J6)/$H6))</f>
      </c>
      <c r="M6" s="19">
        <f>IF($D6="","",$D6&amp;"|"&amp;$G6)</f>
      </c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IF($D7="","",$H7-$J7)</f>
      </c>
      <c r="L7" s="18">
        <f>IF($D7="","",IF($H7=0,0,($H7-$J7)/$H7))</f>
      </c>
      <c r="M7" s="19">
        <f>IF($D7="","",$D7&amp;"|"&amp;$G7)</f>
      </c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IF($D8="","",$H8-$J8)</f>
      </c>
      <c r="L8" s="18">
        <f>IF($D8="","",IF($H8=0,0,($H8-$J8)/$H8))</f>
      </c>
      <c r="M8" s="19">
        <f>IF($D8="","",$D8&amp;"|"&amp;$G8)</f>
      </c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IF($D9="","",$H9-$J9)</f>
      </c>
      <c r="L9" s="18">
        <f>IF($D9="","",IF($H9=0,0,($H9-$J9)/$H9))</f>
      </c>
      <c r="M9" s="19">
        <f>IF($D9="","",$D9&amp;"|"&amp;$G9)</f>
      </c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IF($D10="","",$H10-$J10)</f>
      </c>
      <c r="L10" s="18">
        <f>IF($D10="","",IF($H10=0,0,($H10-$J10)/$H10))</f>
      </c>
      <c r="M10" s="19">
        <f>IF($D10="","",$D10&amp;"|"&amp;$G10)</f>
      </c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IF($D11="","",$H11-$J11)</f>
      </c>
      <c r="L11" s="18">
        <f>IF($D11="","",IF($H11=0,0,($H11-$J11)/$H11))</f>
      </c>
      <c r="M11" s="19">
        <f>IF($D11="","",$D11&amp;"|"&amp;$G11)</f>
      </c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IF($D12="","",$H12-$J12)</f>
      </c>
      <c r="L12" s="18">
        <f>IF($D12="","",IF($H12=0,0,($H12-$J12)/$H12))</f>
      </c>
      <c r="M12" s="19">
        <f>IF($D12="","",$D12&amp;"|"&amp;$G12)</f>
      </c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IF($D13="","",$H13-$J13)</f>
      </c>
      <c r="L13" s="18">
        <f>IF($D13="","",IF($H13=0,0,($H13-$J13)/$H13))</f>
      </c>
      <c r="M13" s="19">
        <f>IF($D13="","",$D13&amp;"|"&amp;$G13)</f>
      </c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IF($D14="","",$H14-$J14)</f>
      </c>
      <c r="L14" s="18">
        <f>IF($D14="","",IF($H14=0,0,($H14-$J14)/$H14))</f>
      </c>
      <c r="M14" s="19">
        <f>IF($D14="","",$D14&amp;"|"&amp;$G14)</f>
      </c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IF($D15="","",$H15-$J15)</f>
      </c>
      <c r="L15" s="18">
        <f>IF($D15="","",IF($H15=0,0,($H15-$J15)/$H15))</f>
      </c>
      <c r="M15" s="19">
        <f>IF($D15="","",$D15&amp;"|"&amp;$G15)</f>
      </c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IF($D16="","",$H16-$J16)</f>
      </c>
      <c r="L16" s="18">
        <f>IF($D16="","",IF($H16=0,0,($H16-$J16)/$H16))</f>
      </c>
      <c r="M16" s="19">
        <f>IF($D16="","",$D16&amp;"|"&amp;$G16)</f>
      </c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IF($D17="","",$H17-$J17)</f>
      </c>
      <c r="L17" s="18">
        <f>IF($D17="","",IF($H17=0,0,($H17-$J17)/$H17))</f>
      </c>
      <c r="M17" s="19">
        <f>IF($D17="","",$D17&amp;"|"&amp;$G17)</f>
      </c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IF($D18="","",$H18-$J18)</f>
      </c>
      <c r="L18" s="18">
        <f>IF($D18="","",IF($H18=0,0,($H18-$J18)/$H18))</f>
      </c>
      <c r="M18" s="19">
        <f>IF($D18="","",$D18&amp;"|"&amp;$G18)</f>
      </c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IF($D19="","",$H19-$J19)</f>
      </c>
      <c r="L19" s="18">
        <f>IF($D19="","",IF($H19=0,0,($H19-$J19)/$H19))</f>
      </c>
      <c r="M19" s="19">
        <f>IF($D19="","",$D19&amp;"|"&amp;$G19)</f>
      </c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IF($D20="","",$H20-$J20)</f>
      </c>
      <c r="L20" s="18">
        <f>IF($D20="","",IF($H20=0,0,($H20-$J20)/$H20))</f>
      </c>
      <c r="M20" s="19">
        <f>IF($D20="","",$D20&amp;"|"&amp;$G20)</f>
      </c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IF($D21="","",$H21-$J21)</f>
      </c>
      <c r="L21" s="18">
        <f>IF($D21="","",IF($H21=0,0,($H21-$J21)/$H21))</f>
      </c>
      <c r="M21" s="19">
        <f>IF($D21="","",$D21&amp;"|"&amp;$G21)</f>
      </c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IF($D22="","",$H22-$J22)</f>
      </c>
      <c r="L22" s="18">
        <f>IF($D22="","",IF($H22=0,0,($H22-$J22)/$H22))</f>
      </c>
      <c r="M22" s="19">
        <f>IF($D22="","",$D22&amp;"|"&amp;$G22)</f>
      </c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IF($D23="","",$H23-$J23)</f>
      </c>
      <c r="L23" s="18">
        <f>IF($D23="","",IF($H23=0,0,($H23-$J23)/$H23))</f>
      </c>
      <c r="M23" s="19">
        <f>IF($D23="","",$D23&amp;"|"&amp;$G23)</f>
      </c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IF($D24="","",$H24-$J24)</f>
      </c>
      <c r="L24" s="18">
        <f>IF($D24="","",IF($H24=0,0,($H24-$J24)/$H24))</f>
      </c>
      <c r="M24" s="19">
        <f>IF($D24="","",$D24&amp;"|"&amp;$G24)</f>
      </c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IF($D25="","",$H25-$J25)</f>
      </c>
      <c r="L25" s="18">
        <f>IF($D25="","",IF($H25=0,0,($H25-$J25)/$H25))</f>
      </c>
      <c r="M25" s="19">
        <f>IF($D25="","",$D25&amp;"|"&amp;$G25)</f>
      </c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IF($D26="","",$H26-$J26)</f>
      </c>
      <c r="L26" s="18">
        <f>IF($D26="","",IF($H26=0,0,($H26-$J26)/$H26))</f>
      </c>
      <c r="M26" s="19">
        <f>IF($D26="","",$D26&amp;"|"&amp;$G26)</f>
      </c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IF($D27="","",$H27-$J27)</f>
      </c>
      <c r="L27" s="18">
        <f>IF($D27="","",IF($H27=0,0,($H27-$J27)/$H27))</f>
      </c>
      <c r="M27" s="19">
        <f>IF($D27="","",$D27&amp;"|"&amp;$G27)</f>
      </c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IF($D28="","",$H28-$J28)</f>
      </c>
      <c r="L28" s="18">
        <f>IF($D28="","",IF($H28=0,0,($H28-$J28)/$H28))</f>
      </c>
      <c r="M28" s="19">
        <f>IF($D28="","",$D28&amp;"|"&amp;$G28)</f>
      </c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IF($D29="","",$H29-$J29)</f>
      </c>
      <c r="L29" s="18">
        <f>IF($D29="","",IF($H29=0,0,($H29-$J29)/$H29))</f>
      </c>
      <c r="M29" s="19">
        <f>IF($D29="","",$D29&amp;"|"&amp;$G29)</f>
      </c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IF($D30="","",$H30-$J30)</f>
      </c>
      <c r="L30" s="18">
        <f>IF($D30="","",IF($H30=0,0,($H30-$J30)/$H30))</f>
      </c>
      <c r="M30" s="19">
        <f>IF($D30="","",$D30&amp;"|"&amp;$G30)</f>
      </c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IF($D31="","",$H31-$J31)</f>
      </c>
      <c r="L31" s="18">
        <f>IF($D31="","",IF($H31=0,0,($H31-$J31)/$H31))</f>
      </c>
      <c r="M31" s="19">
        <f>IF($D31="","",$D31&amp;"|"&amp;$G31)</f>
      </c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IF($D32="","",$H32-$J32)</f>
      </c>
      <c r="L32" s="18">
        <f>IF($D32="","",IF($H32=0,0,($H32-$J32)/$H32))</f>
      </c>
      <c r="M32" s="19">
        <f>IF($D32="","",$D32&amp;"|"&amp;$G32)</f>
      </c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IF($D33="","",$H33-$J33)</f>
      </c>
      <c r="L33" s="18">
        <f>IF($D33="","",IF($H33=0,0,($H33-$J33)/$H33))</f>
      </c>
      <c r="M33" s="19">
        <f>IF($D33="","",$D33&amp;"|"&amp;$G33)</f>
      </c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IF($D34="","",$H34-$J34)</f>
      </c>
      <c r="L34" s="18">
        <f>IF($D34="","",IF($H34=0,0,($H34-$J34)/$H34))</f>
      </c>
      <c r="M34" s="19">
        <f>IF($D34="","",$D34&amp;"|"&amp;$G34)</f>
      </c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IF($D35="","",$H35-$J35)</f>
      </c>
      <c r="L35" s="18">
        <f>IF($D35="","",IF($H35=0,0,($H35-$J35)/$H35))</f>
      </c>
      <c r="M35" s="19">
        <f>IF($D35="","",$D35&amp;"|"&amp;$G35)</f>
      </c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IF($D36="","",$H36-$J36)</f>
      </c>
      <c r="L36" s="18">
        <f>IF($D36="","",IF($H36=0,0,($H36-$J36)/$H36))</f>
      </c>
      <c r="M36" s="19">
        <f>IF($D36="","",$D36&amp;"|"&amp;$G36)</f>
      </c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IF($D37="","",$H37-$J37)</f>
      </c>
      <c r="L37" s="18">
        <f>IF($D37="","",IF($H37=0,0,($H37-$J37)/$H37))</f>
      </c>
      <c r="M37" s="19">
        <f>IF($D37="","",$D37&amp;"|"&amp;$G37)</f>
      </c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IF($D38="","",$H38-$J38)</f>
      </c>
      <c r="L38" s="18">
        <f>IF($D38="","",IF($H38=0,0,($H38-$J38)/$H38))</f>
      </c>
      <c r="M38" s="19">
        <f>IF($D38="","",$D38&amp;"|"&amp;$G38)</f>
      </c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IF($D39="","",$H39-$J39)</f>
      </c>
      <c r="L39" s="18">
        <f>IF($D39="","",IF($H39=0,0,($H39-$J39)/$H39))</f>
      </c>
      <c r="M39" s="19">
        <f>IF($D39="","",$D39&amp;"|"&amp;$G39)</f>
      </c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IF($D40="","",$H40-$J40)</f>
      </c>
      <c r="L40" s="18">
        <f>IF($D40="","",IF($H40=0,0,($H40-$J40)/$H40))</f>
      </c>
      <c r="M40" s="19">
        <f>IF($D40="","",$D40&amp;"|"&amp;$G40)</f>
      </c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IF($D41="","",$H41-$J41)</f>
      </c>
      <c r="L41" s="18">
        <f>IF($D41="","",IF($H41=0,0,($H41-$J41)/$H41))</f>
      </c>
      <c r="M41" s="19">
        <f>IF($D41="","",$D41&amp;"|"&amp;$G41)</f>
      </c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IF($D42="","",$H42-$J42)</f>
      </c>
      <c r="L42" s="18">
        <f>IF($D42="","",IF($H42=0,0,($H42-$J42)/$H42))</f>
      </c>
      <c r="M42" s="19">
        <f>IF($D42="","",$D42&amp;"|"&amp;$G42)</f>
      </c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IF($D43="","",$H43-$J43)</f>
      </c>
      <c r="L43" s="18">
        <f>IF($D43="","",IF($H43=0,0,($H43-$J43)/$H43))</f>
      </c>
      <c r="M43" s="19">
        <f>IF($D43="","",$D43&amp;"|"&amp;$G43)</f>
      </c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IF($D44="","",$H44-$J44)</f>
      </c>
      <c r="L44" s="18">
        <f>IF($D44="","",IF($H44=0,0,($H44-$J44)/$H44))</f>
      </c>
      <c r="M44" s="19">
        <f>IF($D44="","",$D44&amp;"|"&amp;$G44)</f>
      </c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IF($D45="","",$H45-$J45)</f>
      </c>
      <c r="L45" s="18">
        <f>IF($D45="","",IF($H45=0,0,($H45-$J45)/$H45))</f>
      </c>
      <c r="M45" s="19">
        <f>IF($D45="","",$D45&amp;"|"&amp;$G45)</f>
      </c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IF($D46="","",$H46-$J46)</f>
      </c>
      <c r="L46" s="18">
        <f>IF($D46="","",IF($H46=0,0,($H46-$J46)/$H46))</f>
      </c>
      <c r="M46" s="19">
        <f>IF($D46="","",$D46&amp;"|"&amp;$G46)</f>
      </c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IF($D47="","",$H47-$J47)</f>
      </c>
      <c r="L47" s="18">
        <f>IF($D47="","",IF($H47=0,0,($H47-$J47)/$H47))</f>
      </c>
      <c r="M47" s="19">
        <f>IF($D47="","",$D47&amp;"|"&amp;$G47)</f>
      </c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IF($D48="","",$H48-$J48)</f>
      </c>
      <c r="L48" s="18">
        <f>IF($D48="","",IF($H48=0,0,($H48-$J48)/$H48))</f>
      </c>
      <c r="M48" s="19">
        <f>IF($D48="","",$D48&amp;"|"&amp;$G48)</f>
      </c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IF($D49="","",$H49-$J49)</f>
      </c>
      <c r="L49" s="18">
        <f>IF($D49="","",IF($H49=0,0,($H49-$J49)/$H49))</f>
      </c>
      <c r="M49" s="19">
        <f>IF($D49="","",$D49&amp;"|"&amp;$G49)</f>
      </c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IF($D50="","",$H50-$J50)</f>
      </c>
      <c r="L50" s="18">
        <f>IF($D50="","",IF($H50=0,0,($H50-$J50)/$H50))</f>
      </c>
      <c r="M50" s="19">
        <f>IF($D50="","",$D50&amp;"|"&amp;$G50)</f>
      </c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IF($D51="","",$H51-$J51)</f>
      </c>
      <c r="L51" s="18">
        <f>IF($D51="","",IF($H51=0,0,($H51-$J51)/$H51))</f>
      </c>
      <c r="M51" s="19">
        <f>IF($D51="","",$D51&amp;"|"&amp;$G51)</f>
      </c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IF($D52="","",$H52-$J52)</f>
      </c>
      <c r="L52" s="18">
        <f>IF($D52="","",IF($H52=0,0,($H52-$J52)/$H52))</f>
      </c>
      <c r="M52" s="19">
        <f>IF($D52="","",$D52&amp;"|"&amp;$G52)</f>
      </c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IF($D53="","",$H53-$J53)</f>
      </c>
      <c r="L53" s="18">
        <f>IF($D53="","",IF($H53=0,0,($H53-$J53)/$H53))</f>
      </c>
      <c r="M53" s="19">
        <f>IF($D53="","",$D53&amp;"|"&amp;$G53)</f>
      </c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IF($D54="","",$H54-$J54)</f>
      </c>
      <c r="L54" s="18">
        <f>IF($D54="","",IF($H54=0,0,($H54-$J54)/$H54))</f>
      </c>
      <c r="M54" s="19">
        <f>IF($D54="","",$D54&amp;"|"&amp;$G54)</f>
      </c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IF($D55="","",$H55-$J55)</f>
      </c>
      <c r="L55" s="18">
        <f>IF($D55="","",IF($H55=0,0,($H55-$J55)/$H55))</f>
      </c>
      <c r="M55" s="19">
        <f>IF($D55="","",$D55&amp;"|"&amp;$G55)</f>
      </c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IF($D56="","",$H56-$J56)</f>
      </c>
      <c r="L56" s="18">
        <f>IF($D56="","",IF($H56=0,0,($H56-$J56)/$H56))</f>
      </c>
      <c r="M56" s="19">
        <f>IF($D56="","",$D56&amp;"|"&amp;$G56)</f>
      </c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IF($D57="","",$H57-$J57)</f>
      </c>
      <c r="L57" s="18">
        <f>IF($D57="","",IF($H57=0,0,($H57-$J57)/$H57))</f>
      </c>
      <c r="M57" s="19">
        <f>IF($D57="","",$D57&amp;"|"&amp;$G57)</f>
      </c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IF($D58="","",$H58-$J58)</f>
      </c>
      <c r="L58" s="18">
        <f>IF($D58="","",IF($H58=0,0,($H58-$J58)/$H58))</f>
      </c>
      <c r="M58" s="19">
        <f>IF($D58="","",$D58&amp;"|"&amp;$G58)</f>
      </c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IF($D59="","",$H59-$J59)</f>
      </c>
      <c r="L59" s="18">
        <f>IF($D59="","",IF($H59=0,0,($H59-$J59)/$H59))</f>
      </c>
      <c r="M59" s="19">
        <f>IF($D59="","",$D59&amp;"|"&amp;$G59)</f>
      </c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IF($D60="","",$H60-$J60)</f>
      </c>
      <c r="L60" s="18">
        <f>IF($D60="","",IF($H60=0,0,($H60-$J60)/$H60))</f>
      </c>
      <c r="M60" s="19">
        <f>IF($D60="","",$D60&amp;"|"&amp;$G60)</f>
      </c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IF($D61="","",$H61-$J61)</f>
      </c>
      <c r="L61" s="18">
        <f>IF($D61="","",IF($H61=0,0,($H61-$J61)/$H61))</f>
      </c>
      <c r="M61" s="19">
        <f>IF($D61="","",$D61&amp;"|"&amp;$G61)</f>
      </c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IF($D62="","",$H62-$J62)</f>
      </c>
      <c r="L62" s="18">
        <f>IF($D62="","",IF($H62=0,0,($H62-$J62)/$H62))</f>
      </c>
      <c r="M62" s="19">
        <f>IF($D62="","",$D62&amp;"|"&amp;$G62)</f>
      </c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IF($D63="","",$H63-$J63)</f>
      </c>
      <c r="L63" s="18">
        <f>IF($D63="","",IF($H63=0,0,($H63-$J63)/$H63))</f>
      </c>
      <c r="M63" s="19">
        <f>IF($D63="","",$D63&amp;"|"&amp;$G63)</f>
      </c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IF($D64="","",$H64-$J64)</f>
      </c>
      <c r="L64" s="18">
        <f>IF($D64="","",IF($H64=0,0,($H64-$J64)/$H64))</f>
      </c>
      <c r="M64" s="19">
        <f>IF($D64="","",$D64&amp;"|"&amp;$G64)</f>
      </c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IF($D65="","",$H65-$J65)</f>
      </c>
      <c r="L65" s="18">
        <f>IF($D65="","",IF($H65=0,0,($H65-$J65)/$H65))</f>
      </c>
      <c r="M65" s="19">
        <f>IF($D65="","",$D65&amp;"|"&amp;$G65)</f>
      </c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IF($D66="","",$H66-$J66)</f>
      </c>
      <c r="L66" s="18">
        <f>IF($D66="","",IF($H66=0,0,($H66-$J66)/$H66))</f>
      </c>
      <c r="M66" s="19">
        <f>IF($D66="","",$D66&amp;"|"&amp;$G66)</f>
      </c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IF($D67="","",$H67-$J67)</f>
      </c>
      <c r="L67" s="18">
        <f>IF($D67="","",IF($H67=0,0,($H67-$J67)/$H67))</f>
      </c>
      <c r="M67" s="19">
        <f>IF($D67="","",$D67&amp;"|"&amp;$G67)</f>
      </c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IF($D68="","",$H68-$J68)</f>
      </c>
      <c r="L68" s="18">
        <f>IF($D68="","",IF($H68=0,0,($H68-$J68)/$H68))</f>
      </c>
      <c r="M68" s="19">
        <f>IF($D68="","",$D68&amp;"|"&amp;$G68)</f>
      </c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IF($D69="","",$H69-$J69)</f>
      </c>
      <c r="L69" s="18">
        <f>IF($D69="","",IF($H69=0,0,($H69-$J69)/$H69))</f>
      </c>
      <c r="M69" s="19">
        <f>IF($D69="","",$D69&amp;"|"&amp;$G69)</f>
      </c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IF($D70="","",$H70-$J70)</f>
      </c>
      <c r="L70" s="18">
        <f>IF($D70="","",IF($H70=0,0,($H70-$J70)/$H70))</f>
      </c>
      <c r="M70" s="19">
        <f>IF($D70="","",$D70&amp;"|"&amp;$G70)</f>
      </c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IF($D71="","",$H71-$J71)</f>
      </c>
      <c r="L71" s="18">
        <f>IF($D71="","",IF($H71=0,0,($H71-$J71)/$H71))</f>
      </c>
      <c r="M71" s="19">
        <f>IF($D71="","",$D71&amp;"|"&amp;$G71)</f>
      </c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IF($D72="","",$H72-$J72)</f>
      </c>
      <c r="L72" s="18">
        <f>IF($D72="","",IF($H72=0,0,($H72-$J72)/$H72))</f>
      </c>
      <c r="M72" s="19">
        <f>IF($D72="","",$D72&amp;"|"&amp;$G72)</f>
      </c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IF($D73="","",$H73-$J73)</f>
      </c>
      <c r="L73" s="18">
        <f>IF($D73="","",IF($H73=0,0,($H73-$J73)/$H73))</f>
      </c>
      <c r="M73" s="19">
        <f>IF($D73="","",$D73&amp;"|"&amp;$G73)</f>
      </c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IF($D74="","",$H74-$J74)</f>
      </c>
      <c r="L74" s="18">
        <f>IF($D74="","",IF($H74=0,0,($H74-$J74)/$H74))</f>
      </c>
      <c r="M74" s="19">
        <f>IF($D74="","",$D74&amp;"|"&amp;$G74)</f>
      </c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IF($D75="","",$H75-$J75)</f>
      </c>
      <c r="L75" s="18">
        <f>IF($D75="","",IF($H75=0,0,($H75-$J75)/$H75))</f>
      </c>
      <c r="M75" s="19">
        <f>IF($D75="","",$D75&amp;"|"&amp;$G75)</f>
      </c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IF($D76="","",$H76-$J76)</f>
      </c>
      <c r="L76" s="18">
        <f>IF($D76="","",IF($H76=0,0,($H76-$J76)/$H76))</f>
      </c>
      <c r="M76" s="19">
        <f>IF($D76="","",$D76&amp;"|"&amp;$G76)</f>
      </c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IF($D77="","",$H77-$J77)</f>
      </c>
      <c r="L77" s="18">
        <f>IF($D77="","",IF($H77=0,0,($H77-$J77)/$H77))</f>
      </c>
      <c r="M77" s="19">
        <f>IF($D77="","",$D77&amp;"|"&amp;$G77)</f>
      </c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IF($D78="","",$H78-$J78)</f>
      </c>
      <c r="L78" s="18">
        <f>IF($D78="","",IF($H78=0,0,($H78-$J78)/$H78))</f>
      </c>
      <c r="M78" s="19">
        <f>IF($D78="","",$D78&amp;"|"&amp;$G78)</f>
      </c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IF($D79="","",$H79-$J79)</f>
      </c>
      <c r="L79" s="18">
        <f>IF($D79="","",IF($H79=0,0,($H79-$J79)/$H79))</f>
      </c>
      <c r="M79" s="19">
        <f>IF($D79="","",$D79&amp;"|"&amp;$G79)</f>
      </c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IF($D80="","",$H80-$J80)</f>
      </c>
      <c r="L80" s="18">
        <f>IF($D80="","",IF($H80=0,0,($H80-$J80)/$H80))</f>
      </c>
      <c r="M80" s="19">
        <f>IF($D80="","",$D80&amp;"|"&amp;$G80)</f>
      </c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IF($D81="","",$H81-$J81)</f>
      </c>
      <c r="L81" s="18">
        <f>IF($D81="","",IF($H81=0,0,($H81-$J81)/$H81))</f>
      </c>
      <c r="M81" s="19">
        <f>IF($D81="","",$D81&amp;"|"&amp;$G81)</f>
      </c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IF($D82="","",$H82-$J82)</f>
      </c>
      <c r="L82" s="18">
        <f>IF($D82="","",IF($H82=0,0,($H82-$J82)/$H82))</f>
      </c>
      <c r="M82" s="19">
        <f>IF($D82="","",$D82&amp;"|"&amp;$G82)</f>
      </c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IF($D83="","",$H83-$J83)</f>
      </c>
      <c r="L83" s="18">
        <f>IF($D83="","",IF($H83=0,0,($H83-$J83)/$H83))</f>
      </c>
      <c r="M83" s="19">
        <f>IF($D83="","",$D83&amp;"|"&amp;$G83)</f>
      </c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IF($D84="","",$H84-$J84)</f>
      </c>
      <c r="L84" s="18">
        <f>IF($D84="","",IF($H84=0,0,($H84-$J84)/$H84))</f>
      </c>
      <c r="M84" s="19">
        <f>IF($D84="","",$D84&amp;"|"&amp;$G84)</f>
      </c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IF($D85="","",$H85-$J85)</f>
      </c>
      <c r="L85" s="18">
        <f>IF($D85="","",IF($H85=0,0,($H85-$J85)/$H85))</f>
      </c>
      <c r="M85" s="19">
        <f>IF($D85="","",$D85&amp;"|"&amp;$G85)</f>
      </c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IF($D86="","",$H86-$J86)</f>
      </c>
      <c r="L86" s="18">
        <f>IF($D86="","",IF($H86=0,0,($H86-$J86)/$H86))</f>
      </c>
      <c r="M86" s="19">
        <f>IF($D86="","",$D86&amp;"|"&amp;$G86)</f>
      </c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IF($D87="","",$H87-$J87)</f>
      </c>
      <c r="L87" s="18">
        <f>IF($D87="","",IF($H87=0,0,($H87-$J87)/$H87))</f>
      </c>
      <c r="M87" s="19">
        <f>IF($D87="","",$D87&amp;"|"&amp;$G87)</f>
      </c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IF($D88="","",$H88-$J88)</f>
      </c>
      <c r="L88" s="18">
        <f>IF($D88="","",IF($H88=0,0,($H88-$J88)/$H88))</f>
      </c>
      <c r="M88" s="19">
        <f>IF($D88="","",$D88&amp;"|"&amp;$G88)</f>
      </c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IF($D89="","",$H89-$J89)</f>
      </c>
      <c r="L89" s="18">
        <f>IF($D89="","",IF($H89=0,0,($H89-$J89)/$H89))</f>
      </c>
      <c r="M89" s="19">
        <f>IF($D89="","",$D89&amp;"|"&amp;$G89)</f>
      </c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IF($D90="","",$H90-$J90)</f>
      </c>
      <c r="L90" s="18">
        <f>IF($D90="","",IF($H90=0,0,($H90-$J90)/$H90))</f>
      </c>
      <c r="M90" s="19">
        <f>IF($D90="","",$D90&amp;"|"&amp;$G90)</f>
      </c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IF($D91="","",$H91-$J91)</f>
      </c>
      <c r="L91" s="18">
        <f>IF($D91="","",IF($H91=0,0,($H91-$J91)/$H91))</f>
      </c>
      <c r="M91" s="19">
        <f>IF($D91="","",$D91&amp;"|"&amp;$G91)</f>
      </c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IF($D92="","",$H92-$J92)</f>
      </c>
      <c r="L92" s="18">
        <f>IF($D92="","",IF($H92=0,0,($H92-$J92)/$H92))</f>
      </c>
      <c r="M92" s="19">
        <f>IF($D92="","",$D92&amp;"|"&amp;$G92)</f>
      </c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IF($D93="","",$H93-$J93)</f>
      </c>
      <c r="L93" s="18">
        <f>IF($D93="","",IF($H93=0,0,($H93-$J93)/$H93))</f>
      </c>
      <c r="M93" s="19">
        <f>IF($D93="","",$D93&amp;"|"&amp;$G93)</f>
      </c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IF($D94="","",$H94-$J94)</f>
      </c>
      <c r="L94" s="18">
        <f>IF($D94="","",IF($H94=0,0,($H94-$J94)/$H94))</f>
      </c>
      <c r="M94" s="19">
        <f>IF($D94="","",$D94&amp;"|"&amp;$G94)</f>
      </c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IF($D95="","",$H95-$J95)</f>
      </c>
      <c r="L95" s="18">
        <f>IF($D95="","",IF($H95=0,0,($H95-$J95)/$H95))</f>
      </c>
      <c r="M95" s="19">
        <f>IF($D95="","",$D95&amp;"|"&amp;$G95)</f>
      </c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IF($D96="","",$H96-$J96)</f>
      </c>
      <c r="L96" s="18">
        <f>IF($D96="","",IF($H96=0,0,($H96-$J96)/$H96))</f>
      </c>
      <c r="M96" s="19">
        <f>IF($D96="","",$D96&amp;"|"&amp;$G96)</f>
      </c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IF($D97="","",$H97-$J97)</f>
      </c>
      <c r="L97" s="18">
        <f>IF($D97="","",IF($H97=0,0,($H97-$J97)/$H97))</f>
      </c>
      <c r="M97" s="19">
        <f>IF($D97="","",$D97&amp;"|"&amp;$G97)</f>
      </c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IF($D98="","",$H98-$J98)</f>
      </c>
      <c r="L98" s="18">
        <f>IF($D98="","",IF($H98=0,0,($H98-$J98)/$H98))</f>
      </c>
      <c r="M98" s="19">
        <f>IF($D98="","",$D98&amp;"|"&amp;$G98)</f>
      </c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IF($D99="","",$H99-$J99)</f>
      </c>
      <c r="L99" s="18">
        <f>IF($D99="","",IF($H99=0,0,($H99-$J99)/$H99))</f>
      </c>
      <c r="M99" s="19">
        <f>IF($D99="","",$D99&amp;"|"&amp;$G99)</f>
      </c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IF($D100="","",$H100-$J100)</f>
      </c>
      <c r="L100" s="18">
        <f>IF($D100="","",IF($H100=0,0,($H100-$J100)/$H100))</f>
      </c>
      <c r="M100" s="19">
        <f>IF($D100="","",$D100&amp;"|"&amp;$G100)</f>
      </c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IF($D101="","",$H101-$J101)</f>
      </c>
      <c r="L101" s="18">
        <f>IF($D101="","",IF($H101=0,0,($H101-$J101)/$H101))</f>
      </c>
      <c r="M101" s="19">
        <f>IF($D101="","",$D101&amp;"|"&amp;$G101)</f>
      </c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IF($D102="","",$H102-$J102)</f>
      </c>
      <c r="L102" s="18">
        <f>IF($D102="","",IF($H102=0,0,($H102-$J102)/$H102))</f>
      </c>
      <c r="M102" s="19">
        <f>IF($D102="","",$D102&amp;"|"&amp;$G102)</f>
      </c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IF($D103="","",$H103-$J103)</f>
      </c>
      <c r="L103" s="18">
        <f>IF($D103="","",IF($H103=0,0,($H103-$J103)/$H103))</f>
      </c>
      <c r="M103" s="19">
        <f>IF($D103="","",$D103&amp;"|"&amp;$G103)</f>
      </c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IF($D104="","",$H104-$J104)</f>
      </c>
      <c r="L104" s="18">
        <f>IF($D104="","",IF($H104=0,0,($H104-$J104)/$H104))</f>
      </c>
      <c r="M104" s="19">
        <f>IF($D104="","",$D104&amp;"|"&amp;$G104)</f>
      </c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IF($D105="","",$H105-$J105)</f>
      </c>
      <c r="L105" s="18">
        <f>IF($D105="","",IF($H105=0,0,($H105-$J105)/$H105))</f>
      </c>
      <c r="M105" s="19">
        <f>IF($D105="","",$D105&amp;"|"&amp;$G105)</f>
      </c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IF($D106="","",$H106-$J106)</f>
      </c>
      <c r="L106" s="18">
        <f>IF($D106="","",IF($H106=0,0,($H106-$J106)/$H106))</f>
      </c>
      <c r="M106" s="19">
        <f>IF($D106="","",$D106&amp;"|"&amp;$G106)</f>
      </c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IF($D107="","",$H107-$J107)</f>
      </c>
      <c r="L107" s="18">
        <f>IF($D107="","",IF($H107=0,0,($H107-$J107)/$H107))</f>
      </c>
      <c r="M107" s="19">
        <f>IF($D107="","",$D107&amp;"|"&amp;$G107)</f>
      </c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IF($D108="","",$H108-$J108)</f>
      </c>
      <c r="L108" s="18">
        <f>IF($D108="","",IF($H108=0,0,($H108-$J108)/$H108))</f>
      </c>
      <c r="M108" s="19">
        <f>IF($D108="","",$D108&amp;"|"&amp;$G108)</f>
      </c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IF($D109="","",$H109-$J109)</f>
      </c>
      <c r="L109" s="18">
        <f>IF($D109="","",IF($H109=0,0,($H109-$J109)/$H109))</f>
      </c>
      <c r="M109" s="19">
        <f>IF($D109="","",$D109&amp;"|"&amp;$G109)</f>
      </c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IF($D110="","",$H110-$J110)</f>
      </c>
      <c r="L110" s="18">
        <f>IF($D110="","",IF($H110=0,0,($H110-$J110)/$H110))</f>
      </c>
      <c r="M110" s="19">
        <f>IF($D110="","",$D110&amp;"|"&amp;$G110)</f>
      </c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IF($D111="","",$H111-$J111)</f>
      </c>
      <c r="L111" s="18">
        <f>IF($D111="","",IF($H111=0,0,($H111-$J111)/$H111))</f>
      </c>
      <c r="M111" s="19">
        <f>IF($D111="","",$D111&amp;"|"&amp;$G111)</f>
      </c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IF($D112="","",$H112-$J112)</f>
      </c>
      <c r="L112" s="18">
        <f>IF($D112="","",IF($H112=0,0,($H112-$J112)/$H112))</f>
      </c>
      <c r="M112" s="19">
        <f>IF($D112="","",$D112&amp;"|"&amp;$G112)</f>
      </c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IF($D113="","",$H113-$J113)</f>
      </c>
      <c r="L113" s="18">
        <f>IF($D113="","",IF($H113=0,0,($H113-$J113)/$H113))</f>
      </c>
      <c r="M113" s="19">
        <f>IF($D113="","",$D113&amp;"|"&amp;$G113)</f>
      </c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IF($D114="","",$H114-$J114)</f>
      </c>
      <c r="L114" s="18">
        <f>IF($D114="","",IF($H114=0,0,($H114-$J114)/$H114))</f>
      </c>
      <c r="M114" s="19">
        <f>IF($D114="","",$D114&amp;"|"&amp;$G114)</f>
      </c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IF($D115="","",$H115-$J115)</f>
      </c>
      <c r="L115" s="18">
        <f>IF($D115="","",IF($H115=0,0,($H115-$J115)/$H115))</f>
      </c>
      <c r="M115" s="19">
        <f>IF($D115="","",$D115&amp;"|"&amp;$G115)</f>
      </c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IF($D116="","",$H116-$J116)</f>
      </c>
      <c r="L116" s="18">
        <f>IF($D116="","",IF($H116=0,0,($H116-$J116)/$H116))</f>
      </c>
      <c r="M116" s="19">
        <f>IF($D116="","",$D116&amp;"|"&amp;$G116)</f>
      </c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IF($D117="","",$H117-$J117)</f>
      </c>
      <c r="L117" s="18">
        <f>IF($D117="","",IF($H117=0,0,($H117-$J117)/$H117))</f>
      </c>
      <c r="M117" s="19">
        <f>IF($D117="","",$D117&amp;"|"&amp;$G117)</f>
      </c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IF($D118="","",$H118-$J118)</f>
      </c>
      <c r="L118" s="18">
        <f>IF($D118="","",IF($H118=0,0,($H118-$J118)/$H118))</f>
      </c>
      <c r="M118" s="19">
        <f>IF($D118="","",$D118&amp;"|"&amp;$G118)</f>
      </c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IF($D119="","",$H119-$J119)</f>
      </c>
      <c r="L119" s="18">
        <f>IF($D119="","",IF($H119=0,0,($H119-$J119)/$H119))</f>
      </c>
      <c r="M119" s="19">
        <f>IF($D119="","",$D119&amp;"|"&amp;$G119)</f>
      </c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IF($D120="","",$H120-$J120)</f>
      </c>
      <c r="L120" s="18">
        <f>IF($D120="","",IF($H120=0,0,($H120-$J120)/$H120))</f>
      </c>
      <c r="M120" s="19">
        <f>IF($D120="","",$D120&amp;"|"&amp;$G120)</f>
      </c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IF($D121="","",$H121-$J121)</f>
      </c>
      <c r="L121" s="18">
        <f>IF($D121="","",IF($H121=0,0,($H121-$J121)/$H121))</f>
      </c>
      <c r="M121" s="19">
        <f>IF($D121="","",$D121&amp;"|"&amp;$G121)</f>
      </c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IF($D122="","",$H122-$J122)</f>
      </c>
      <c r="L122" s="18">
        <f>IF($D122="","",IF($H122=0,0,($H122-$J122)/$H122))</f>
      </c>
      <c r="M122" s="19">
        <f>IF($D122="","",$D122&amp;"|"&amp;$G122)</f>
      </c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IF($D123="","",$H123-$J123)</f>
      </c>
      <c r="L123" s="18">
        <f>IF($D123="","",IF($H123=0,0,($H123-$J123)/$H123))</f>
      </c>
      <c r="M123" s="19">
        <f>IF($D123="","",$D123&amp;"|"&amp;$G123)</f>
      </c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IF($D124="","",$H124-$J124)</f>
      </c>
      <c r="L124" s="18">
        <f>IF($D124="","",IF($H124=0,0,($H124-$J124)/$H124))</f>
      </c>
      <c r="M124" s="19">
        <f>IF($D124="","",$D124&amp;"|"&amp;$G124)</f>
      </c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IF($D125="","",$H125-$J125)</f>
      </c>
      <c r="L125" s="18">
        <f>IF($D125="","",IF($H125=0,0,($H125-$J125)/$H125))</f>
      </c>
      <c r="M125" s="19">
        <f>IF($D125="","",$D125&amp;"|"&amp;$G125)</f>
      </c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IF($D126="","",$H126-$J126)</f>
      </c>
      <c r="L126" s="18">
        <f>IF($D126="","",IF($H126=0,0,($H126-$J126)/$H126))</f>
      </c>
      <c r="M126" s="19">
        <f>IF($D126="","",$D126&amp;"|"&amp;$G126)</f>
      </c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IF($D127="","",$H127-$J127)</f>
      </c>
      <c r="L127" s="18">
        <f>IF($D127="","",IF($H127=0,0,($H127-$J127)/$H127))</f>
      </c>
      <c r="M127" s="19">
        <f>IF($D127="","",$D127&amp;"|"&amp;$G127)</f>
      </c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IF($D128="","",$H128-$J128)</f>
      </c>
      <c r="L128" s="18">
        <f>IF($D128="","",IF($H128=0,0,($H128-$J128)/$H128))</f>
      </c>
      <c r="M128" s="19">
        <f>IF($D128="","",$D128&amp;"|"&amp;$G128)</f>
      </c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IF($D129="","",$H129-$J129)</f>
      </c>
      <c r="L129" s="18">
        <f>IF($D129="","",IF($H129=0,0,($H129-$J129)/$H129))</f>
      </c>
      <c r="M129" s="19">
        <f>IF($D129="","",$D129&amp;"|"&amp;$G129)</f>
      </c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IF($D130="","",$H130-$J130)</f>
      </c>
      <c r="L130" s="18">
        <f>IF($D130="","",IF($H130=0,0,($H130-$J130)/$H130))</f>
      </c>
      <c r="M130" s="19">
        <f>IF($D130="","",$D130&amp;"|"&amp;$G130)</f>
      </c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IF($D131="","",$H131-$J131)</f>
      </c>
      <c r="L131" s="18">
        <f>IF($D131="","",IF($H131=0,0,($H131-$J131)/$H131))</f>
      </c>
      <c r="M131" s="19">
        <f>IF($D131="","",$D131&amp;"|"&amp;$G131)</f>
      </c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IF($D132="","",$H132-$J132)</f>
      </c>
      <c r="L132" s="18">
        <f>IF($D132="","",IF($H132=0,0,($H132-$J132)/$H132))</f>
      </c>
      <c r="M132" s="19">
        <f>IF($D132="","",$D132&amp;"|"&amp;$G132)</f>
      </c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IF($D133="","",$H133-$J133)</f>
      </c>
      <c r="L133" s="18">
        <f>IF($D133="","",IF($H133=0,0,($H133-$J133)/$H133))</f>
      </c>
      <c r="M133" s="19">
        <f>IF($D133="","",$D133&amp;"|"&amp;$G133)</f>
      </c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IF($D134="","",$H134-$J134)</f>
      </c>
      <c r="L134" s="18">
        <f>IF($D134="","",IF($H134=0,0,($H134-$J134)/$H134))</f>
      </c>
      <c r="M134" s="19">
        <f>IF($D134="","",$D134&amp;"|"&amp;$G134)</f>
      </c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IF($D135="","",$H135-$J135)</f>
      </c>
      <c r="L135" s="18">
        <f>IF($D135="","",IF($H135=0,0,($H135-$J135)/$H135))</f>
      </c>
      <c r="M135" s="19">
        <f>IF($D135="","",$D135&amp;"|"&amp;$G135)</f>
      </c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IF($D136="","",$H136-$J136)</f>
      </c>
      <c r="L136" s="18">
        <f>IF($D136="","",IF($H136=0,0,($H136-$J136)/$H136))</f>
      </c>
      <c r="M136" s="19">
        <f>IF($D136="","",$D136&amp;"|"&amp;$G136)</f>
      </c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IF($D137="","",$H137-$J137)</f>
      </c>
      <c r="L137" s="18">
        <f>IF($D137="","",IF($H137=0,0,($H137-$J137)/$H137))</f>
      </c>
      <c r="M137" s="19">
        <f>IF($D137="","",$D137&amp;"|"&amp;$G137)</f>
      </c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IF($D138="","",$H138-$J138)</f>
      </c>
      <c r="L138" s="18">
        <f>IF($D138="","",IF($H138=0,0,($H138-$J138)/$H138))</f>
      </c>
      <c r="M138" s="19">
        <f>IF($D138="","",$D138&amp;"|"&amp;$G138)</f>
      </c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IF($D139="","",$H139-$J139)</f>
      </c>
      <c r="L139" s="18">
        <f>IF($D139="","",IF($H139=0,0,($H139-$J139)/$H139))</f>
      </c>
      <c r="M139" s="19">
        <f>IF($D139="","",$D139&amp;"|"&amp;$G139)</f>
      </c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IF($D140="","",$H140-$J140)</f>
      </c>
      <c r="L140" s="18">
        <f>IF($D140="","",IF($H140=0,0,($H140-$J140)/$H140))</f>
      </c>
      <c r="M140" s="19">
        <f>IF($D140="","",$D140&amp;"|"&amp;$G140)</f>
      </c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IF($D141="","",$H141-$J141)</f>
      </c>
      <c r="L141" s="18">
        <f>IF($D141="","",IF($H141=0,0,($H141-$J141)/$H141))</f>
      </c>
      <c r="M141" s="19">
        <f>IF($D141="","",$D141&amp;"|"&amp;$G141)</f>
      </c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IF($D142="","",$H142-$J142)</f>
      </c>
      <c r="L142" s="18">
        <f>IF($D142="","",IF($H142=0,0,($H142-$J142)/$H142))</f>
      </c>
      <c r="M142" s="19">
        <f>IF($D142="","",$D142&amp;"|"&amp;$G142)</f>
      </c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IF($D143="","",$H143-$J143)</f>
      </c>
      <c r="L143" s="18">
        <f>IF($D143="","",IF($H143=0,0,($H143-$J143)/$H143))</f>
      </c>
      <c r="M143" s="19">
        <f>IF($D143="","",$D143&amp;"|"&amp;$G143)</f>
      </c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IF($D144="","",$H144-$J144)</f>
      </c>
      <c r="L144" s="18">
        <f>IF($D144="","",IF($H144=0,0,($H144-$J144)/$H144))</f>
      </c>
      <c r="M144" s="19">
        <f>IF($D144="","",$D144&amp;"|"&amp;$G144)</f>
      </c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IF($D145="","",$H145-$J145)</f>
      </c>
      <c r="L145" s="18">
        <f>IF($D145="","",IF($H145=0,0,($H145-$J145)/$H145))</f>
      </c>
      <c r="M145" s="19">
        <f>IF($D145="","",$D145&amp;"|"&amp;$G145)</f>
      </c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IF($D146="","",$H146-$J146)</f>
      </c>
      <c r="L146" s="18">
        <f>IF($D146="","",IF($H146=0,0,($H146-$J146)/$H146))</f>
      </c>
      <c r="M146" s="19">
        <f>IF($D146="","",$D146&amp;"|"&amp;$G146)</f>
      </c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IF($D147="","",$H147-$J147)</f>
      </c>
      <c r="L147" s="18">
        <f>IF($D147="","",IF($H147=0,0,($H147-$J147)/$H147))</f>
      </c>
      <c r="M147" s="19">
        <f>IF($D147="","",$D147&amp;"|"&amp;$G147)</f>
      </c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IF($D148="","",$H148-$J148)</f>
      </c>
      <c r="L148" s="18">
        <f>IF($D148="","",IF($H148=0,0,($H148-$J148)/$H148))</f>
      </c>
      <c r="M148" s="19">
        <f>IF($D148="","",$D148&amp;"|"&amp;$G148)</f>
      </c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IF($D149="","",$H149-$J149)</f>
      </c>
      <c r="L149" s="18">
        <f>IF($D149="","",IF($H149=0,0,($H149-$J149)/$H149))</f>
      </c>
      <c r="M149" s="19">
        <f>IF($D149="","",$D149&amp;"|"&amp;$G149)</f>
      </c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IF($D150="","",$H150-$J150)</f>
      </c>
      <c r="L150" s="18">
        <f>IF($D150="","",IF($H150=0,0,($H150-$J150)/$H150))</f>
      </c>
      <c r="M150" s="19">
        <f>IF($D150="","",$D150&amp;"|"&amp;$G150)</f>
      </c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IF($D151="","",$H151-$J151)</f>
      </c>
      <c r="L151" s="18">
        <f>IF($D151="","",IF($H151=0,0,($H151-$J151)/$H151))</f>
      </c>
      <c r="M151" s="19">
        <f>IF($D151="","",$D151&amp;"|"&amp;$G151)</f>
      </c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IF($D152="","",$H152-$J152)</f>
      </c>
      <c r="L152" s="18">
        <f>IF($D152="","",IF($H152=0,0,($H152-$J152)/$H152))</f>
      </c>
      <c r="M152" s="19">
        <f>IF($D152="","",$D152&amp;"|"&amp;$G152)</f>
      </c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IF($D153="","",$H153-$J153)</f>
      </c>
      <c r="L153" s="18">
        <f>IF($D153="","",IF($H153=0,0,($H153-$J153)/$H153))</f>
      </c>
      <c r="M153" s="19">
        <f>IF($D153="","",$D153&amp;"|"&amp;$G153)</f>
      </c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IF($D154="","",$H154-$J154)</f>
      </c>
      <c r="L154" s="18">
        <f>IF($D154="","",IF($H154=0,0,($H154-$J154)/$H154))</f>
      </c>
      <c r="M154" s="19">
        <f>IF($D154="","",$D154&amp;"|"&amp;$G154)</f>
      </c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IF($D155="","",$H155-$J155)</f>
      </c>
      <c r="L155" s="18">
        <f>IF($D155="","",IF($H155=0,0,($H155-$J155)/$H155))</f>
      </c>
      <c r="M155" s="19">
        <f>IF($D155="","",$D155&amp;"|"&amp;$G155)</f>
      </c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IF($D156="","",$H156-$J156)</f>
      </c>
      <c r="L156" s="18">
        <f>IF($D156="","",IF($H156=0,0,($H156-$J156)/$H156))</f>
      </c>
      <c r="M156" s="19">
        <f>IF($D156="","",$D156&amp;"|"&amp;$G156)</f>
      </c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IF($D157="","",$H157-$J157)</f>
      </c>
      <c r="L157" s="18">
        <f>IF($D157="","",IF($H157=0,0,($H157-$J157)/$H157))</f>
      </c>
      <c r="M157" s="19">
        <f>IF($D157="","",$D157&amp;"|"&amp;$G157)</f>
      </c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IF($D158="","",$H158-$J158)</f>
      </c>
      <c r="L158" s="18">
        <f>IF($D158="","",IF($H158=0,0,($H158-$J158)/$H158))</f>
      </c>
      <c r="M158" s="19">
        <f>IF($D158="","",$D158&amp;"|"&amp;$G158)</f>
      </c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IF($D159="","",$H159-$J159)</f>
      </c>
      <c r="L159" s="18">
        <f>IF($D159="","",IF($H159=0,0,($H159-$J159)/$H159))</f>
      </c>
      <c r="M159" s="19">
        <f>IF($D159="","",$D159&amp;"|"&amp;$G159)</f>
      </c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IF($D160="","",$H160-$J160)</f>
      </c>
      <c r="L160" s="18">
        <f>IF($D160="","",IF($H160=0,0,($H160-$J160)/$H160))</f>
      </c>
      <c r="M160" s="19">
        <f>IF($D160="","",$D160&amp;"|"&amp;$G160)</f>
      </c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IF($D161="","",$H161-$J161)</f>
      </c>
      <c r="L161" s="18">
        <f>IF($D161="","",IF($H161=0,0,($H161-$J161)/$H161))</f>
      </c>
      <c r="M161" s="19">
        <f>IF($D161="","",$D161&amp;"|"&amp;$G161)</f>
      </c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IF($D162="","",$H162-$J162)</f>
      </c>
      <c r="L162" s="18">
        <f>IF($D162="","",IF($H162=0,0,($H162-$J162)/$H162))</f>
      </c>
      <c r="M162" s="19">
        <f>IF($D162="","",$D162&amp;"|"&amp;$G162)</f>
      </c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IF($D163="","",$H163-$J163)</f>
      </c>
      <c r="L163" s="18">
        <f>IF($D163="","",IF($H163=0,0,($H163-$J163)/$H163))</f>
      </c>
      <c r="M163" s="19">
        <f>IF($D163="","",$D163&amp;"|"&amp;$G163)</f>
      </c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IF($D164="","",$H164-$J164)</f>
      </c>
      <c r="L164" s="18">
        <f>IF($D164="","",IF($H164=0,0,($H164-$J164)/$H164))</f>
      </c>
      <c r="M164" s="19">
        <f>IF($D164="","",$D164&amp;"|"&amp;$G164)</f>
      </c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IF($D165="","",$H165-$J165)</f>
      </c>
      <c r="L165" s="18">
        <f>IF($D165="","",IF($H165=0,0,($H165-$J165)/$H165))</f>
      </c>
      <c r="M165" s="19">
        <f>IF($D165="","",$D165&amp;"|"&amp;$G165)</f>
      </c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IF($D166="","",$H166-$J166)</f>
      </c>
      <c r="L166" s="18">
        <f>IF($D166="","",IF($H166=0,0,($H166-$J166)/$H166))</f>
      </c>
      <c r="M166" s="19">
        <f>IF($D166="","",$D166&amp;"|"&amp;$G166)</f>
      </c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IF($D167="","",$H167-$J167)</f>
      </c>
      <c r="L167" s="18">
        <f>IF($D167="","",IF($H167=0,0,($H167-$J167)/$H167))</f>
      </c>
      <c r="M167" s="19">
        <f>IF($D167="","",$D167&amp;"|"&amp;$G167)</f>
      </c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IF($D168="","",$H168-$J168)</f>
      </c>
      <c r="L168" s="18">
        <f>IF($D168="","",IF($H168=0,0,($H168-$J168)/$H168))</f>
      </c>
      <c r="M168" s="19">
        <f>IF($D168="","",$D168&amp;"|"&amp;$G168)</f>
      </c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IF($D169="","",$H169-$J169)</f>
      </c>
      <c r="L169" s="18">
        <f>IF($D169="","",IF($H169=0,0,($H169-$J169)/$H169))</f>
      </c>
      <c r="M169" s="19">
        <f>IF($D169="","",$D169&amp;"|"&amp;$G169)</f>
      </c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IF($D170="","",$H170-$J170)</f>
      </c>
      <c r="L170" s="18">
        <f>IF($D170="","",IF($H170=0,0,($H170-$J170)/$H170))</f>
      </c>
      <c r="M170" s="19">
        <f>IF($D170="","",$D170&amp;"|"&amp;$G170)</f>
      </c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IF($D171="","",$H171-$J171)</f>
      </c>
      <c r="L171" s="18">
        <f>IF($D171="","",IF($H171=0,0,($H171-$J171)/$H171))</f>
      </c>
      <c r="M171" s="19">
        <f>IF($D171="","",$D171&amp;"|"&amp;$G171)</f>
      </c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IF($D172="","",$H172-$J172)</f>
      </c>
      <c r="L172" s="18">
        <f>IF($D172="","",IF($H172=0,0,($H172-$J172)/$H172))</f>
      </c>
      <c r="M172" s="19">
        <f>IF($D172="","",$D172&amp;"|"&amp;$G172)</f>
      </c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IF($D173="","",$H173-$J173)</f>
      </c>
      <c r="L173" s="18">
        <f>IF($D173="","",IF($H173=0,0,($H173-$J173)/$H173))</f>
      </c>
      <c r="M173" s="19">
        <f>IF($D173="","",$D173&amp;"|"&amp;$G173)</f>
      </c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IF($D174="","",$H174-$J174)</f>
      </c>
      <c r="L174" s="18">
        <f>IF($D174="","",IF($H174=0,0,($H174-$J174)/$H174))</f>
      </c>
      <c r="M174" s="19">
        <f>IF($D174="","",$D174&amp;"|"&amp;$G174)</f>
      </c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IF($D175="","",$H175-$J175)</f>
      </c>
      <c r="L175" s="18">
        <f>IF($D175="","",IF($H175=0,0,($H175-$J175)/$H175))</f>
      </c>
      <c r="M175" s="19">
        <f>IF($D175="","",$D175&amp;"|"&amp;$G175)</f>
      </c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IF($D176="","",$H176-$J176)</f>
      </c>
      <c r="L176" s="18">
        <f>IF($D176="","",IF($H176=0,0,($H176-$J176)/$H176))</f>
      </c>
      <c r="M176" s="19">
        <f>IF($D176="","",$D176&amp;"|"&amp;$G176)</f>
      </c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IF($D177="","",$H177-$J177)</f>
      </c>
      <c r="L177" s="18">
        <f>IF($D177="","",IF($H177=0,0,($H177-$J177)/$H177))</f>
      </c>
      <c r="M177" s="19">
        <f>IF($D177="","",$D177&amp;"|"&amp;$G177)</f>
      </c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IF($D178="","",$H178-$J178)</f>
      </c>
      <c r="L178" s="18">
        <f>IF($D178="","",IF($H178=0,0,($H178-$J178)/$H178))</f>
      </c>
      <c r="M178" s="19">
        <f>IF($D178="","",$D178&amp;"|"&amp;$G178)</f>
      </c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IF($D179="","",$H179-$J179)</f>
      </c>
      <c r="L179" s="18">
        <f>IF($D179="","",IF($H179=0,0,($H179-$J179)/$H179))</f>
      </c>
      <c r="M179" s="19">
        <f>IF($D179="","",$D179&amp;"|"&amp;$G179)</f>
      </c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IF($D180="","",$H180-$J180)</f>
      </c>
      <c r="L180" s="18">
        <f>IF($D180="","",IF($H180=0,0,($H180-$J180)/$H180))</f>
      </c>
      <c r="M180" s="19">
        <f>IF($D180="","",$D180&amp;"|"&amp;$G180)</f>
      </c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IF($D181="","",$H181-$J181)</f>
      </c>
      <c r="L181" s="18">
        <f>IF($D181="","",IF($H181=0,0,($H181-$J181)/$H181))</f>
      </c>
      <c r="M181" s="19">
        <f>IF($D181="","",$D181&amp;"|"&amp;$G181)</f>
      </c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IF($D182="","",$H182-$J182)</f>
      </c>
      <c r="L182" s="18">
        <f>IF($D182="","",IF($H182=0,0,($H182-$J182)/$H182))</f>
      </c>
      <c r="M182" s="19">
        <f>IF($D182="","",$D182&amp;"|"&amp;$G182)</f>
      </c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IF($D183="","",$H183-$J183)</f>
      </c>
      <c r="L183" s="18">
        <f>IF($D183="","",IF($H183=0,0,($H183-$J183)/$H183))</f>
      </c>
      <c r="M183" s="19">
        <f>IF($D183="","",$D183&amp;"|"&amp;$G183)</f>
      </c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IF($D184="","",$H184-$J184)</f>
      </c>
      <c r="L184" s="18">
        <f>IF($D184="","",IF($H184=0,0,($H184-$J184)/$H184))</f>
      </c>
      <c r="M184" s="19">
        <f>IF($D184="","",$D184&amp;"|"&amp;$G184)</f>
      </c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IF($D185="","",$H185-$J185)</f>
      </c>
      <c r="L185" s="18">
        <f>IF($D185="","",IF($H185=0,0,($H185-$J185)/$H185))</f>
      </c>
      <c r="M185" s="19">
        <f>IF($D185="","",$D185&amp;"|"&amp;$G185)</f>
      </c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IF($D186="","",$H186-$J186)</f>
      </c>
      <c r="L186" s="18">
        <f>IF($D186="","",IF($H186=0,0,($H186-$J186)/$H186))</f>
      </c>
      <c r="M186" s="19">
        <f>IF($D186="","",$D186&amp;"|"&amp;$G186)</f>
      </c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IF($D187="","",$H187-$J187)</f>
      </c>
      <c r="L187" s="18">
        <f>IF($D187="","",IF($H187=0,0,($H187-$J187)/$H187))</f>
      </c>
      <c r="M187" s="19">
        <f>IF($D187="","",$D187&amp;"|"&amp;$G187)</f>
      </c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IF($D188="","",$H188-$J188)</f>
      </c>
      <c r="L188" s="18">
        <f>IF($D188="","",IF($H188=0,0,($H188-$J188)/$H188))</f>
      </c>
      <c r="M188" s="19">
        <f>IF($D188="","",$D188&amp;"|"&amp;$G188)</f>
      </c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IF($D189="","",$H189-$J189)</f>
      </c>
      <c r="L189" s="18">
        <f>IF($D189="","",IF($H189=0,0,($H189-$J189)/$H189))</f>
      </c>
      <c r="M189" s="19">
        <f>IF($D189="","",$D189&amp;"|"&amp;$G189)</f>
      </c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IF($D190="","",$H190-$J190)</f>
      </c>
      <c r="L190" s="18">
        <f>IF($D190="","",IF($H190=0,0,($H190-$J190)/$H190))</f>
      </c>
      <c r="M190" s="19">
        <f>IF($D190="","",$D190&amp;"|"&amp;$G190)</f>
      </c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IF($D191="","",$H191-$J191)</f>
      </c>
      <c r="L191" s="18">
        <f>IF($D191="","",IF($H191=0,0,($H191-$J191)/$H191))</f>
      </c>
      <c r="M191" s="19">
        <f>IF($D191="","",$D191&amp;"|"&amp;$G191)</f>
      </c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IF($D192="","",$H192-$J192)</f>
      </c>
      <c r="L192" s="18">
        <f>IF($D192="","",IF($H192=0,0,($H192-$J192)/$H192))</f>
      </c>
      <c r="M192" s="19">
        <f>IF($D192="","",$D192&amp;"|"&amp;$G192)</f>
      </c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IF($D193="","",$H193-$J193)</f>
      </c>
      <c r="L193" s="18">
        <f>IF($D193="","",IF($H193=0,0,($H193-$J193)/$H193))</f>
      </c>
      <c r="M193" s="19">
        <f>IF($D193="","",$D193&amp;"|"&amp;$G193)</f>
      </c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IF($D194="","",$H194-$J194)</f>
      </c>
      <c r="L194" s="18">
        <f>IF($D194="","",IF($H194=0,0,($H194-$J194)/$H194))</f>
      </c>
      <c r="M194" s="19">
        <f>IF($D194="","",$D194&amp;"|"&amp;$G194)</f>
      </c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IF($D195="","",$H195-$J195)</f>
      </c>
      <c r="L195" s="18">
        <f>IF($D195="","",IF($H195=0,0,($H195-$J195)/$H195))</f>
      </c>
      <c r="M195" s="19">
        <f>IF($D195="","",$D195&amp;"|"&amp;$G195)</f>
      </c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IF($D196="","",$H196-$J196)</f>
      </c>
      <c r="L196" s="18">
        <f>IF($D196="","",IF($H196=0,0,($H196-$J196)/$H196))</f>
      </c>
      <c r="M196" s="19">
        <f>IF($D196="","",$D196&amp;"|"&amp;$G196)</f>
      </c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IF($D197="","",$H197-$J197)</f>
      </c>
      <c r="L197" s="18">
        <f>IF($D197="","",IF($H197=0,0,($H197-$J197)/$H197))</f>
      </c>
      <c r="M197" s="19">
        <f>IF($D197="","",$D197&amp;"|"&amp;$G197)</f>
      </c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IF($D198="","",$H198-$J198)</f>
      </c>
      <c r="L198" s="18">
        <f>IF($D198="","",IF($H198=0,0,($H198-$J198)/$H198))</f>
      </c>
      <c r="M198" s="19">
        <f>IF($D198="","",$D198&amp;"|"&amp;$G198)</f>
      </c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IF($D199="","",$H199-$J199)</f>
      </c>
      <c r="L199" s="18">
        <f>IF($D199="","",IF($H199=0,0,($H199-$J199)/$H199))</f>
      </c>
      <c r="M199" s="19">
        <f>IF($D199="","",$D199&amp;"|"&amp;$G199)</f>
      </c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IF($D200="","",$H200-$J200)</f>
      </c>
      <c r="L200" s="18">
        <f>IF($D200="","",IF($H200=0,0,($H200-$J200)/$H200))</f>
      </c>
      <c r="M200" s="19">
        <f>IF($D200="","",$D200&amp;"|"&amp;$G200)</f>
      </c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IF($D201="","",$H201-$J201)</f>
      </c>
      <c r="L201" s="18">
        <f>IF($D201="","",IF($H201=0,0,($H201-$J201)/$H201))</f>
      </c>
      <c r="M201" s="19">
        <f>IF($D201="","",$D201&amp;"|"&amp;$G201)</f>
      </c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IF($D202="","",$H202-$J202)</f>
      </c>
      <c r="L202" s="18">
        <f>IF($D202="","",IF($H202=0,0,($H202-$J202)/$H202))</f>
      </c>
      <c r="M202" s="19">
        <f>IF($D202="","",$D202&amp;"|"&amp;$G202)</f>
      </c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IF($D203="","",$H203-$J203)</f>
      </c>
      <c r="L203" s="18">
        <f>IF($D203="","",IF($H203=0,0,($H203-$J203)/$H203))</f>
      </c>
      <c r="M203" s="19">
        <f>IF($D203="","",$D203&amp;"|"&amp;$G203)</f>
      </c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IF($D204="","",$H204-$J204)</f>
      </c>
      <c r="L204" s="18">
        <f>IF($D204="","",IF($H204=0,0,($H204-$J204)/$H204))</f>
      </c>
      <c r="M204" s="19">
        <f>IF($D204="","",$D204&amp;"|"&amp;$G204)</f>
      </c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IF($D205="","",$H205-$J205)</f>
      </c>
      <c r="L205" s="18">
        <f>IF($D205="","",IF($H205=0,0,($H205-$J205)/$H205))</f>
      </c>
      <c r="M205" s="19">
        <f>IF($D205="","",$D205&amp;"|"&amp;$G205)</f>
      </c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IF($D206="","",$H206-$J206)</f>
      </c>
      <c r="L206" s="18">
        <f>IF($D206="","",IF($H206=0,0,($H206-$J206)/$H206))</f>
      </c>
      <c r="M206" s="19">
        <f>IF($D206="","",$D206&amp;"|"&amp;$G206)</f>
      </c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IF($D207="","",$H207-$J207)</f>
      </c>
      <c r="L207" s="18">
        <f>IF($D207="","",IF($H207=0,0,($H207-$J207)/$H207))</f>
      </c>
      <c r="M207" s="19">
        <f>IF($D207="","",$D207&amp;"|"&amp;$G207)</f>
      </c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IF($D208="","",$H208-$J208)</f>
      </c>
      <c r="L208" s="18">
        <f>IF($D208="","",IF($H208=0,0,($H208-$J208)/$H208))</f>
      </c>
      <c r="M208" s="19">
        <f>IF($D208="","",$D208&amp;"|"&amp;$G208)</f>
      </c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IF($D209="","",$H209-$J209)</f>
      </c>
      <c r="L209" s="18">
        <f>IF($D209="","",IF($H209=0,0,($H209-$J209)/$H209))</f>
      </c>
      <c r="M209" s="19">
        <f>IF($D209="","",$D209&amp;"|"&amp;$G209)</f>
      </c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IF($D210="","",$H210-$J210)</f>
      </c>
      <c r="L210" s="18">
        <f>IF($D210="","",IF($H210=0,0,($H210-$J210)/$H210))</f>
      </c>
      <c r="M210" s="19">
        <f>IF($D210="","",$D210&amp;"|"&amp;$G210)</f>
      </c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IF($D211="","",$H211-$J211)</f>
      </c>
      <c r="L211" s="18">
        <f>IF($D211="","",IF($H211=0,0,($H211-$J211)/$H211))</f>
      </c>
      <c r="M211" s="19">
        <f>IF($D211="","",$D211&amp;"|"&amp;$G211)</f>
      </c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IF($D212="","",$H212-$J212)</f>
      </c>
      <c r="L212" s="18">
        <f>IF($D212="","",IF($H212=0,0,($H212-$J212)/$H212))</f>
      </c>
      <c r="M212" s="19">
        <f>IF($D212="","",$D212&amp;"|"&amp;$G212)</f>
      </c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IF($D213="","",$H213-$J213)</f>
      </c>
      <c r="L213" s="18">
        <f>IF($D213="","",IF($H213=0,0,($H213-$J213)/$H213))</f>
      </c>
      <c r="M213" s="19">
        <f>IF($D213="","",$D213&amp;"|"&amp;$G213)</f>
      </c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IF($D214="","",$H214-$J214)</f>
      </c>
      <c r="L214" s="18">
        <f>IF($D214="","",IF($H214=0,0,($H214-$J214)/$H214))</f>
      </c>
      <c r="M214" s="19">
        <f>IF($D214="","",$D214&amp;"|"&amp;$G214)</f>
      </c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IF($D215="","",$H215-$J215)</f>
      </c>
      <c r="L215" s="18">
        <f>IF($D215="","",IF($H215=0,0,($H215-$J215)/$H215))</f>
      </c>
      <c r="M215" s="19">
        <f>IF($D215="","",$D215&amp;"|"&amp;$G215)</f>
      </c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IF($D216="","",$H216-$J216)</f>
      </c>
      <c r="L216" s="18">
        <f>IF($D216="","",IF($H216=0,0,($H216-$J216)/$H216))</f>
      </c>
      <c r="M216" s="19">
        <f>IF($D216="","",$D216&amp;"|"&amp;$G216)</f>
      </c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IF($D217="","",$H217-$J217)</f>
      </c>
      <c r="L217" s="18">
        <f>IF($D217="","",IF($H217=0,0,($H217-$J217)/$H217))</f>
      </c>
      <c r="M217" s="19">
        <f>IF($D217="","",$D217&amp;"|"&amp;$G217)</f>
      </c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IF($D218="","",$H218-$J218)</f>
      </c>
      <c r="L218" s="18">
        <f>IF($D218="","",IF($H218=0,0,($H218-$J218)/$H218))</f>
      </c>
      <c r="M218" s="19">
        <f>IF($D218="","",$D218&amp;"|"&amp;$G218)</f>
      </c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IF($D219="","",$H219-$J219)</f>
      </c>
      <c r="L219" s="18">
        <f>IF($D219="","",IF($H219=0,0,($H219-$J219)/$H219))</f>
      </c>
      <c r="M219" s="19">
        <f>IF($D219="","",$D219&amp;"|"&amp;$G219)</f>
      </c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IF($D220="","",$H220-$J220)</f>
      </c>
      <c r="L220" s="18">
        <f>IF($D220="","",IF($H220=0,0,($H220-$J220)/$H220))</f>
      </c>
      <c r="M220" s="19">
        <f>IF($D220="","",$D220&amp;"|"&amp;$G220)</f>
      </c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IF($D221="","",$H221-$J221)</f>
      </c>
      <c r="L221" s="18">
        <f>IF($D221="","",IF($H221=0,0,($H221-$J221)/$H221))</f>
      </c>
      <c r="M221" s="19">
        <f>IF($D221="","",$D221&amp;"|"&amp;$G221)</f>
      </c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IF($D222="","",$H222-$J222)</f>
      </c>
      <c r="L222" s="18">
        <f>IF($D222="","",IF($H222=0,0,($H222-$J222)/$H222))</f>
      </c>
      <c r="M222" s="19">
        <f>IF($D222="","",$D222&amp;"|"&amp;$G222)</f>
      </c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IF($D223="","",$H223-$J223)</f>
      </c>
      <c r="L223" s="18">
        <f>IF($D223="","",IF($H223=0,0,($H223-$J223)/$H223))</f>
      </c>
      <c r="M223" s="19">
        <f>IF($D223="","",$D223&amp;"|"&amp;$G223)</f>
      </c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IF($D224="","",$H224-$J224)</f>
      </c>
      <c r="L224" s="18">
        <f>IF($D224="","",IF($H224=0,0,($H224-$J224)/$H224))</f>
      </c>
      <c r="M224" s="19">
        <f>IF($D224="","",$D224&amp;"|"&amp;$G224)</f>
      </c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IF($D225="","",$H225-$J225)</f>
      </c>
      <c r="L225" s="18">
        <f>IF($D225="","",IF($H225=0,0,($H225-$J225)/$H225))</f>
      </c>
      <c r="M225" s="19">
        <f>IF($D225="","",$D225&amp;"|"&amp;$G225)</f>
      </c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IF($D226="","",$H226-$J226)</f>
      </c>
      <c r="L226" s="18">
        <f>IF($D226="","",IF($H226=0,0,($H226-$J226)/$H226))</f>
      </c>
      <c r="M226" s="19">
        <f>IF($D226="","",$D226&amp;"|"&amp;$G226)</f>
      </c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IF($D227="","",$H227-$J227)</f>
      </c>
      <c r="L227" s="18">
        <f>IF($D227="","",IF($H227=0,0,($H227-$J227)/$H227))</f>
      </c>
      <c r="M227" s="19">
        <f>IF($D227="","",$D227&amp;"|"&amp;$G227)</f>
      </c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IF($D228="","",$H228-$J228)</f>
      </c>
      <c r="L228" s="18">
        <f>IF($D228="","",IF($H228=0,0,($H228-$J228)/$H228))</f>
      </c>
      <c r="M228" s="19">
        <f>IF($D228="","",$D228&amp;"|"&amp;$G228)</f>
      </c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IF($D229="","",$H229-$J229)</f>
      </c>
      <c r="L229" s="18">
        <f>IF($D229="","",IF($H229=0,0,($H229-$J229)/$H229))</f>
      </c>
      <c r="M229" s="19">
        <f>IF($D229="","",$D229&amp;"|"&amp;$G229)</f>
      </c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IF($D230="","",$H230-$J230)</f>
      </c>
      <c r="L230" s="18">
        <f>IF($D230="","",IF($H230=0,0,($H230-$J230)/$H230))</f>
      </c>
      <c r="M230" s="19">
        <f>IF($D230="","",$D230&amp;"|"&amp;$G230)</f>
      </c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IF($D231="","",$H231-$J231)</f>
      </c>
      <c r="L231" s="18">
        <f>IF($D231="","",IF($H231=0,0,($H231-$J231)/$H231))</f>
      </c>
      <c r="M231" s="19">
        <f>IF($D231="","",$D231&amp;"|"&amp;$G231)</f>
      </c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IF($D232="","",$H232-$J232)</f>
      </c>
      <c r="L232" s="18">
        <f>IF($D232="","",IF($H232=0,0,($H232-$J232)/$H232))</f>
      </c>
      <c r="M232" s="19">
        <f>IF($D232="","",$D232&amp;"|"&amp;$G232)</f>
      </c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IF($D233="","",$H233-$J233)</f>
      </c>
      <c r="L233" s="18">
        <f>IF($D233="","",IF($H233=0,0,($H233-$J233)/$H233))</f>
      </c>
      <c r="M233" s="19">
        <f>IF($D233="","",$D233&amp;"|"&amp;$G233)</f>
      </c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IF($D234="","",$H234-$J234)</f>
      </c>
      <c r="L234" s="18">
        <f>IF($D234="","",IF($H234=0,0,($H234-$J234)/$H234))</f>
      </c>
      <c r="M234" s="19">
        <f>IF($D234="","",$D234&amp;"|"&amp;$G234)</f>
      </c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IF($D235="","",$H235-$J235)</f>
      </c>
      <c r="L235" s="18">
        <f>IF($D235="","",IF($H235=0,0,($H235-$J235)/$H235))</f>
      </c>
      <c r="M235" s="19">
        <f>IF($D235="","",$D235&amp;"|"&amp;$G235)</f>
      </c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IF($D236="","",$H236-$J236)</f>
      </c>
      <c r="L236" s="18">
        <f>IF($D236="","",IF($H236=0,0,($H236-$J236)/$H236))</f>
      </c>
      <c r="M236" s="19">
        <f>IF($D236="","",$D236&amp;"|"&amp;$G236)</f>
      </c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IF($D237="","",$H237-$J237)</f>
      </c>
      <c r="L237" s="18">
        <f>IF($D237="","",IF($H237=0,0,($H237-$J237)/$H237))</f>
      </c>
      <c r="M237" s="19">
        <f>IF($D237="","",$D237&amp;"|"&amp;$G237)</f>
      </c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IF($D238="","",$H238-$J238)</f>
      </c>
      <c r="L238" s="18">
        <f>IF($D238="","",IF($H238=0,0,($H238-$J238)/$H238))</f>
      </c>
      <c r="M238" s="19">
        <f>IF($D238="","",$D238&amp;"|"&amp;$G238)</f>
      </c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IF($D239="","",$H239-$J239)</f>
      </c>
      <c r="L239" s="18">
        <f>IF($D239="","",IF($H239=0,0,($H239-$J239)/$H239))</f>
      </c>
      <c r="M239" s="19">
        <f>IF($D239="","",$D239&amp;"|"&amp;$G239)</f>
      </c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IF($D240="","",$H240-$J240)</f>
      </c>
      <c r="L240" s="18">
        <f>IF($D240="","",IF($H240=0,0,($H240-$J240)/$H240))</f>
      </c>
      <c r="M240" s="19">
        <f>IF($D240="","",$D240&amp;"|"&amp;$G240)</f>
      </c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IF($D241="","",$H241-$J241)</f>
      </c>
      <c r="L241" s="18">
        <f>IF($D241="","",IF($H241=0,0,($H241-$J241)/$H241))</f>
      </c>
      <c r="M241" s="19">
        <f>IF($D241="","",$D241&amp;"|"&amp;$G241)</f>
      </c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IF($D242="","",$H242-$J242)</f>
      </c>
      <c r="L242" s="18">
        <f>IF($D242="","",IF($H242=0,0,($H242-$J242)/$H242))</f>
      </c>
      <c r="M242" s="19">
        <f>IF($D242="","",$D242&amp;"|"&amp;$G242)</f>
      </c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IF($D243="","",$H243-$J243)</f>
      </c>
      <c r="L243" s="18">
        <f>IF($D243="","",IF($H243=0,0,($H243-$J243)/$H243))</f>
      </c>
      <c r="M243" s="19">
        <f>IF($D243="","",$D243&amp;"|"&amp;$G243)</f>
      </c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IF($D244="","",$H244-$J244)</f>
      </c>
      <c r="L244" s="18">
        <f>IF($D244="","",IF($H244=0,0,($H244-$J244)/$H244))</f>
      </c>
      <c r="M244" s="19">
        <f>IF($D244="","",$D244&amp;"|"&amp;$G244)</f>
      </c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IF($D245="","",$H245-$J245)</f>
      </c>
      <c r="L245" s="18">
        <f>IF($D245="","",IF($H245=0,0,($H245-$J245)/$H245))</f>
      </c>
      <c r="M245" s="19">
        <f>IF($D245="","",$D245&amp;"|"&amp;$G245)</f>
      </c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IF($D246="","",$H246-$J246)</f>
      </c>
      <c r="L246" s="18">
        <f>IF($D246="","",IF($H246=0,0,($H246-$J246)/$H246))</f>
      </c>
      <c r="M246" s="19">
        <f>IF($D246="","",$D246&amp;"|"&amp;$G246)</f>
      </c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IF($D247="","",$H247-$J247)</f>
      </c>
      <c r="L247" s="18">
        <f>IF($D247="","",IF($H247=0,0,($H247-$J247)/$H247))</f>
      </c>
      <c r="M247" s="19">
        <f>IF($D247="","",$D247&amp;"|"&amp;$G247)</f>
      </c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IF($D248="","",$H248-$J248)</f>
      </c>
      <c r="L248" s="18">
        <f>IF($D248="","",IF($H248=0,0,($H248-$J248)/$H248))</f>
      </c>
      <c r="M248" s="19">
        <f>IF($D248="","",$D248&amp;"|"&amp;$G248)</f>
      </c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IF($D249="","",$H249-$J249)</f>
      </c>
      <c r="L249" s="18">
        <f>IF($D249="","",IF($H249=0,0,($H249-$J249)/$H249))</f>
      </c>
      <c r="M249" s="19">
        <f>IF($D249="","",$D249&amp;"|"&amp;$G249)</f>
      </c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IF($D250="","",$H250-$J250)</f>
      </c>
      <c r="L250" s="18">
        <f>IF($D250="","",IF($H250=0,0,($H250-$J250)/$H250))</f>
      </c>
      <c r="M250" s="19">
        <f>IF($D250="","",$D250&amp;"|"&amp;$G250)</f>
      </c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IF($D251="","",$H251-$J251)</f>
      </c>
      <c r="L251" s="18">
        <f>IF($D251="","",IF($H251=0,0,($H251-$J251)/$H251))</f>
      </c>
      <c r="M251" s="19">
        <f>IF($D251="","",$D251&amp;"|"&amp;$G251)</f>
      </c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IF($D252="","",$H252-$J252)</f>
      </c>
      <c r="L252" s="18">
        <f>IF($D252="","",IF($H252=0,0,($H252-$J252)/$H252))</f>
      </c>
      <c r="M252" s="19">
        <f>IF($D252="","",$D252&amp;"|"&amp;$G252)</f>
      </c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IF($D253="","",$H253-$J253)</f>
      </c>
      <c r="L253" s="18">
        <f>IF($D253="","",IF($H253=0,0,($H253-$J253)/$H253))</f>
      </c>
      <c r="M253" s="19">
        <f>IF($D253="","",$D253&amp;"|"&amp;$G253)</f>
      </c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IF($D254="","",$H254-$J254)</f>
      </c>
      <c r="L254" s="18">
        <f>IF($D254="","",IF($H254=0,0,($H254-$J254)/$H254))</f>
      </c>
      <c r="M254" s="19">
        <f>IF($D254="","",$D254&amp;"|"&amp;$G254)</f>
      </c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IF($D255="","",$H255-$J255)</f>
      </c>
      <c r="L255" s="18">
        <f>IF($D255="","",IF($H255=0,0,($H255-$J255)/$H255))</f>
      </c>
      <c r="M255" s="19">
        <f>IF($D255="","",$D255&amp;"|"&amp;$G255)</f>
      </c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IF($D256="","",$H256-$J256)</f>
      </c>
      <c r="L256" s="18">
        <f>IF($D256="","",IF($H256=0,0,($H256-$J256)/$H256))</f>
      </c>
      <c r="M256" s="19">
        <f>IF($D256="","",$D256&amp;"|"&amp;$G256)</f>
      </c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IF($D257="","",$H257-$J257)</f>
      </c>
      <c r="L257" s="18">
        <f>IF($D257="","",IF($H257=0,0,($H257-$J257)/$H257))</f>
      </c>
      <c r="M257" s="19">
        <f>IF($D257="","",$D257&amp;"|"&amp;$G257)</f>
      </c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IF($D258="","",$H258-$J258)</f>
      </c>
      <c r="L258" s="18">
        <f>IF($D258="","",IF($H258=0,0,($H258-$J258)/$H258))</f>
      </c>
      <c r="M258" s="19">
        <f>IF($D258="","",$D258&amp;"|"&amp;$G258)</f>
      </c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IF($D259="","",$H259-$J259)</f>
      </c>
      <c r="L259" s="18">
        <f>IF($D259="","",IF($H259=0,0,($H259-$J259)/$H259))</f>
      </c>
      <c r="M259" s="19">
        <f>IF($D259="","",$D259&amp;"|"&amp;$G259)</f>
      </c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IF($D260="","",$H260-$J260)</f>
      </c>
      <c r="L260" s="18">
        <f>IF($D260="","",IF($H260=0,0,($H260-$J260)/$H260))</f>
      </c>
      <c r="M260" s="19">
        <f>IF($D260="","",$D260&amp;"|"&amp;$G260)</f>
      </c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IF($D261="","",$H261-$J261)</f>
      </c>
      <c r="L261" s="18">
        <f>IF($D261="","",IF($H261=0,0,($H261-$J261)/$H261))</f>
      </c>
      <c r="M261" s="19">
        <f>IF($D261="","",$D261&amp;"|"&amp;$G261)</f>
      </c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IF($D262="","",$H262-$J262)</f>
      </c>
      <c r="L262" s="18">
        <f>IF($D262="","",IF($H262=0,0,($H262-$J262)/$H262))</f>
      </c>
      <c r="M262" s="19">
        <f>IF($D262="","",$D262&amp;"|"&amp;$G262)</f>
      </c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IF($D263="","",$H263-$J263)</f>
      </c>
      <c r="L263" s="18">
        <f>IF($D263="","",IF($H263=0,0,($H263-$J263)/$H263))</f>
      </c>
      <c r="M263" s="19">
        <f>IF($D263="","",$D263&amp;"|"&amp;$G263)</f>
      </c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IF($D264="","",$H264-$J264)</f>
      </c>
      <c r="L264" s="18">
        <f>IF($D264="","",IF($H264=0,0,($H264-$J264)/$H264))</f>
      </c>
      <c r="M264" s="19">
        <f>IF($D264="","",$D264&amp;"|"&amp;$G264)</f>
      </c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IF($D265="","",$H265-$J265)</f>
      </c>
      <c r="L265" s="18">
        <f>IF($D265="","",IF($H265=0,0,($H265-$J265)/$H265))</f>
      </c>
      <c r="M265" s="19">
        <f>IF($D265="","",$D265&amp;"|"&amp;$G265)</f>
      </c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IF($D266="","",$H266-$J266)</f>
      </c>
      <c r="L266" s="18">
        <f>IF($D266="","",IF($H266=0,0,($H266-$J266)/$H266))</f>
      </c>
      <c r="M266" s="19">
        <f>IF($D266="","",$D266&amp;"|"&amp;$G266)</f>
      </c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IF($D267="","",$H267-$J267)</f>
      </c>
      <c r="L267" s="18">
        <f>IF($D267="","",IF($H267=0,0,($H267-$J267)/$H267))</f>
      </c>
      <c r="M267" s="19">
        <f>IF($D267="","",$D267&amp;"|"&amp;$G267)</f>
      </c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IF($D268="","",$H268-$J268)</f>
      </c>
      <c r="L268" s="18">
        <f>IF($D268="","",IF($H268=0,0,($H268-$J268)/$H268))</f>
      </c>
      <c r="M268" s="19">
        <f>IF($D268="","",$D268&amp;"|"&amp;$G268)</f>
      </c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IF($D269="","",$H269-$J269)</f>
      </c>
      <c r="L269" s="18">
        <f>IF($D269="","",IF($H269=0,0,($H269-$J269)/$H269))</f>
      </c>
      <c r="M269" s="19">
        <f>IF($D269="","",$D269&amp;"|"&amp;$G269)</f>
      </c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IF($D270="","",$H270-$J270)</f>
      </c>
      <c r="L270" s="18">
        <f>IF($D270="","",IF($H270=0,0,($H270-$J270)/$H270))</f>
      </c>
      <c r="M270" s="19">
        <f>IF($D270="","",$D270&amp;"|"&amp;$G270)</f>
      </c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IF($D271="","",$H271-$J271)</f>
      </c>
      <c r="L271" s="18">
        <f>IF($D271="","",IF($H271=0,0,($H271-$J271)/$H271))</f>
      </c>
      <c r="M271" s="19">
        <f>IF($D271="","",$D271&amp;"|"&amp;$G271)</f>
      </c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IF($D272="","",$H272-$J272)</f>
      </c>
      <c r="L272" s="18">
        <f>IF($D272="","",IF($H272=0,0,($H272-$J272)/$H272))</f>
      </c>
      <c r="M272" s="19">
        <f>IF($D272="","",$D272&amp;"|"&amp;$G272)</f>
      </c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IF($D273="","",$H273-$J273)</f>
      </c>
      <c r="L273" s="18">
        <f>IF($D273="","",IF($H273=0,0,($H273-$J273)/$H273))</f>
      </c>
      <c r="M273" s="19">
        <f>IF($D273="","",$D273&amp;"|"&amp;$G273)</f>
      </c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IF($D274="","",$H274-$J274)</f>
      </c>
      <c r="L274" s="18">
        <f>IF($D274="","",IF($H274=0,0,($H274-$J274)/$H274))</f>
      </c>
      <c r="M274" s="19">
        <f>IF($D274="","",$D274&amp;"|"&amp;$G274)</f>
      </c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IF($D275="","",$H275-$J275)</f>
      </c>
      <c r="L275" s="18">
        <f>IF($D275="","",IF($H275=0,0,($H275-$J275)/$H275))</f>
      </c>
      <c r="M275" s="19">
        <f>IF($D275="","",$D275&amp;"|"&amp;$G275)</f>
      </c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IF($D276="","",$H276-$J276)</f>
      </c>
      <c r="L276" s="18">
        <f>IF($D276="","",IF($H276=0,0,($H276-$J276)/$H276))</f>
      </c>
      <c r="M276" s="19">
        <f>IF($D276="","",$D276&amp;"|"&amp;$G276)</f>
      </c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IF($D277="","",$H277-$J277)</f>
      </c>
      <c r="L277" s="18">
        <f>IF($D277="","",IF($H277=0,0,($H277-$J277)/$H277))</f>
      </c>
      <c r="M277" s="19">
        <f>IF($D277="","",$D277&amp;"|"&amp;$G277)</f>
      </c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IF($D278="","",$H278-$J278)</f>
      </c>
      <c r="L278" s="18">
        <f>IF($D278="","",IF($H278=0,0,($H278-$J278)/$H278))</f>
      </c>
      <c r="M278" s="19">
        <f>IF($D278="","",$D278&amp;"|"&amp;$G278)</f>
      </c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IF($D279="","",$H279-$J279)</f>
      </c>
      <c r="L279" s="18">
        <f>IF($D279="","",IF($H279=0,0,($H279-$J279)/$H279))</f>
      </c>
      <c r="M279" s="19">
        <f>IF($D279="","",$D279&amp;"|"&amp;$G279)</f>
      </c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IF($D280="","",$H280-$J280)</f>
      </c>
      <c r="L280" s="18">
        <f>IF($D280="","",IF($H280=0,0,($H280-$J280)/$H280))</f>
      </c>
      <c r="M280" s="19">
        <f>IF($D280="","",$D280&amp;"|"&amp;$G280)</f>
      </c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IF($D281="","",$H281-$J281)</f>
      </c>
      <c r="L281" s="18">
        <f>IF($D281="","",IF($H281=0,0,($H281-$J281)/$H281))</f>
      </c>
      <c r="M281" s="19">
        <f>IF($D281="","",$D281&amp;"|"&amp;$G281)</f>
      </c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IF($D282="","",$H282-$J282)</f>
      </c>
      <c r="L282" s="18">
        <f>IF($D282="","",IF($H282=0,0,($H282-$J282)/$H282))</f>
      </c>
      <c r="M282" s="19">
        <f>IF($D282="","",$D282&amp;"|"&amp;$G282)</f>
      </c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IF($D283="","",$H283-$J283)</f>
      </c>
      <c r="L283" s="18">
        <f>IF($D283="","",IF($H283=0,0,($H283-$J283)/$H283))</f>
      </c>
      <c r="M283" s="19">
        <f>IF($D283="","",$D283&amp;"|"&amp;$G283)</f>
      </c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IF($D284="","",$H284-$J284)</f>
      </c>
      <c r="L284" s="18">
        <f>IF($D284="","",IF($H284=0,0,($H284-$J284)/$H284))</f>
      </c>
      <c r="M284" s="19">
        <f>IF($D284="","",$D284&amp;"|"&amp;$G284)</f>
      </c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IF($D285="","",$H285-$J285)</f>
      </c>
      <c r="L285" s="18">
        <f>IF($D285="","",IF($H285=0,0,($H285-$J285)/$H285))</f>
      </c>
      <c r="M285" s="19">
        <f>IF($D285="","",$D285&amp;"|"&amp;$G285)</f>
      </c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IF($D286="","",$H286-$J286)</f>
      </c>
      <c r="L286" s="18">
        <f>IF($D286="","",IF($H286=0,0,($H286-$J286)/$H286))</f>
      </c>
      <c r="M286" s="19">
        <f>IF($D286="","",$D286&amp;"|"&amp;$G286)</f>
      </c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IF($D287="","",$H287-$J287)</f>
      </c>
      <c r="L287" s="18">
        <f>IF($D287="","",IF($H287=0,0,($H287-$J287)/$H287))</f>
      </c>
      <c r="M287" s="19">
        <f>IF($D287="","",$D287&amp;"|"&amp;$G287)</f>
      </c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IF($D288="","",$H288-$J288)</f>
      </c>
      <c r="L288" s="18">
        <f>IF($D288="","",IF($H288=0,0,($H288-$J288)/$H288))</f>
      </c>
      <c r="M288" s="19">
        <f>IF($D288="","",$D288&amp;"|"&amp;$G288)</f>
      </c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IF($D289="","",$H289-$J289)</f>
      </c>
      <c r="L289" s="18">
        <f>IF($D289="","",IF($H289=0,0,($H289-$J289)/$H289))</f>
      </c>
      <c r="M289" s="19">
        <f>IF($D289="","",$D289&amp;"|"&amp;$G289)</f>
      </c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IF($D290="","",$H290-$J290)</f>
      </c>
      <c r="L290" s="18">
        <f>IF($D290="","",IF($H290=0,0,($H290-$J290)/$H290))</f>
      </c>
      <c r="M290" s="19">
        <f>IF($D290="","",$D290&amp;"|"&amp;$G290)</f>
      </c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IF($D291="","",$H291-$J291)</f>
      </c>
      <c r="L291" s="18">
        <f>IF($D291="","",IF($H291=0,0,($H291-$J291)/$H291))</f>
      </c>
      <c r="M291" s="19">
        <f>IF($D291="","",$D291&amp;"|"&amp;$G291)</f>
      </c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IF($D292="","",$H292-$J292)</f>
      </c>
      <c r="L292" s="18">
        <f>IF($D292="","",IF($H292=0,0,($H292-$J292)/$H292))</f>
      </c>
      <c r="M292" s="19">
        <f>IF($D292="","",$D292&amp;"|"&amp;$G292)</f>
      </c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IF($D293="","",$H293-$J293)</f>
      </c>
      <c r="L293" s="18">
        <f>IF($D293="","",IF($H293=0,0,($H293-$J293)/$H293))</f>
      </c>
      <c r="M293" s="19">
        <f>IF($D293="","",$D293&amp;"|"&amp;$G293)</f>
      </c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IF($D294="","",$H294-$J294)</f>
      </c>
      <c r="L294" s="18">
        <f>IF($D294="","",IF($H294=0,0,($H294-$J294)/$H294))</f>
      </c>
      <c r="M294" s="19">
        <f>IF($D294="","",$D294&amp;"|"&amp;$G294)</f>
      </c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IF($D295="","",$H295-$J295)</f>
      </c>
      <c r="L295" s="18">
        <f>IF($D295="","",IF($H295=0,0,($H295-$J295)/$H295))</f>
      </c>
      <c r="M295" s="19">
        <f>IF($D295="","",$D295&amp;"|"&amp;$G295)</f>
      </c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IF($D296="","",$H296-$J296)</f>
      </c>
      <c r="L296" s="18">
        <f>IF($D296="","",IF($H296=0,0,($H296-$J296)/$H296))</f>
      </c>
      <c r="M296" s="19">
        <f>IF($D296="","",$D296&amp;"|"&amp;$G296)</f>
      </c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IF($D297="","",$H297-$J297)</f>
      </c>
      <c r="L297" s="18">
        <f>IF($D297="","",IF($H297=0,0,($H297-$J297)/$H297))</f>
      </c>
      <c r="M297" s="19">
        <f>IF($D297="","",$D297&amp;"|"&amp;$G297)</f>
      </c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IF($D298="","",$H298-$J298)</f>
      </c>
      <c r="L298" s="18">
        <f>IF($D298="","",IF($H298=0,0,($H298-$J298)/$H298))</f>
      </c>
      <c r="M298" s="19">
        <f>IF($D298="","",$D298&amp;"|"&amp;$G298)</f>
      </c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IF($D299="","",$H299-$J299)</f>
      </c>
      <c r="L299" s="18">
        <f>IF($D299="","",IF($H299=0,0,($H299-$J299)/$H299))</f>
      </c>
      <c r="M299" s="19">
        <f>IF($D299="","",$D299&amp;"|"&amp;$G299)</f>
      </c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IF($D300="","",$H300-$J300)</f>
      </c>
      <c r="L300" s="18">
        <f>IF($D300="","",IF($H300=0,0,($H300-$J300)/$H300))</f>
      </c>
      <c r="M300" s="19">
        <f>IF($D300="","",$D300&amp;"|"&amp;$G300)</f>
      </c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IF($D301="","",$H301-$J301)</f>
      </c>
      <c r="L301" s="18">
        <f>IF($D301="","",IF($H301=0,0,($H301-$J301)/$H301))</f>
      </c>
      <c r="M301" s="19">
        <f>IF($D301="","",$D301&amp;"|"&amp;$G301)</f>
      </c>
    </row>
  </sheetData>
  <dataValidations count="3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N°:</t>
        </is>
      </c>
      <c r="E2" s="44">
        <f>'Config'!$B$8&amp;TEXT('Config'!$B$9,"0000")</f>
      </c>
    </row>
    <row r="3">
      <c r="B3" s="9">
        <f>'Config'!$B$4</f>
      </c>
      <c r="D3" s="8" t="inlineStr">
        <is>
          <t xml:space="preserve">Fecha:</t>
        </is>
      </c>
      <c r="E3" s="14">
        <f>TODAY()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20" t="inlineStr">
        <is>
          <t xml:space="preserve">Efectivo</t>
        </is>
      </c>
    </row>
    <row r="5">
      <c r="B5" s="38">
        <f>'Config'!$B$7</f>
      </c>
      <c r="D5" s="8" t="inlineStr">
        <is>
          <t xml:space="preserve">Origen inv.:</t>
        </is>
      </c>
      <c r="E5" s="20" t="inlineStr">
        <is>
          <t xml:space="preserve">Casa</t>
        </is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20" t="inlineStr">
        <is>
          <t xml:space="preserve">Juan Pérez</t>
        </is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20" t="inlineStr">
        <is>
          <t xml:space="preserve">P001</t>
        </is>
      </c>
      <c r="B13" s="19">
        <f>IF($A13="","",IFERROR(VLOOKUP($A13,'Catálogo'!$A:$B,2,FALSE),"⚠ Código no existe"))</f>
      </c>
      <c r="D13" s="21">
        <v>2</v>
      </c>
      <c r="E13" s="22">
        <v>55000</v>
      </c>
      <c r="F13" s="16">
        <f>IF(OR($A13="",$D13="",$E13=""),"",$D13*$E13)</f>
      </c>
      <c r="G13" s="17">
        <f>IF($A13="","",IFERROR(VLOOKUP($A13,'Catálogo'!$A:$L,12,FALSE),0))</f>
      </c>
      <c r="H13" s="16">
        <f>IF($F13="","",ROUND($F13*$G13/100,0))</f>
      </c>
    </row>
    <row r="14">
      <c r="A14" s="20" t="inlineStr">
        <is>
          <t xml:space="preserve">P002</t>
        </is>
      </c>
      <c r="B14" s="19">
        <f>IF($A14="","",IFERROR(VLOOKUP($A14,'Catálogo'!$A:$B,2,FALSE),"⚠ Código no existe"))</f>
      </c>
      <c r="D14" s="21">
        <v>1</v>
      </c>
      <c r="E14" s="22">
        <v>22000</v>
      </c>
      <c r="F14" s="16">
        <f>IF(OR($A14="",$D14="",$E14=""),"",$D14*$E14)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20"/>
      <c r="B15" s="19">
        <f>IF($A15="","",IFERROR(VLOOKUP($A15,'Catálogo'!$A:$B,2,FALSE),"⚠ Código no existe"))</f>
      </c>
      <c r="D15" s="21"/>
      <c r="E15" s="22"/>
      <c r="F15" s="16">
        <f>IF(OR($A15="",$D15="",$E15=""),"",$D15*$E15)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20"/>
      <c r="B16" s="19">
        <f>IF($A16="","",IFERROR(VLOOKUP($A16,'Catálogo'!$A:$B,2,FALSE),"⚠ Código no existe"))</f>
      </c>
      <c r="D16" s="21"/>
      <c r="E16" s="22"/>
      <c r="F16" s="16">
        <f>IF(OR($A16="",$D16="",$E16=""),"",$D16*$E16)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20"/>
      <c r="B17" s="19">
        <f>IF($A17="","",IFERROR(VLOOKUP($A17,'Catálogo'!$A:$B,2,FALSE),"⚠ Código no existe"))</f>
      </c>
      <c r="D17" s="21"/>
      <c r="E17" s="22"/>
      <c r="F17" s="16">
        <f>IF(OR($A17="",$D17="",$E17=""),"",$D17*$E17)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20"/>
      <c r="B18" s="19">
        <f>IF($A18="","",IFERROR(VLOOKUP($A18,'Catálogo'!$A:$B,2,FALSE),"⚠ Código no existe"))</f>
      </c>
      <c r="D18" s="21"/>
      <c r="E18" s="22"/>
      <c r="F18" s="16">
        <f>IF(OR($A18="",$D18="",$E18=""),"",$D18*$E18)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20"/>
      <c r="B19" s="19">
        <f>IF($A19="","",IFERROR(VLOOKUP($A19,'Catálogo'!$A:$B,2,FALSE),"⚠ Código no existe"))</f>
      </c>
      <c r="D19" s="21"/>
      <c r="E19" s="22"/>
      <c r="F19" s="16">
        <f>IF(OR($A19="",$D19="",$E19=""),"",$D19*$E19)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20"/>
      <c r="B20" s="19">
        <f>IF($A20="","",IFERROR(VLOOKUP($A20,'Catálogo'!$A:$B,2,FALSE),"⚠ Código no existe"))</f>
      </c>
      <c r="D20" s="21"/>
      <c r="E20" s="22"/>
      <c r="F20" s="16">
        <f>IF(OR($A20="",$D20="",$E20=""),"",$D20*$E20)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20"/>
      <c r="B21" s="19">
        <f>IF($A21="","",IFERROR(VLOOKUP($A21,'Catálogo'!$A:$B,2,FALSE),"⚠ Código no existe"))</f>
      </c>
      <c r="D21" s="21"/>
      <c r="E21" s="22"/>
      <c r="F21" s="16">
        <f>IF(OR($A21="",$D21="",$E21=""),"",$D21*$E21)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20"/>
      <c r="B22" s="19">
        <f>IF($A22="","",IFERROR(VLOOKUP($A22,'Catálogo'!$A:$B,2,FALSE),"⚠ Código no existe"))</f>
      </c>
      <c r="D22" s="21"/>
      <c r="E22" s="22"/>
      <c r="F22" s="16">
        <f>IF(OR($A22="",$D22="",$E22=""),"",$D22*$E22)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20"/>
      <c r="B23" s="19">
        <f>IF($A23="","",IFERROR(VLOOKUP($A23,'Catálogo'!$A:$B,2,FALSE),"⚠ Código no existe"))</f>
      </c>
      <c r="D23" s="21"/>
      <c r="E23" s="22"/>
      <c r="F23" s="16">
        <f>IF(OR($A23="",$D23="",$E23=""),"",$D23*$E23)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20"/>
      <c r="B24" s="19">
        <f>IF($A24="","",IFERROR(VLOOKUP($A24,'Catálogo'!$A:$B,2,FALSE),"⚠ Código no existe"))</f>
      </c>
      <c r="D24" s="21"/>
      <c r="E24" s="22"/>
      <c r="F24" s="16">
        <f>IF(OR($A24="",$D24="",$E24=""),"",$D24*$E24)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4">
    <dataValidation type="list" allowBlank="1" showInputMessage="1" showErrorMessage="0" sqref="B8:B8">
      <formula1>'Clientes'!$B$2:$B$101</formula1>
    </dataValidation>
    <dataValidation type="list" allowBlank="1" showInputMessage="1" showErrorMessage="0" sqref="A13:A24">
      <formula1>'Catálogo'!$A$2:$A$201</formula1>
    </dataValidation>
    <dataValidation type="list" allowBlank="1" showInputMessage="1" showErrorMessage="0" sqref="E5:E5">
      <formula1>'Config'!$F$2:$F$3</formula1>
    </dataValidation>
    <dataValidation type="list" allowBlank="1" showInputMessage="1" showErrorMessage="0" sqref="E4:E4">
      <formula1>"Efectivo,Transferencia,Tarjeta,Nequi / Daviplata,Crédito"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20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</row>
    <row r="6" ht="90.00" customHeight="1">
      <c r="A6" s="39">
        <f>IFERROR(IF(INDEX('Catálogo'!$M:$M,MATCH($B$3&amp;"|"&amp;1,IF($B$3="TODAS",'Catálogo'!$U:$U,'Catálogo'!$Q:$Q),0))="","",IMAGE(INDEX('Catálogo'!$M:$M,MATCH($B$3&amp;"|"&amp;1,IF($B$3="TODAS",'Catálogo'!$U:$U,'Catálogo'!$Q:$Q),0)),1)),"")</f>
      </c>
      <c r="B6" s="40">
        <f>IFERROR(INDEX('Catálogo'!$B:$B,MATCH($B$3&amp;"|"&amp;1,IF($B$3="TODAS",'Catálogo'!$U:$U,'Catálogo'!$Q:$Q),0)),"")</f>
      </c>
      <c r="C6" s="41">
        <f>IFERROR(IF(INDEX('Catálogo'!$R:$R,MATCH($B$3&amp;"|"&amp;1,IF($B$3="TODAS",'Catálogo'!$U:$U,'Catálogo'!$Q:$Q),0))="","Cód: "&amp;INDEX('Catálogo'!$A:$A,MATCH($B$3&amp;"|"&amp;1,IF($B$3="TODAS",'Catálogo'!$U:$U,'Catálogo'!$Q:$Q),0)),"Medidas: "&amp;INDEX('Catálogo'!$R:$R,MATCH($B$3&amp;"|"&amp;1,IF($B$3="TODAS",'Catálogo'!$U:$U,'Catálogo'!$Q:$Q),0))&amp;"  ·  Cód: "&amp;INDEX('Catálogo'!$A:$A,MATCH($B$3&amp;"|"&amp;1,IF($B$3="TODAS",'Catálogo'!$U:$U,'Catálogo'!$Q:$Q),0))),"")</f>
      </c>
      <c r="D6" s="42">
        <f>IFERROR(IF($D$3="Mayor",INDEX('Catálogo'!$O:$O,MATCH($B$3&amp;"|"&amp;1,IF($B$3="TODAS",'Catálogo'!$U:$U,'Catálogo'!$Q:$Q),0)),INDEX('Catálogo'!$N:$N,MATCH($B$3&amp;"|"&amp;1,IF($B$3="TODAS",'Catálogo'!$U:$U,'Catálogo'!$Q:$Q),0))),"")</f>
      </c>
    </row>
    <row r="7" ht="90.00" customHeight="1">
      <c r="A7" s="39">
        <f>IFERROR(IF(INDEX('Catálogo'!$M:$M,MATCH($B$3&amp;"|"&amp;2,IF($B$3="TODAS",'Catálogo'!$U:$U,'Catálogo'!$Q:$Q),0))="","",IMAGE(INDEX('Catálogo'!$M:$M,MATCH($B$3&amp;"|"&amp;2,IF($B$3="TODAS",'Catálogo'!$U:$U,'Catálogo'!$Q:$Q),0)),1)),"")</f>
      </c>
      <c r="B7" s="40">
        <f>IFERROR(INDEX('Catálogo'!$B:$B,MATCH($B$3&amp;"|"&amp;2,IF($B$3="TODAS",'Catálogo'!$U:$U,'Catálogo'!$Q:$Q),0)),"")</f>
      </c>
      <c r="C7" s="41">
        <f>IFERROR(IF(INDEX('Catálogo'!$R:$R,MATCH($B$3&amp;"|"&amp;2,IF($B$3="TODAS",'Catálogo'!$U:$U,'Catálogo'!$Q:$Q),0))="","Cód: "&amp;INDEX('Catálogo'!$A:$A,MATCH($B$3&amp;"|"&amp;2,IF($B$3="TODAS",'Catálogo'!$U:$U,'Catálogo'!$Q:$Q),0)),"Medidas: "&amp;INDEX('Catálogo'!$R:$R,MATCH($B$3&amp;"|"&amp;2,IF($B$3="TODAS",'Catálogo'!$U:$U,'Catálogo'!$Q:$Q),0))&amp;"  ·  Cód: "&amp;INDEX('Catálogo'!$A:$A,MATCH($B$3&amp;"|"&amp;2,IF($B$3="TODAS",'Catálogo'!$U:$U,'Catálogo'!$Q:$Q),0))),"")</f>
      </c>
      <c r="D7" s="42">
        <f>IFERROR(IF($D$3="Mayor",INDEX('Catálogo'!$O:$O,MATCH($B$3&amp;"|"&amp;2,IF($B$3="TODAS",'Catálogo'!$U:$U,'Catálogo'!$Q:$Q),0)),INDEX('Catálogo'!$N:$N,MATCH($B$3&amp;"|"&amp;2,IF($B$3="TODAS",'Catálogo'!$U:$U,'Catálogo'!$Q:$Q),0))),"")</f>
      </c>
    </row>
    <row r="8" ht="90.00" customHeight="1">
      <c r="A8" s="39">
        <f>IFERROR(IF(INDEX('Catálogo'!$M:$M,MATCH($B$3&amp;"|"&amp;3,IF($B$3="TODAS",'Catálogo'!$U:$U,'Catálogo'!$Q:$Q),0))="","",IMAGE(INDEX('Catálogo'!$M:$M,MATCH($B$3&amp;"|"&amp;3,IF($B$3="TODAS",'Catálogo'!$U:$U,'Catálogo'!$Q:$Q),0)),1)),"")</f>
      </c>
      <c r="B8" s="40">
        <f>IFERROR(INDEX('Catálogo'!$B:$B,MATCH($B$3&amp;"|"&amp;3,IF($B$3="TODAS",'Catálogo'!$U:$U,'Catálogo'!$Q:$Q),0)),"")</f>
      </c>
      <c r="C8" s="41">
        <f>IFERROR(IF(INDEX('Catálogo'!$R:$R,MATCH($B$3&amp;"|"&amp;3,IF($B$3="TODAS",'Catálogo'!$U:$U,'Catálogo'!$Q:$Q),0))="","Cód: "&amp;INDEX('Catálogo'!$A:$A,MATCH($B$3&amp;"|"&amp;3,IF($B$3="TODAS",'Catálogo'!$U:$U,'Catálogo'!$Q:$Q),0)),"Medidas: "&amp;INDEX('Catálogo'!$R:$R,MATCH($B$3&amp;"|"&amp;3,IF($B$3="TODAS",'Catálogo'!$U:$U,'Catálogo'!$Q:$Q),0))&amp;"  ·  Cód: "&amp;INDEX('Catálogo'!$A:$A,MATCH($B$3&amp;"|"&amp;3,IF($B$3="TODAS",'Catálogo'!$U:$U,'Catálogo'!$Q:$Q),0))),"")</f>
      </c>
      <c r="D8" s="42">
        <f>IFERROR(IF($D$3="Mayor",INDEX('Catálogo'!$O:$O,MATCH($B$3&amp;"|"&amp;3,IF($B$3="TODAS",'Catálogo'!$U:$U,'Catálogo'!$Q:$Q),0)),INDEX('Catálogo'!$N:$N,MATCH($B$3&amp;"|"&amp;3,IF($B$3="TODAS",'Catálogo'!$U:$U,'Catálogo'!$Q:$Q),0))),"")</f>
      </c>
    </row>
    <row r="9" ht="90.00" customHeight="1">
      <c r="A9" s="39">
        <f>IFERROR(IF(INDEX('Catálogo'!$M:$M,MATCH($B$3&amp;"|"&amp;4,IF($B$3="TODAS",'Catálogo'!$U:$U,'Catálogo'!$Q:$Q),0))="","",IMAGE(INDEX('Catálogo'!$M:$M,MATCH($B$3&amp;"|"&amp;4,IF($B$3="TODAS",'Catálogo'!$U:$U,'Catálogo'!$Q:$Q),0)),1)),"")</f>
      </c>
      <c r="B9" s="40">
        <f>IFERROR(INDEX('Catálogo'!$B:$B,MATCH($B$3&amp;"|"&amp;4,IF($B$3="TODAS",'Catálogo'!$U:$U,'Catálogo'!$Q:$Q),0)),"")</f>
      </c>
      <c r="C9" s="41">
        <f>IFERROR(IF(INDEX('Catálogo'!$R:$R,MATCH($B$3&amp;"|"&amp;4,IF($B$3="TODAS",'Catálogo'!$U:$U,'Catálogo'!$Q:$Q),0))="","Cód: "&amp;INDEX('Catálogo'!$A:$A,MATCH($B$3&amp;"|"&amp;4,IF($B$3="TODAS",'Catálogo'!$U:$U,'Catálogo'!$Q:$Q),0)),"Medidas: "&amp;INDEX('Catálogo'!$R:$R,MATCH($B$3&amp;"|"&amp;4,IF($B$3="TODAS",'Catálogo'!$U:$U,'Catálogo'!$Q:$Q),0))&amp;"  ·  Cód: "&amp;INDEX('Catálogo'!$A:$A,MATCH($B$3&amp;"|"&amp;4,IF($B$3="TODAS",'Catálogo'!$U:$U,'Catálogo'!$Q:$Q),0))),"")</f>
      </c>
      <c r="D9" s="42">
        <f>IFERROR(IF($D$3="Mayor",INDEX('Catálogo'!$O:$O,MATCH($B$3&amp;"|"&amp;4,IF($B$3="TODAS",'Catálogo'!$U:$U,'Catálogo'!$Q:$Q),0)),INDEX('Catálogo'!$N:$N,MATCH($B$3&amp;"|"&amp;4,IF($B$3="TODAS",'Catálogo'!$U:$U,'Catálogo'!$Q:$Q),0))),"")</f>
      </c>
    </row>
    <row r="10" ht="90.00" customHeight="1">
      <c r="A10" s="39">
        <f>IFERROR(IF(INDEX('Catálogo'!$M:$M,MATCH($B$3&amp;"|"&amp;5,IF($B$3="TODAS",'Catálogo'!$U:$U,'Catálogo'!$Q:$Q),0))="","",IMAGE(INDEX('Catálogo'!$M:$M,MATCH($B$3&amp;"|"&amp;5,IF($B$3="TODAS",'Catálogo'!$U:$U,'Catálogo'!$Q:$Q),0)),1)),"")</f>
      </c>
      <c r="B10" s="40">
        <f>IFERROR(INDEX('Catálogo'!$B:$B,MATCH($B$3&amp;"|"&amp;5,IF($B$3="TODAS",'Catálogo'!$U:$U,'Catálogo'!$Q:$Q),0)),"")</f>
      </c>
      <c r="C10" s="41">
        <f>IFERROR(IF(INDEX('Catálogo'!$R:$R,MATCH($B$3&amp;"|"&amp;5,IF($B$3="TODAS",'Catálogo'!$U:$U,'Catálogo'!$Q:$Q),0))="","Cód: "&amp;INDEX('Catálogo'!$A:$A,MATCH($B$3&amp;"|"&amp;5,IF($B$3="TODAS",'Catálogo'!$U:$U,'Catálogo'!$Q:$Q),0)),"Medidas: "&amp;INDEX('Catálogo'!$R:$R,MATCH($B$3&amp;"|"&amp;5,IF($B$3="TODAS",'Catálogo'!$U:$U,'Catálogo'!$Q:$Q),0))&amp;"  ·  Cód: "&amp;INDEX('Catálogo'!$A:$A,MATCH($B$3&amp;"|"&amp;5,IF($B$3="TODAS",'Catálogo'!$U:$U,'Catálogo'!$Q:$Q),0))),"")</f>
      </c>
      <c r="D10" s="42">
        <f>IFERROR(IF($D$3="Mayor",INDEX('Catálogo'!$O:$O,MATCH($B$3&amp;"|"&amp;5,IF($B$3="TODAS",'Catálogo'!$U:$U,'Catálogo'!$Q:$Q),0)),INDEX('Catálogo'!$N:$N,MATCH($B$3&amp;"|"&amp;5,IF($B$3="TODAS",'Catálogo'!$U:$U,'Catálogo'!$Q:$Q),0))),"")</f>
      </c>
    </row>
    <row r="11" ht="90.00" customHeight="1">
      <c r="A11" s="39">
        <f>IFERROR(IF(INDEX('Catálogo'!$M:$M,MATCH($B$3&amp;"|"&amp;6,IF($B$3="TODAS",'Catálogo'!$U:$U,'Catálogo'!$Q:$Q),0))="","",IMAGE(INDEX('Catálogo'!$M:$M,MATCH($B$3&amp;"|"&amp;6,IF($B$3="TODAS",'Catálogo'!$U:$U,'Catálogo'!$Q:$Q),0)),1)),"")</f>
      </c>
      <c r="B11" s="40">
        <f>IFERROR(INDEX('Catálogo'!$B:$B,MATCH($B$3&amp;"|"&amp;6,IF($B$3="TODAS",'Catálogo'!$U:$U,'Catálogo'!$Q:$Q),0)),"")</f>
      </c>
      <c r="C11" s="41">
        <f>IFERROR(IF(INDEX('Catálogo'!$R:$R,MATCH($B$3&amp;"|"&amp;6,IF($B$3="TODAS",'Catálogo'!$U:$U,'Catálogo'!$Q:$Q),0))="","Cód: "&amp;INDEX('Catálogo'!$A:$A,MATCH($B$3&amp;"|"&amp;6,IF($B$3="TODAS",'Catálogo'!$U:$U,'Catálogo'!$Q:$Q),0)),"Medidas: "&amp;INDEX('Catálogo'!$R:$R,MATCH($B$3&amp;"|"&amp;6,IF($B$3="TODAS",'Catálogo'!$U:$U,'Catálogo'!$Q:$Q),0))&amp;"  ·  Cód: "&amp;INDEX('Catálogo'!$A:$A,MATCH($B$3&amp;"|"&amp;6,IF($B$3="TODAS",'Catálogo'!$U:$U,'Catálogo'!$Q:$Q),0))),"")</f>
      </c>
      <c r="D11" s="42">
        <f>IFERROR(IF($D$3="Mayor",INDEX('Catálogo'!$O:$O,MATCH($B$3&amp;"|"&amp;6,IF($B$3="TODAS",'Catálogo'!$U:$U,'Catálogo'!$Q:$Q),0)),INDEX('Catálogo'!$N:$N,MATCH($B$3&amp;"|"&amp;6,IF($B$3="TODAS",'Catálogo'!$U:$U,'Catálogo'!$Q:$Q),0))),"")</f>
      </c>
    </row>
    <row r="12" ht="90.00" customHeight="1">
      <c r="A12" s="39">
        <f>IFERROR(IF(INDEX('Catálogo'!$M:$M,MATCH($B$3&amp;"|"&amp;7,IF($B$3="TODAS",'Catálogo'!$U:$U,'Catálogo'!$Q:$Q),0))="","",IMAGE(INDEX('Catálogo'!$M:$M,MATCH($B$3&amp;"|"&amp;7,IF($B$3="TODAS",'Catálogo'!$U:$U,'Catálogo'!$Q:$Q),0)),1)),"")</f>
      </c>
      <c r="B12" s="40">
        <f>IFERROR(INDEX('Catálogo'!$B:$B,MATCH($B$3&amp;"|"&amp;7,IF($B$3="TODAS",'Catálogo'!$U:$U,'Catálogo'!$Q:$Q),0)),"")</f>
      </c>
      <c r="C12" s="41">
        <f>IFERROR(IF(INDEX('Catálogo'!$R:$R,MATCH($B$3&amp;"|"&amp;7,IF($B$3="TODAS",'Catálogo'!$U:$U,'Catálogo'!$Q:$Q),0))="","Cód: "&amp;INDEX('Catálogo'!$A:$A,MATCH($B$3&amp;"|"&amp;7,IF($B$3="TODAS",'Catálogo'!$U:$U,'Catálogo'!$Q:$Q),0)),"Medidas: "&amp;INDEX('Catálogo'!$R:$R,MATCH($B$3&amp;"|"&amp;7,IF($B$3="TODAS",'Catálogo'!$U:$U,'Catálogo'!$Q:$Q),0))&amp;"  ·  Cód: "&amp;INDEX('Catálogo'!$A:$A,MATCH($B$3&amp;"|"&amp;7,IF($B$3="TODAS",'Catálogo'!$U:$U,'Catálogo'!$Q:$Q),0))),"")</f>
      </c>
      <c r="D12" s="42">
        <f>IFERROR(IF($D$3="Mayor",INDEX('Catálogo'!$O:$O,MATCH($B$3&amp;"|"&amp;7,IF($B$3="TODAS",'Catálogo'!$U:$U,'Catálogo'!$Q:$Q),0)),INDEX('Catálogo'!$N:$N,MATCH($B$3&amp;"|"&amp;7,IF($B$3="TODAS",'Catálogo'!$U:$U,'Catálogo'!$Q:$Q),0))),"")</f>
      </c>
    </row>
    <row r="13" ht="90.00" customHeight="1">
      <c r="A13" s="39">
        <f>IFERROR(IF(INDEX('Catálogo'!$M:$M,MATCH($B$3&amp;"|"&amp;8,IF($B$3="TODAS",'Catálogo'!$U:$U,'Catálogo'!$Q:$Q),0))="","",IMAGE(INDEX('Catálogo'!$M:$M,MATCH($B$3&amp;"|"&amp;8,IF($B$3="TODAS",'Catálogo'!$U:$U,'Catálogo'!$Q:$Q),0)),1)),"")</f>
      </c>
      <c r="B13" s="40">
        <f>IFERROR(INDEX('Catálogo'!$B:$B,MATCH($B$3&amp;"|"&amp;8,IF($B$3="TODAS",'Catálogo'!$U:$U,'Catálogo'!$Q:$Q),0)),"")</f>
      </c>
      <c r="C13" s="41">
        <f>IFERROR(IF(INDEX('Catálogo'!$R:$R,MATCH($B$3&amp;"|"&amp;8,IF($B$3="TODAS",'Catálogo'!$U:$U,'Catálogo'!$Q:$Q),0))="","Cód: "&amp;INDEX('Catálogo'!$A:$A,MATCH($B$3&amp;"|"&amp;8,IF($B$3="TODAS",'Catálogo'!$U:$U,'Catálogo'!$Q:$Q),0)),"Medidas: "&amp;INDEX('Catálogo'!$R:$R,MATCH($B$3&amp;"|"&amp;8,IF($B$3="TODAS",'Catálogo'!$U:$U,'Catálogo'!$Q:$Q),0))&amp;"  ·  Cód: "&amp;INDEX('Catálogo'!$A:$A,MATCH($B$3&amp;"|"&amp;8,IF($B$3="TODAS",'Catálogo'!$U:$U,'Catálogo'!$Q:$Q),0))),"")</f>
      </c>
      <c r="D13" s="42">
        <f>IFERROR(IF($D$3="Mayor",INDEX('Catálogo'!$O:$O,MATCH($B$3&amp;"|"&amp;8,IF($B$3="TODAS",'Catálogo'!$U:$U,'Catálogo'!$Q:$Q),0)),INDEX('Catálogo'!$N:$N,MATCH($B$3&amp;"|"&amp;8,IF($B$3="TODAS",'Catálogo'!$U:$U,'Catálogo'!$Q:$Q),0))),"")</f>
      </c>
    </row>
    <row r="14" ht="90.00" customHeight="1">
      <c r="A14" s="39">
        <f>IFERROR(IF(INDEX('Catálogo'!$M:$M,MATCH($B$3&amp;"|"&amp;9,IF($B$3="TODAS",'Catálogo'!$U:$U,'Catálogo'!$Q:$Q),0))="","",IMAGE(INDEX('Catálogo'!$M:$M,MATCH($B$3&amp;"|"&amp;9,IF($B$3="TODAS",'Catálogo'!$U:$U,'Catálogo'!$Q:$Q),0)),1)),"")</f>
      </c>
      <c r="B14" s="40">
        <f>IFERROR(INDEX('Catálogo'!$B:$B,MATCH($B$3&amp;"|"&amp;9,IF($B$3="TODAS",'Catálogo'!$U:$U,'Catálogo'!$Q:$Q),0)),"")</f>
      </c>
      <c r="C14" s="41">
        <f>IFERROR(IF(INDEX('Catálogo'!$R:$R,MATCH($B$3&amp;"|"&amp;9,IF($B$3="TODAS",'Catálogo'!$U:$U,'Catálogo'!$Q:$Q),0))="","Cód: "&amp;INDEX('Catálogo'!$A:$A,MATCH($B$3&amp;"|"&amp;9,IF($B$3="TODAS",'Catálogo'!$U:$U,'Catálogo'!$Q:$Q),0)),"Medidas: "&amp;INDEX('Catálogo'!$R:$R,MATCH($B$3&amp;"|"&amp;9,IF($B$3="TODAS",'Catálogo'!$U:$U,'Catálogo'!$Q:$Q),0))&amp;"  ·  Cód: "&amp;INDEX('Catálogo'!$A:$A,MATCH($B$3&amp;"|"&amp;9,IF($B$3="TODAS",'Catálogo'!$U:$U,'Catálogo'!$Q:$Q),0))),"")</f>
      </c>
      <c r="D14" s="42">
        <f>IFERROR(IF($D$3="Mayor",INDEX('Catálogo'!$O:$O,MATCH($B$3&amp;"|"&amp;9,IF($B$3="TODAS",'Catálogo'!$U:$U,'Catálogo'!$Q:$Q),0)),INDEX('Catálogo'!$N:$N,MATCH($B$3&amp;"|"&amp;9,IF($B$3="TODAS",'Catálogo'!$U:$U,'Catálogo'!$Q:$Q),0))),"")</f>
      </c>
    </row>
    <row r="15" ht="90.00" customHeight="1">
      <c r="A15" s="39">
        <f>IFERROR(IF(INDEX('Catálogo'!$M:$M,MATCH($B$3&amp;"|"&amp;10,IF($B$3="TODAS",'Catálogo'!$U:$U,'Catálogo'!$Q:$Q),0))="","",IMAGE(INDEX('Catálogo'!$M:$M,MATCH($B$3&amp;"|"&amp;10,IF($B$3="TODAS",'Catálogo'!$U:$U,'Catálogo'!$Q:$Q),0)),1)),"")</f>
      </c>
      <c r="B15" s="40">
        <f>IFERROR(INDEX('Catálogo'!$B:$B,MATCH($B$3&amp;"|"&amp;10,IF($B$3="TODAS",'Catálogo'!$U:$U,'Catálogo'!$Q:$Q),0)),"")</f>
      </c>
      <c r="C15" s="41">
        <f>IFERROR(IF(INDEX('Catálogo'!$R:$R,MATCH($B$3&amp;"|"&amp;10,IF($B$3="TODAS",'Catálogo'!$U:$U,'Catálogo'!$Q:$Q),0))="","Cód: "&amp;INDEX('Catálogo'!$A:$A,MATCH($B$3&amp;"|"&amp;10,IF($B$3="TODAS",'Catálogo'!$U:$U,'Catálogo'!$Q:$Q),0)),"Medidas: "&amp;INDEX('Catálogo'!$R:$R,MATCH($B$3&amp;"|"&amp;10,IF($B$3="TODAS",'Catálogo'!$U:$U,'Catálogo'!$Q:$Q),0))&amp;"  ·  Cód: "&amp;INDEX('Catálogo'!$A:$A,MATCH($B$3&amp;"|"&amp;10,IF($B$3="TODAS",'Catálogo'!$U:$U,'Catálogo'!$Q:$Q),0))),"")</f>
      </c>
      <c r="D15" s="42">
        <f>IFERROR(IF($D$3="Mayor",INDEX('Catálogo'!$O:$O,MATCH($B$3&amp;"|"&amp;10,IF($B$3="TODAS",'Catálogo'!$U:$U,'Catálogo'!$Q:$Q),0)),INDEX('Catálogo'!$N:$N,MATCH($B$3&amp;"|"&amp;10,IF($B$3="TODAS",'Catálogo'!$U:$U,'Catálogo'!$Q:$Q),0))),"")</f>
      </c>
    </row>
    <row r="16" ht="90.00" customHeight="1">
      <c r="A16" s="39">
        <f>IFERROR(IF(INDEX('Catálogo'!$M:$M,MATCH($B$3&amp;"|"&amp;11,IF($B$3="TODAS",'Catálogo'!$U:$U,'Catálogo'!$Q:$Q),0))="","",IMAGE(INDEX('Catálogo'!$M:$M,MATCH($B$3&amp;"|"&amp;11,IF($B$3="TODAS",'Catálogo'!$U:$U,'Catálogo'!$Q:$Q),0)),1)),"")</f>
      </c>
      <c r="B16" s="40">
        <f>IFERROR(INDEX('Catálogo'!$B:$B,MATCH($B$3&amp;"|"&amp;11,IF($B$3="TODAS",'Catálogo'!$U:$U,'Catálogo'!$Q:$Q),0)),"")</f>
      </c>
      <c r="C16" s="41">
        <f>IFERROR(IF(INDEX('Catálogo'!$R:$R,MATCH($B$3&amp;"|"&amp;11,IF($B$3="TODAS",'Catálogo'!$U:$U,'Catálogo'!$Q:$Q),0))="","Cód: "&amp;INDEX('Catálogo'!$A:$A,MATCH($B$3&amp;"|"&amp;11,IF($B$3="TODAS",'Catálogo'!$U:$U,'Catálogo'!$Q:$Q),0)),"Medidas: "&amp;INDEX('Catálogo'!$R:$R,MATCH($B$3&amp;"|"&amp;11,IF($B$3="TODAS",'Catálogo'!$U:$U,'Catálogo'!$Q:$Q),0))&amp;"  ·  Cód: "&amp;INDEX('Catálogo'!$A:$A,MATCH($B$3&amp;"|"&amp;11,IF($B$3="TODAS",'Catálogo'!$U:$U,'Catálogo'!$Q:$Q),0))),"")</f>
      </c>
      <c r="D16" s="42">
        <f>IFERROR(IF($D$3="Mayor",INDEX('Catálogo'!$O:$O,MATCH($B$3&amp;"|"&amp;11,IF($B$3="TODAS",'Catálogo'!$U:$U,'Catálogo'!$Q:$Q),0)),INDEX('Catálogo'!$N:$N,MATCH($B$3&amp;"|"&amp;11,IF($B$3="TODAS",'Catálogo'!$U:$U,'Catálogo'!$Q:$Q),0))),"")</f>
      </c>
    </row>
    <row r="17" ht="90.00" customHeight="1">
      <c r="A17" s="39">
        <f>IFERROR(IF(INDEX('Catálogo'!$M:$M,MATCH($B$3&amp;"|"&amp;12,IF($B$3="TODAS",'Catálogo'!$U:$U,'Catálogo'!$Q:$Q),0))="","",IMAGE(INDEX('Catálogo'!$M:$M,MATCH($B$3&amp;"|"&amp;12,IF($B$3="TODAS",'Catálogo'!$U:$U,'Catálogo'!$Q:$Q),0)),1)),"")</f>
      </c>
      <c r="B17" s="40">
        <f>IFERROR(INDEX('Catálogo'!$B:$B,MATCH($B$3&amp;"|"&amp;12,IF($B$3="TODAS",'Catálogo'!$U:$U,'Catálogo'!$Q:$Q),0)),"")</f>
      </c>
      <c r="C17" s="41">
        <f>IFERROR(IF(INDEX('Catálogo'!$R:$R,MATCH($B$3&amp;"|"&amp;12,IF($B$3="TODAS",'Catálogo'!$U:$U,'Catálogo'!$Q:$Q),0))="","Cód: "&amp;INDEX('Catálogo'!$A:$A,MATCH($B$3&amp;"|"&amp;12,IF($B$3="TODAS",'Catálogo'!$U:$U,'Catálogo'!$Q:$Q),0)),"Medidas: "&amp;INDEX('Catálogo'!$R:$R,MATCH($B$3&amp;"|"&amp;12,IF($B$3="TODAS",'Catálogo'!$U:$U,'Catálogo'!$Q:$Q),0))&amp;"  ·  Cód: "&amp;INDEX('Catálogo'!$A:$A,MATCH($B$3&amp;"|"&amp;12,IF($B$3="TODAS",'Catálogo'!$U:$U,'Catálogo'!$Q:$Q),0))),"")</f>
      </c>
      <c r="D17" s="42">
        <f>IFERROR(IF($D$3="Mayor",INDEX('Catálogo'!$O:$O,MATCH($B$3&amp;"|"&amp;12,IF($B$3="TODAS",'Catálogo'!$U:$U,'Catálogo'!$Q:$Q),0)),INDEX('Catálogo'!$N:$N,MATCH($B$3&amp;"|"&amp;12,IF($B$3="TODAS",'Catálogo'!$U:$U,'Catálogo'!$Q:$Q),0))),"")</f>
      </c>
    </row>
    <row r="18" ht="90.00" customHeight="1">
      <c r="A18" s="39">
        <f>IFERROR(IF(INDEX('Catálogo'!$M:$M,MATCH($B$3&amp;"|"&amp;13,IF($B$3="TODAS",'Catálogo'!$U:$U,'Catálogo'!$Q:$Q),0))="","",IMAGE(INDEX('Catálogo'!$M:$M,MATCH($B$3&amp;"|"&amp;13,IF($B$3="TODAS",'Catálogo'!$U:$U,'Catálogo'!$Q:$Q),0)),1)),"")</f>
      </c>
      <c r="B18" s="40">
        <f>IFERROR(INDEX('Catálogo'!$B:$B,MATCH($B$3&amp;"|"&amp;13,IF($B$3="TODAS",'Catálogo'!$U:$U,'Catálogo'!$Q:$Q),0)),"")</f>
      </c>
      <c r="C18" s="41">
        <f>IFERROR(IF(INDEX('Catálogo'!$R:$R,MATCH($B$3&amp;"|"&amp;13,IF($B$3="TODAS",'Catálogo'!$U:$U,'Catálogo'!$Q:$Q),0))="","Cód: "&amp;INDEX('Catálogo'!$A:$A,MATCH($B$3&amp;"|"&amp;13,IF($B$3="TODAS",'Catálogo'!$U:$U,'Catálogo'!$Q:$Q),0)),"Medidas: "&amp;INDEX('Catálogo'!$R:$R,MATCH($B$3&amp;"|"&amp;13,IF($B$3="TODAS",'Catálogo'!$U:$U,'Catálogo'!$Q:$Q),0))&amp;"  ·  Cód: "&amp;INDEX('Catálogo'!$A:$A,MATCH($B$3&amp;"|"&amp;13,IF($B$3="TODAS",'Catálogo'!$U:$U,'Catálogo'!$Q:$Q),0))),"")</f>
      </c>
      <c r="D18" s="42">
        <f>IFERROR(IF($D$3="Mayor",INDEX('Catálogo'!$O:$O,MATCH($B$3&amp;"|"&amp;13,IF($B$3="TODAS",'Catálogo'!$U:$U,'Catálogo'!$Q:$Q),0)),INDEX('Catálogo'!$N:$N,MATCH($B$3&amp;"|"&amp;13,IF($B$3="TODAS",'Catálogo'!$U:$U,'Catálogo'!$Q:$Q),0))),"")</f>
      </c>
    </row>
    <row r="19" ht="90.00" customHeight="1">
      <c r="A19" s="39">
        <f>IFERROR(IF(INDEX('Catálogo'!$M:$M,MATCH($B$3&amp;"|"&amp;14,IF($B$3="TODAS",'Catálogo'!$U:$U,'Catálogo'!$Q:$Q),0))="","",IMAGE(INDEX('Catálogo'!$M:$M,MATCH($B$3&amp;"|"&amp;14,IF($B$3="TODAS",'Catálogo'!$U:$U,'Catálogo'!$Q:$Q),0)),1)),"")</f>
      </c>
      <c r="B19" s="40">
        <f>IFERROR(INDEX('Catálogo'!$B:$B,MATCH($B$3&amp;"|"&amp;14,IF($B$3="TODAS",'Catálogo'!$U:$U,'Catálogo'!$Q:$Q),0)),"")</f>
      </c>
      <c r="C19" s="41">
        <f>IFERROR(IF(INDEX('Catálogo'!$R:$R,MATCH($B$3&amp;"|"&amp;14,IF($B$3="TODAS",'Catálogo'!$U:$U,'Catálogo'!$Q:$Q),0))="","Cód: "&amp;INDEX('Catálogo'!$A:$A,MATCH($B$3&amp;"|"&amp;14,IF($B$3="TODAS",'Catálogo'!$U:$U,'Catálogo'!$Q:$Q),0)),"Medidas: "&amp;INDEX('Catálogo'!$R:$R,MATCH($B$3&amp;"|"&amp;14,IF($B$3="TODAS",'Catálogo'!$U:$U,'Catálogo'!$Q:$Q),0))&amp;"  ·  Cód: "&amp;INDEX('Catálogo'!$A:$A,MATCH($B$3&amp;"|"&amp;14,IF($B$3="TODAS",'Catálogo'!$U:$U,'Catálogo'!$Q:$Q),0))),"")</f>
      </c>
      <c r="D19" s="42">
        <f>IFERROR(IF($D$3="Mayor",INDEX('Catálogo'!$O:$O,MATCH($B$3&amp;"|"&amp;14,IF($B$3="TODAS",'Catálogo'!$U:$U,'Catálogo'!$Q:$Q),0)),INDEX('Catálogo'!$N:$N,MATCH($B$3&amp;"|"&amp;14,IF($B$3="TODAS",'Catálogo'!$U:$U,'Catálogo'!$Q:$Q),0))),"")</f>
      </c>
    </row>
    <row r="20" ht="90.00" customHeight="1">
      <c r="A20" s="39">
        <f>IFERROR(IF(INDEX('Catálogo'!$M:$M,MATCH($B$3&amp;"|"&amp;15,IF($B$3="TODAS",'Catálogo'!$U:$U,'Catálogo'!$Q:$Q),0))="","",IMAGE(INDEX('Catálogo'!$M:$M,MATCH($B$3&amp;"|"&amp;15,IF($B$3="TODAS",'Catálogo'!$U:$U,'Catálogo'!$Q:$Q),0)),1)),"")</f>
      </c>
      <c r="B20" s="40">
        <f>IFERROR(INDEX('Catálogo'!$B:$B,MATCH($B$3&amp;"|"&amp;15,IF($B$3="TODAS",'Catálogo'!$U:$U,'Catálogo'!$Q:$Q),0)),"")</f>
      </c>
      <c r="C20" s="41">
        <f>IFERROR(IF(INDEX('Catálogo'!$R:$R,MATCH($B$3&amp;"|"&amp;15,IF($B$3="TODAS",'Catálogo'!$U:$U,'Catálogo'!$Q:$Q),0))="","Cód: "&amp;INDEX('Catálogo'!$A:$A,MATCH($B$3&amp;"|"&amp;15,IF($B$3="TODAS",'Catálogo'!$U:$U,'Catálogo'!$Q:$Q),0)),"Medidas: "&amp;INDEX('Catálogo'!$R:$R,MATCH($B$3&amp;"|"&amp;15,IF($B$3="TODAS",'Catálogo'!$U:$U,'Catálogo'!$Q:$Q),0))&amp;"  ·  Cód: "&amp;INDEX('Catálogo'!$A:$A,MATCH($B$3&amp;"|"&amp;15,IF($B$3="TODAS",'Catálogo'!$U:$U,'Catálogo'!$Q:$Q),0))),"")</f>
      </c>
      <c r="D20" s="42">
        <f>IFERROR(IF($D$3="Mayor",INDEX('Catálogo'!$O:$O,MATCH($B$3&amp;"|"&amp;15,IF($B$3="TODAS",'Catálogo'!$U:$U,'Catálogo'!$Q:$Q),0)),INDEX('Catálogo'!$N:$N,MATCH($B$3&amp;"|"&amp;15,IF($B$3="TODAS",'Catálogo'!$U:$U,'Catálogo'!$Q:$Q),0))),"")</f>
      </c>
    </row>
    <row r="21" ht="90.00" customHeight="1">
      <c r="A21" s="39">
        <f>IFERROR(IF(INDEX('Catálogo'!$M:$M,MATCH($B$3&amp;"|"&amp;16,IF($B$3="TODAS",'Catálogo'!$U:$U,'Catálogo'!$Q:$Q),0))="","",IMAGE(INDEX('Catálogo'!$M:$M,MATCH($B$3&amp;"|"&amp;16,IF($B$3="TODAS",'Catálogo'!$U:$U,'Catálogo'!$Q:$Q),0)),1)),"")</f>
      </c>
      <c r="B21" s="40">
        <f>IFERROR(INDEX('Catálogo'!$B:$B,MATCH($B$3&amp;"|"&amp;16,IF($B$3="TODAS",'Catálogo'!$U:$U,'Catálogo'!$Q:$Q),0)),"")</f>
      </c>
      <c r="C21" s="41">
        <f>IFERROR(IF(INDEX('Catálogo'!$R:$R,MATCH($B$3&amp;"|"&amp;16,IF($B$3="TODAS",'Catálogo'!$U:$U,'Catálogo'!$Q:$Q),0))="","Cód: "&amp;INDEX('Catálogo'!$A:$A,MATCH($B$3&amp;"|"&amp;16,IF($B$3="TODAS",'Catálogo'!$U:$U,'Catálogo'!$Q:$Q),0)),"Medidas: "&amp;INDEX('Catálogo'!$R:$R,MATCH($B$3&amp;"|"&amp;16,IF($B$3="TODAS",'Catálogo'!$U:$U,'Catálogo'!$Q:$Q),0))&amp;"  ·  Cód: "&amp;INDEX('Catálogo'!$A:$A,MATCH($B$3&amp;"|"&amp;16,IF($B$3="TODAS",'Catálogo'!$U:$U,'Catálogo'!$Q:$Q),0))),"")</f>
      </c>
      <c r="D21" s="42">
        <f>IFERROR(IF($D$3="Mayor",INDEX('Catálogo'!$O:$O,MATCH($B$3&amp;"|"&amp;16,IF($B$3="TODAS",'Catálogo'!$U:$U,'Catálogo'!$Q:$Q),0)),INDEX('Catálogo'!$N:$N,MATCH($B$3&amp;"|"&amp;16,IF($B$3="TODAS",'Catálogo'!$U:$U,'Catálogo'!$Q:$Q),0))),"")</f>
      </c>
    </row>
    <row r="22" ht="90.00" customHeight="1">
      <c r="A22" s="39">
        <f>IFERROR(IF(INDEX('Catálogo'!$M:$M,MATCH($B$3&amp;"|"&amp;17,IF($B$3="TODAS",'Catálogo'!$U:$U,'Catálogo'!$Q:$Q),0))="","",IMAGE(INDEX('Catálogo'!$M:$M,MATCH($B$3&amp;"|"&amp;17,IF($B$3="TODAS",'Catálogo'!$U:$U,'Catálogo'!$Q:$Q),0)),1)),"")</f>
      </c>
      <c r="B22" s="40">
        <f>IFERROR(INDEX('Catálogo'!$B:$B,MATCH($B$3&amp;"|"&amp;17,IF($B$3="TODAS",'Catálogo'!$U:$U,'Catálogo'!$Q:$Q),0)),"")</f>
      </c>
      <c r="C22" s="41">
        <f>IFERROR(IF(INDEX('Catálogo'!$R:$R,MATCH($B$3&amp;"|"&amp;17,IF($B$3="TODAS",'Catálogo'!$U:$U,'Catálogo'!$Q:$Q),0))="","Cód: "&amp;INDEX('Catálogo'!$A:$A,MATCH($B$3&amp;"|"&amp;17,IF($B$3="TODAS",'Catálogo'!$U:$U,'Catálogo'!$Q:$Q),0)),"Medidas: "&amp;INDEX('Catálogo'!$R:$R,MATCH($B$3&amp;"|"&amp;17,IF($B$3="TODAS",'Catálogo'!$U:$U,'Catálogo'!$Q:$Q),0))&amp;"  ·  Cód: "&amp;INDEX('Catálogo'!$A:$A,MATCH($B$3&amp;"|"&amp;17,IF($B$3="TODAS",'Catálogo'!$U:$U,'Catálogo'!$Q:$Q),0))),"")</f>
      </c>
      <c r="D22" s="42">
        <f>IFERROR(IF($D$3="Mayor",INDEX('Catálogo'!$O:$O,MATCH($B$3&amp;"|"&amp;17,IF($B$3="TODAS",'Catálogo'!$U:$U,'Catálogo'!$Q:$Q),0)),INDEX('Catálogo'!$N:$N,MATCH($B$3&amp;"|"&amp;17,IF($B$3="TODAS",'Catálogo'!$U:$U,'Catálogo'!$Q:$Q),0))),"")</f>
      </c>
    </row>
    <row r="23" ht="90.00" customHeight="1">
      <c r="A23" s="39">
        <f>IFERROR(IF(INDEX('Catálogo'!$M:$M,MATCH($B$3&amp;"|"&amp;18,IF($B$3="TODAS",'Catálogo'!$U:$U,'Catálogo'!$Q:$Q),0))="","",IMAGE(INDEX('Catálogo'!$M:$M,MATCH($B$3&amp;"|"&amp;18,IF($B$3="TODAS",'Catálogo'!$U:$U,'Catálogo'!$Q:$Q),0)),1)),"")</f>
      </c>
      <c r="B23" s="40">
        <f>IFERROR(INDEX('Catálogo'!$B:$B,MATCH($B$3&amp;"|"&amp;18,IF($B$3="TODAS",'Catálogo'!$U:$U,'Catálogo'!$Q:$Q),0)),"")</f>
      </c>
      <c r="C23" s="41">
        <f>IFERROR(IF(INDEX('Catálogo'!$R:$R,MATCH($B$3&amp;"|"&amp;18,IF($B$3="TODAS",'Catálogo'!$U:$U,'Catálogo'!$Q:$Q),0))="","Cód: "&amp;INDEX('Catálogo'!$A:$A,MATCH($B$3&amp;"|"&amp;18,IF($B$3="TODAS",'Catálogo'!$U:$U,'Catálogo'!$Q:$Q),0)),"Medidas: "&amp;INDEX('Catálogo'!$R:$R,MATCH($B$3&amp;"|"&amp;18,IF($B$3="TODAS",'Catálogo'!$U:$U,'Catálogo'!$Q:$Q),0))&amp;"  ·  Cód: "&amp;INDEX('Catálogo'!$A:$A,MATCH($B$3&amp;"|"&amp;18,IF($B$3="TODAS",'Catálogo'!$U:$U,'Catálogo'!$Q:$Q),0))),"")</f>
      </c>
      <c r="D23" s="42">
        <f>IFERROR(IF($D$3="Mayor",INDEX('Catálogo'!$O:$O,MATCH($B$3&amp;"|"&amp;18,IF($B$3="TODAS",'Catálogo'!$U:$U,'Catálogo'!$Q:$Q),0)),INDEX('Catálogo'!$N:$N,MATCH($B$3&amp;"|"&amp;18,IF($B$3="TODAS",'Catálogo'!$U:$U,'Catálogo'!$Q:$Q),0))),"")</f>
      </c>
    </row>
    <row r="24" ht="90.00" customHeight="1">
      <c r="A24" s="39">
        <f>IFERROR(IF(INDEX('Catálogo'!$M:$M,MATCH($B$3&amp;"|"&amp;19,IF($B$3="TODAS",'Catálogo'!$U:$U,'Catálogo'!$Q:$Q),0))="","",IMAGE(INDEX('Catálogo'!$M:$M,MATCH($B$3&amp;"|"&amp;19,IF($B$3="TODAS",'Catálogo'!$U:$U,'Catálogo'!$Q:$Q),0)),1)),"")</f>
      </c>
      <c r="B24" s="40">
        <f>IFERROR(INDEX('Catálogo'!$B:$B,MATCH($B$3&amp;"|"&amp;19,IF($B$3="TODAS",'Catálogo'!$U:$U,'Catálogo'!$Q:$Q),0)),"")</f>
      </c>
      <c r="C24" s="41">
        <f>IFERROR(IF(INDEX('Catálogo'!$R:$R,MATCH($B$3&amp;"|"&amp;19,IF($B$3="TODAS",'Catálogo'!$U:$U,'Catálogo'!$Q:$Q),0))="","Cód: "&amp;INDEX('Catálogo'!$A:$A,MATCH($B$3&amp;"|"&amp;19,IF($B$3="TODAS",'Catálogo'!$U:$U,'Catálogo'!$Q:$Q),0)),"Medidas: "&amp;INDEX('Catálogo'!$R:$R,MATCH($B$3&amp;"|"&amp;19,IF($B$3="TODAS",'Catálogo'!$U:$U,'Catálogo'!$Q:$Q),0))&amp;"  ·  Cód: "&amp;INDEX('Catálogo'!$A:$A,MATCH($B$3&amp;"|"&amp;19,IF($B$3="TODAS",'Catálogo'!$U:$U,'Catálogo'!$Q:$Q),0))),"")</f>
      </c>
      <c r="D24" s="42">
        <f>IFERROR(IF($D$3="Mayor",INDEX('Catálogo'!$O:$O,MATCH($B$3&amp;"|"&amp;19,IF($B$3="TODAS",'Catálogo'!$U:$U,'Catálogo'!$Q:$Q),0)),INDEX('Catálogo'!$N:$N,MATCH($B$3&amp;"|"&amp;19,IF($B$3="TODAS",'Catálogo'!$U:$U,'Catálogo'!$Q:$Q),0))),"")</f>
      </c>
    </row>
    <row r="25" ht="90.00" customHeight="1">
      <c r="A25" s="39">
        <f>IFERROR(IF(INDEX('Catálogo'!$M:$M,MATCH($B$3&amp;"|"&amp;20,IF($B$3="TODAS",'Catálogo'!$U:$U,'Catálogo'!$Q:$Q),0))="","",IMAGE(INDEX('Catálogo'!$M:$M,MATCH($B$3&amp;"|"&amp;20,IF($B$3="TODAS",'Catálogo'!$U:$U,'Catálogo'!$Q:$Q),0)),1)),"")</f>
      </c>
      <c r="B25" s="40">
        <f>IFERROR(INDEX('Catálogo'!$B:$B,MATCH($B$3&amp;"|"&amp;20,IF($B$3="TODAS",'Catálogo'!$U:$U,'Catálogo'!$Q:$Q),0)),"")</f>
      </c>
      <c r="C25" s="41">
        <f>IFERROR(IF(INDEX('Catálogo'!$R:$R,MATCH($B$3&amp;"|"&amp;20,IF($B$3="TODAS",'Catálogo'!$U:$U,'Catálogo'!$Q:$Q),0))="","Cód: "&amp;INDEX('Catálogo'!$A:$A,MATCH($B$3&amp;"|"&amp;20,IF($B$3="TODAS",'Catálogo'!$U:$U,'Catálogo'!$Q:$Q),0)),"Medidas: "&amp;INDEX('Catálogo'!$R:$R,MATCH($B$3&amp;"|"&amp;20,IF($B$3="TODAS",'Catálogo'!$U:$U,'Catálogo'!$Q:$Q),0))&amp;"  ·  Cód: "&amp;INDEX('Catálogo'!$A:$A,MATCH($B$3&amp;"|"&amp;20,IF($B$3="TODAS",'Catálogo'!$U:$U,'Catálogo'!$Q:$Q),0))),"")</f>
      </c>
      <c r="D25" s="42">
        <f>IFERROR(IF($D$3="Mayor",INDEX('Catálogo'!$O:$O,MATCH($B$3&amp;"|"&amp;20,IF($B$3="TODAS",'Catálogo'!$U:$U,'Catálogo'!$Q:$Q),0)),INDEX('Catálogo'!$N:$N,MATCH($B$3&amp;"|"&amp;20,IF($B$3="TODAS",'Catálogo'!$U:$U,'Catálogo'!$Q:$Q),0))),"")</f>
      </c>
    </row>
    <row r="26" ht="90.00" customHeight="1">
      <c r="A26" s="39">
        <f>IFERROR(IF(INDEX('Catálogo'!$M:$M,MATCH($B$3&amp;"|"&amp;21,IF($B$3="TODAS",'Catálogo'!$U:$U,'Catálogo'!$Q:$Q),0))="","",IMAGE(INDEX('Catálogo'!$M:$M,MATCH($B$3&amp;"|"&amp;21,IF($B$3="TODAS",'Catálogo'!$U:$U,'Catálogo'!$Q:$Q),0)),1)),"")</f>
      </c>
      <c r="B26" s="40">
        <f>IFERROR(INDEX('Catálogo'!$B:$B,MATCH($B$3&amp;"|"&amp;21,IF($B$3="TODAS",'Catálogo'!$U:$U,'Catálogo'!$Q:$Q),0)),"")</f>
      </c>
      <c r="C26" s="41">
        <f>IFERROR(IF(INDEX('Catálogo'!$R:$R,MATCH($B$3&amp;"|"&amp;21,IF($B$3="TODAS",'Catálogo'!$U:$U,'Catálogo'!$Q:$Q),0))="","Cód: "&amp;INDEX('Catálogo'!$A:$A,MATCH($B$3&amp;"|"&amp;21,IF($B$3="TODAS",'Catálogo'!$U:$U,'Catálogo'!$Q:$Q),0)),"Medidas: "&amp;INDEX('Catálogo'!$R:$R,MATCH($B$3&amp;"|"&amp;21,IF($B$3="TODAS",'Catálogo'!$U:$U,'Catálogo'!$Q:$Q),0))&amp;"  ·  Cód: "&amp;INDEX('Catálogo'!$A:$A,MATCH($B$3&amp;"|"&amp;21,IF($B$3="TODAS",'Catálogo'!$U:$U,'Catálogo'!$Q:$Q),0))),"")</f>
      </c>
      <c r="D26" s="42">
        <f>IFERROR(IF($D$3="Mayor",INDEX('Catálogo'!$O:$O,MATCH($B$3&amp;"|"&amp;21,IF($B$3="TODAS",'Catálogo'!$U:$U,'Catálogo'!$Q:$Q),0)),INDEX('Catálogo'!$N:$N,MATCH($B$3&amp;"|"&amp;21,IF($B$3="TODAS",'Catálogo'!$U:$U,'Catálogo'!$Q:$Q),0))),"")</f>
      </c>
    </row>
    <row r="27" ht="90.00" customHeight="1">
      <c r="A27" s="39">
        <f>IFERROR(IF(INDEX('Catálogo'!$M:$M,MATCH($B$3&amp;"|"&amp;22,IF($B$3="TODAS",'Catálogo'!$U:$U,'Catálogo'!$Q:$Q),0))="","",IMAGE(INDEX('Catálogo'!$M:$M,MATCH($B$3&amp;"|"&amp;22,IF($B$3="TODAS",'Catálogo'!$U:$U,'Catálogo'!$Q:$Q),0)),1)),"")</f>
      </c>
      <c r="B27" s="40">
        <f>IFERROR(INDEX('Catálogo'!$B:$B,MATCH($B$3&amp;"|"&amp;22,IF($B$3="TODAS",'Catálogo'!$U:$U,'Catálogo'!$Q:$Q),0)),"")</f>
      </c>
      <c r="C27" s="41">
        <f>IFERROR(IF(INDEX('Catálogo'!$R:$R,MATCH($B$3&amp;"|"&amp;22,IF($B$3="TODAS",'Catálogo'!$U:$U,'Catálogo'!$Q:$Q),0))="","Cód: "&amp;INDEX('Catálogo'!$A:$A,MATCH($B$3&amp;"|"&amp;22,IF($B$3="TODAS",'Catálogo'!$U:$U,'Catálogo'!$Q:$Q),0)),"Medidas: "&amp;INDEX('Catálogo'!$R:$R,MATCH($B$3&amp;"|"&amp;22,IF($B$3="TODAS",'Catálogo'!$U:$U,'Catálogo'!$Q:$Q),0))&amp;"  ·  Cód: "&amp;INDEX('Catálogo'!$A:$A,MATCH($B$3&amp;"|"&amp;22,IF($B$3="TODAS",'Catálogo'!$U:$U,'Catálogo'!$Q:$Q),0))),"")</f>
      </c>
      <c r="D27" s="42">
        <f>IFERROR(IF($D$3="Mayor",INDEX('Catálogo'!$O:$O,MATCH($B$3&amp;"|"&amp;22,IF($B$3="TODAS",'Catálogo'!$U:$U,'Catálogo'!$Q:$Q),0)),INDEX('Catálogo'!$N:$N,MATCH($B$3&amp;"|"&amp;22,IF($B$3="TODAS",'Catálogo'!$U:$U,'Catálogo'!$Q:$Q),0))),"")</f>
      </c>
    </row>
    <row r="28" ht="90.00" customHeight="1">
      <c r="A28" s="39">
        <f>IFERROR(IF(INDEX('Catálogo'!$M:$M,MATCH($B$3&amp;"|"&amp;23,IF($B$3="TODAS",'Catálogo'!$U:$U,'Catálogo'!$Q:$Q),0))="","",IMAGE(INDEX('Catálogo'!$M:$M,MATCH($B$3&amp;"|"&amp;23,IF($B$3="TODAS",'Catálogo'!$U:$U,'Catálogo'!$Q:$Q),0)),1)),"")</f>
      </c>
      <c r="B28" s="40">
        <f>IFERROR(INDEX('Catálogo'!$B:$B,MATCH($B$3&amp;"|"&amp;23,IF($B$3="TODAS",'Catálogo'!$U:$U,'Catálogo'!$Q:$Q),0)),"")</f>
      </c>
      <c r="C28" s="41">
        <f>IFERROR(IF(INDEX('Catálogo'!$R:$R,MATCH($B$3&amp;"|"&amp;23,IF($B$3="TODAS",'Catálogo'!$U:$U,'Catálogo'!$Q:$Q),0))="","Cód: "&amp;INDEX('Catálogo'!$A:$A,MATCH($B$3&amp;"|"&amp;23,IF($B$3="TODAS",'Catálogo'!$U:$U,'Catálogo'!$Q:$Q),0)),"Medidas: "&amp;INDEX('Catálogo'!$R:$R,MATCH($B$3&amp;"|"&amp;23,IF($B$3="TODAS",'Catálogo'!$U:$U,'Catálogo'!$Q:$Q),0))&amp;"  ·  Cód: "&amp;INDEX('Catálogo'!$A:$A,MATCH($B$3&amp;"|"&amp;23,IF($B$3="TODAS",'Catálogo'!$U:$U,'Catálogo'!$Q:$Q),0))),"")</f>
      </c>
      <c r="D28" s="42">
        <f>IFERROR(IF($D$3="Mayor",INDEX('Catálogo'!$O:$O,MATCH($B$3&amp;"|"&amp;23,IF($B$3="TODAS",'Catálogo'!$U:$U,'Catálogo'!$Q:$Q),0)),INDEX('Catálogo'!$N:$N,MATCH($B$3&amp;"|"&amp;23,IF($B$3="TODAS",'Catálogo'!$U:$U,'Catálogo'!$Q:$Q),0))),"")</f>
      </c>
    </row>
    <row r="29" ht="90.00" customHeight="1">
      <c r="A29" s="39">
        <f>IFERROR(IF(INDEX('Catálogo'!$M:$M,MATCH($B$3&amp;"|"&amp;24,IF($B$3="TODAS",'Catálogo'!$U:$U,'Catálogo'!$Q:$Q),0))="","",IMAGE(INDEX('Catálogo'!$M:$M,MATCH($B$3&amp;"|"&amp;24,IF($B$3="TODAS",'Catálogo'!$U:$U,'Catálogo'!$Q:$Q),0)),1)),"")</f>
      </c>
      <c r="B29" s="40">
        <f>IFERROR(INDEX('Catálogo'!$B:$B,MATCH($B$3&amp;"|"&amp;24,IF($B$3="TODAS",'Catálogo'!$U:$U,'Catálogo'!$Q:$Q),0)),"")</f>
      </c>
      <c r="C29" s="41">
        <f>IFERROR(IF(INDEX('Catálogo'!$R:$R,MATCH($B$3&amp;"|"&amp;24,IF($B$3="TODAS",'Catálogo'!$U:$U,'Catálogo'!$Q:$Q),0))="","Cód: "&amp;INDEX('Catálogo'!$A:$A,MATCH($B$3&amp;"|"&amp;24,IF($B$3="TODAS",'Catálogo'!$U:$U,'Catálogo'!$Q:$Q),0)),"Medidas: "&amp;INDEX('Catálogo'!$R:$R,MATCH($B$3&amp;"|"&amp;24,IF($B$3="TODAS",'Catálogo'!$U:$U,'Catálogo'!$Q:$Q),0))&amp;"  ·  Cód: "&amp;INDEX('Catálogo'!$A:$A,MATCH($B$3&amp;"|"&amp;24,IF($B$3="TODAS",'Catálogo'!$U:$U,'Catálogo'!$Q:$Q),0))),"")</f>
      </c>
      <c r="D29" s="42">
        <f>IFERROR(IF($D$3="Mayor",INDEX('Catálogo'!$O:$O,MATCH($B$3&amp;"|"&amp;24,IF($B$3="TODAS",'Catálogo'!$U:$U,'Catálogo'!$Q:$Q),0)),INDEX('Catálogo'!$N:$N,MATCH($B$3&amp;"|"&amp;24,IF($B$3="TODAS",'Catálogo'!$U:$U,'Catálogo'!$Q:$Q),0))),"")</f>
      </c>
    </row>
    <row r="30" ht="90.00" customHeight="1">
      <c r="A30" s="39">
        <f>IFERROR(IF(INDEX('Catálogo'!$M:$M,MATCH($B$3&amp;"|"&amp;25,IF($B$3="TODAS",'Catálogo'!$U:$U,'Catálogo'!$Q:$Q),0))="","",IMAGE(INDEX('Catálogo'!$M:$M,MATCH($B$3&amp;"|"&amp;25,IF($B$3="TODAS",'Catálogo'!$U:$U,'Catálogo'!$Q:$Q),0)),1)),"")</f>
      </c>
      <c r="B30" s="40">
        <f>IFERROR(INDEX('Catálogo'!$B:$B,MATCH($B$3&amp;"|"&amp;25,IF($B$3="TODAS",'Catálogo'!$U:$U,'Catálogo'!$Q:$Q),0)),"")</f>
      </c>
      <c r="C30" s="41">
        <f>IFERROR(IF(INDEX('Catálogo'!$R:$R,MATCH($B$3&amp;"|"&amp;25,IF($B$3="TODAS",'Catálogo'!$U:$U,'Catálogo'!$Q:$Q),0))="","Cód: "&amp;INDEX('Catálogo'!$A:$A,MATCH($B$3&amp;"|"&amp;25,IF($B$3="TODAS",'Catálogo'!$U:$U,'Catálogo'!$Q:$Q),0)),"Medidas: "&amp;INDEX('Catálogo'!$R:$R,MATCH($B$3&amp;"|"&amp;25,IF($B$3="TODAS",'Catálogo'!$U:$U,'Catálogo'!$Q:$Q),0))&amp;"  ·  Cód: "&amp;INDEX('Catálogo'!$A:$A,MATCH($B$3&amp;"|"&amp;25,IF($B$3="TODAS",'Catálogo'!$U:$U,'Catálogo'!$Q:$Q),0))),"")</f>
      </c>
      <c r="D30" s="42">
        <f>IFERROR(IF($D$3="Mayor",INDEX('Catálogo'!$O:$O,MATCH($B$3&amp;"|"&amp;25,IF($B$3="TODAS",'Catálogo'!$U:$U,'Catálogo'!$Q:$Q),0)),INDEX('Catálogo'!$N:$N,MATCH($B$3&amp;"|"&amp;25,IF($B$3="TODAS",'Catálogo'!$U:$U,'Catálogo'!$Q:$Q),0))),"")</f>
      </c>
    </row>
    <row r="31" ht="90.00" customHeight="1">
      <c r="A31" s="39">
        <f>IFERROR(IF(INDEX('Catálogo'!$M:$M,MATCH($B$3&amp;"|"&amp;26,IF($B$3="TODAS",'Catálogo'!$U:$U,'Catálogo'!$Q:$Q),0))="","",IMAGE(INDEX('Catálogo'!$M:$M,MATCH($B$3&amp;"|"&amp;26,IF($B$3="TODAS",'Catálogo'!$U:$U,'Catálogo'!$Q:$Q),0)),1)),"")</f>
      </c>
      <c r="B31" s="40">
        <f>IFERROR(INDEX('Catálogo'!$B:$B,MATCH($B$3&amp;"|"&amp;26,IF($B$3="TODAS",'Catálogo'!$U:$U,'Catálogo'!$Q:$Q),0)),"")</f>
      </c>
      <c r="C31" s="41">
        <f>IFERROR(IF(INDEX('Catálogo'!$R:$R,MATCH($B$3&amp;"|"&amp;26,IF($B$3="TODAS",'Catálogo'!$U:$U,'Catálogo'!$Q:$Q),0))="","Cód: "&amp;INDEX('Catálogo'!$A:$A,MATCH($B$3&amp;"|"&amp;26,IF($B$3="TODAS",'Catálogo'!$U:$U,'Catálogo'!$Q:$Q),0)),"Medidas: "&amp;INDEX('Catálogo'!$R:$R,MATCH($B$3&amp;"|"&amp;26,IF($B$3="TODAS",'Catálogo'!$U:$U,'Catálogo'!$Q:$Q),0))&amp;"  ·  Cód: "&amp;INDEX('Catálogo'!$A:$A,MATCH($B$3&amp;"|"&amp;26,IF($B$3="TODAS",'Catálogo'!$U:$U,'Catálogo'!$Q:$Q),0))),"")</f>
      </c>
      <c r="D31" s="42">
        <f>IFERROR(IF($D$3="Mayor",INDEX('Catálogo'!$O:$O,MATCH($B$3&amp;"|"&amp;26,IF($B$3="TODAS",'Catálogo'!$U:$U,'Catálogo'!$Q:$Q),0)),INDEX('Catálogo'!$N:$N,MATCH($B$3&amp;"|"&amp;26,IF($B$3="TODAS",'Catálogo'!$U:$U,'Catálogo'!$Q:$Q),0))),"")</f>
      </c>
    </row>
    <row r="32" ht="90.00" customHeight="1">
      <c r="A32" s="39">
        <f>IFERROR(IF(INDEX('Catálogo'!$M:$M,MATCH($B$3&amp;"|"&amp;27,IF($B$3="TODAS",'Catálogo'!$U:$U,'Catálogo'!$Q:$Q),0))="","",IMAGE(INDEX('Catálogo'!$M:$M,MATCH($B$3&amp;"|"&amp;27,IF($B$3="TODAS",'Catálogo'!$U:$U,'Catálogo'!$Q:$Q),0)),1)),"")</f>
      </c>
      <c r="B32" s="40">
        <f>IFERROR(INDEX('Catálogo'!$B:$B,MATCH($B$3&amp;"|"&amp;27,IF($B$3="TODAS",'Catálogo'!$U:$U,'Catálogo'!$Q:$Q),0)),"")</f>
      </c>
      <c r="C32" s="41">
        <f>IFERROR(IF(INDEX('Catálogo'!$R:$R,MATCH($B$3&amp;"|"&amp;27,IF($B$3="TODAS",'Catálogo'!$U:$U,'Catálogo'!$Q:$Q),0))="","Cód: "&amp;INDEX('Catálogo'!$A:$A,MATCH($B$3&amp;"|"&amp;27,IF($B$3="TODAS",'Catálogo'!$U:$U,'Catálogo'!$Q:$Q),0)),"Medidas: "&amp;INDEX('Catálogo'!$R:$R,MATCH($B$3&amp;"|"&amp;27,IF($B$3="TODAS",'Catálogo'!$U:$U,'Catálogo'!$Q:$Q),0))&amp;"  ·  Cód: "&amp;INDEX('Catálogo'!$A:$A,MATCH($B$3&amp;"|"&amp;27,IF($B$3="TODAS",'Catálogo'!$U:$U,'Catálogo'!$Q:$Q),0))),"")</f>
      </c>
      <c r="D32" s="42">
        <f>IFERROR(IF($D$3="Mayor",INDEX('Catálogo'!$O:$O,MATCH($B$3&amp;"|"&amp;27,IF($B$3="TODAS",'Catálogo'!$U:$U,'Catálogo'!$Q:$Q),0)),INDEX('Catálogo'!$N:$N,MATCH($B$3&amp;"|"&amp;27,IF($B$3="TODAS",'Catálogo'!$U:$U,'Catálogo'!$Q:$Q),0))),"")</f>
      </c>
    </row>
    <row r="33" ht="90.00" customHeight="1">
      <c r="A33" s="39">
        <f>IFERROR(IF(INDEX('Catálogo'!$M:$M,MATCH($B$3&amp;"|"&amp;28,IF($B$3="TODAS",'Catálogo'!$U:$U,'Catálogo'!$Q:$Q),0))="","",IMAGE(INDEX('Catálogo'!$M:$M,MATCH($B$3&amp;"|"&amp;28,IF($B$3="TODAS",'Catálogo'!$U:$U,'Catálogo'!$Q:$Q),0)),1)),"")</f>
      </c>
      <c r="B33" s="40">
        <f>IFERROR(INDEX('Catálogo'!$B:$B,MATCH($B$3&amp;"|"&amp;28,IF($B$3="TODAS",'Catálogo'!$U:$U,'Catálogo'!$Q:$Q),0)),"")</f>
      </c>
      <c r="C33" s="41">
        <f>IFERROR(IF(INDEX('Catálogo'!$R:$R,MATCH($B$3&amp;"|"&amp;28,IF($B$3="TODAS",'Catálogo'!$U:$U,'Catálogo'!$Q:$Q),0))="","Cód: "&amp;INDEX('Catálogo'!$A:$A,MATCH($B$3&amp;"|"&amp;28,IF($B$3="TODAS",'Catálogo'!$U:$U,'Catálogo'!$Q:$Q),0)),"Medidas: "&amp;INDEX('Catálogo'!$R:$R,MATCH($B$3&amp;"|"&amp;28,IF($B$3="TODAS",'Catálogo'!$U:$U,'Catálogo'!$Q:$Q),0))&amp;"  ·  Cód: "&amp;INDEX('Catálogo'!$A:$A,MATCH($B$3&amp;"|"&amp;28,IF($B$3="TODAS",'Catálogo'!$U:$U,'Catálogo'!$Q:$Q),0))),"")</f>
      </c>
      <c r="D33" s="42">
        <f>IFERROR(IF($D$3="Mayor",INDEX('Catálogo'!$O:$O,MATCH($B$3&amp;"|"&amp;28,IF($B$3="TODAS",'Catálogo'!$U:$U,'Catálogo'!$Q:$Q),0)),INDEX('Catálogo'!$N:$N,MATCH($B$3&amp;"|"&amp;28,IF($B$3="TODAS",'Catálogo'!$U:$U,'Catálogo'!$Q:$Q),0))),"")</f>
      </c>
    </row>
    <row r="34" ht="90.00" customHeight="1">
      <c r="A34" s="39">
        <f>IFERROR(IF(INDEX('Catálogo'!$M:$M,MATCH($B$3&amp;"|"&amp;29,IF($B$3="TODAS",'Catálogo'!$U:$U,'Catálogo'!$Q:$Q),0))="","",IMAGE(INDEX('Catálogo'!$M:$M,MATCH($B$3&amp;"|"&amp;29,IF($B$3="TODAS",'Catálogo'!$U:$U,'Catálogo'!$Q:$Q),0)),1)),"")</f>
      </c>
      <c r="B34" s="40">
        <f>IFERROR(INDEX('Catálogo'!$B:$B,MATCH($B$3&amp;"|"&amp;29,IF($B$3="TODAS",'Catálogo'!$U:$U,'Catálogo'!$Q:$Q),0)),"")</f>
      </c>
      <c r="C34" s="41">
        <f>IFERROR(IF(INDEX('Catálogo'!$R:$R,MATCH($B$3&amp;"|"&amp;29,IF($B$3="TODAS",'Catálogo'!$U:$U,'Catálogo'!$Q:$Q),0))="","Cód: "&amp;INDEX('Catálogo'!$A:$A,MATCH($B$3&amp;"|"&amp;29,IF($B$3="TODAS",'Catálogo'!$U:$U,'Catálogo'!$Q:$Q),0)),"Medidas: "&amp;INDEX('Catálogo'!$R:$R,MATCH($B$3&amp;"|"&amp;29,IF($B$3="TODAS",'Catálogo'!$U:$U,'Catálogo'!$Q:$Q),0))&amp;"  ·  Cód: "&amp;INDEX('Catálogo'!$A:$A,MATCH($B$3&amp;"|"&amp;29,IF($B$3="TODAS",'Catálogo'!$U:$U,'Catálogo'!$Q:$Q),0))),"")</f>
      </c>
      <c r="D34" s="42">
        <f>IFERROR(IF($D$3="Mayor",INDEX('Catálogo'!$O:$O,MATCH($B$3&amp;"|"&amp;29,IF($B$3="TODAS",'Catálogo'!$U:$U,'Catálogo'!$Q:$Q),0)),INDEX('Catálogo'!$N:$N,MATCH($B$3&amp;"|"&amp;29,IF($B$3="TODAS",'Catálogo'!$U:$U,'Catálogo'!$Q:$Q),0))),"")</f>
      </c>
    </row>
    <row r="35" ht="90.00" customHeight="1">
      <c r="A35" s="39">
        <f>IFERROR(IF(INDEX('Catálogo'!$M:$M,MATCH($B$3&amp;"|"&amp;30,IF($B$3="TODAS",'Catálogo'!$U:$U,'Catálogo'!$Q:$Q),0))="","",IMAGE(INDEX('Catálogo'!$M:$M,MATCH($B$3&amp;"|"&amp;30,IF($B$3="TODAS",'Catálogo'!$U:$U,'Catálogo'!$Q:$Q),0)),1)),"")</f>
      </c>
      <c r="B35" s="40">
        <f>IFERROR(INDEX('Catálogo'!$B:$B,MATCH($B$3&amp;"|"&amp;30,IF($B$3="TODAS",'Catálogo'!$U:$U,'Catálogo'!$Q:$Q),0)),"")</f>
      </c>
      <c r="C35" s="41">
        <f>IFERROR(IF(INDEX('Catálogo'!$R:$R,MATCH($B$3&amp;"|"&amp;30,IF($B$3="TODAS",'Catálogo'!$U:$U,'Catálogo'!$Q:$Q),0))="","Cód: "&amp;INDEX('Catálogo'!$A:$A,MATCH($B$3&amp;"|"&amp;30,IF($B$3="TODAS",'Catálogo'!$U:$U,'Catálogo'!$Q:$Q),0)),"Medidas: "&amp;INDEX('Catálogo'!$R:$R,MATCH($B$3&amp;"|"&amp;30,IF($B$3="TODAS",'Catálogo'!$U:$U,'Catálogo'!$Q:$Q),0))&amp;"  ·  Cód: "&amp;INDEX('Catálogo'!$A:$A,MATCH($B$3&amp;"|"&amp;30,IF($B$3="TODAS",'Catálogo'!$U:$U,'Catálogo'!$Q:$Q),0))),"")</f>
      </c>
      <c r="D35" s="42">
        <f>IFERROR(IF($D$3="Mayor",INDEX('Catálogo'!$O:$O,MATCH($B$3&amp;"|"&amp;30,IF($B$3="TODAS",'Catálogo'!$U:$U,'Catálogo'!$Q:$Q),0)),INDEX('Catálogo'!$N:$N,MATCH($B$3&amp;"|"&amp;30,IF($B$3="TODAS",'Catálogo'!$U:$U,'Catálogo'!$Q:$Q),0))),"")</f>
      </c>
    </row>
    <row r="36" ht="90.00" customHeight="1">
      <c r="A36" s="39">
        <f>IFERROR(IF(INDEX('Catálogo'!$M:$M,MATCH($B$3&amp;"|"&amp;31,IF($B$3="TODAS",'Catálogo'!$U:$U,'Catálogo'!$Q:$Q),0))="","",IMAGE(INDEX('Catálogo'!$M:$M,MATCH($B$3&amp;"|"&amp;31,IF($B$3="TODAS",'Catálogo'!$U:$U,'Catálogo'!$Q:$Q),0)),1)),"")</f>
      </c>
      <c r="B36" s="40">
        <f>IFERROR(INDEX('Catálogo'!$B:$B,MATCH($B$3&amp;"|"&amp;31,IF($B$3="TODAS",'Catálogo'!$U:$U,'Catálogo'!$Q:$Q),0)),"")</f>
      </c>
      <c r="C36" s="41">
        <f>IFERROR(IF(INDEX('Catálogo'!$R:$R,MATCH($B$3&amp;"|"&amp;31,IF($B$3="TODAS",'Catálogo'!$U:$U,'Catálogo'!$Q:$Q),0))="","Cód: "&amp;INDEX('Catálogo'!$A:$A,MATCH($B$3&amp;"|"&amp;31,IF($B$3="TODAS",'Catálogo'!$U:$U,'Catálogo'!$Q:$Q),0)),"Medidas: "&amp;INDEX('Catálogo'!$R:$R,MATCH($B$3&amp;"|"&amp;31,IF($B$3="TODAS",'Catálogo'!$U:$U,'Catálogo'!$Q:$Q),0))&amp;"  ·  Cód: "&amp;INDEX('Catálogo'!$A:$A,MATCH($B$3&amp;"|"&amp;31,IF($B$3="TODAS",'Catálogo'!$U:$U,'Catálogo'!$Q:$Q),0))),"")</f>
      </c>
      <c r="D36" s="42">
        <f>IFERROR(IF($D$3="Mayor",INDEX('Catálogo'!$O:$O,MATCH($B$3&amp;"|"&amp;31,IF($B$3="TODAS",'Catálogo'!$U:$U,'Catálogo'!$Q:$Q),0)),INDEX('Catálogo'!$N:$N,MATCH($B$3&amp;"|"&amp;31,IF($B$3="TODAS",'Catálogo'!$U:$U,'Catálogo'!$Q:$Q),0))),"")</f>
      </c>
    </row>
    <row r="37" ht="90.00" customHeight="1">
      <c r="A37" s="39">
        <f>IFERROR(IF(INDEX('Catálogo'!$M:$M,MATCH($B$3&amp;"|"&amp;32,IF($B$3="TODAS",'Catálogo'!$U:$U,'Catálogo'!$Q:$Q),0))="","",IMAGE(INDEX('Catálogo'!$M:$M,MATCH($B$3&amp;"|"&amp;32,IF($B$3="TODAS",'Catálogo'!$U:$U,'Catálogo'!$Q:$Q),0)),1)),"")</f>
      </c>
      <c r="B37" s="40">
        <f>IFERROR(INDEX('Catálogo'!$B:$B,MATCH($B$3&amp;"|"&amp;32,IF($B$3="TODAS",'Catálogo'!$U:$U,'Catálogo'!$Q:$Q),0)),"")</f>
      </c>
      <c r="C37" s="41">
        <f>IFERROR(IF(INDEX('Catálogo'!$R:$R,MATCH($B$3&amp;"|"&amp;32,IF($B$3="TODAS",'Catálogo'!$U:$U,'Catálogo'!$Q:$Q),0))="","Cód: "&amp;INDEX('Catálogo'!$A:$A,MATCH($B$3&amp;"|"&amp;32,IF($B$3="TODAS",'Catálogo'!$U:$U,'Catálogo'!$Q:$Q),0)),"Medidas: "&amp;INDEX('Catálogo'!$R:$R,MATCH($B$3&amp;"|"&amp;32,IF($B$3="TODAS",'Catálogo'!$U:$U,'Catálogo'!$Q:$Q),0))&amp;"  ·  Cód: "&amp;INDEX('Catálogo'!$A:$A,MATCH($B$3&amp;"|"&amp;32,IF($B$3="TODAS",'Catálogo'!$U:$U,'Catálogo'!$Q:$Q),0))),"")</f>
      </c>
      <c r="D37" s="42">
        <f>IFERROR(IF($D$3="Mayor",INDEX('Catálogo'!$O:$O,MATCH($B$3&amp;"|"&amp;32,IF($B$3="TODAS",'Catálogo'!$U:$U,'Catálogo'!$Q:$Q),0)),INDEX('Catálogo'!$N:$N,MATCH($B$3&amp;"|"&amp;32,IF($B$3="TODAS",'Catálogo'!$U:$U,'Catálogo'!$Q:$Q),0))),"")</f>
      </c>
    </row>
    <row r="38" ht="90.00" customHeight="1">
      <c r="A38" s="39">
        <f>IFERROR(IF(INDEX('Catálogo'!$M:$M,MATCH($B$3&amp;"|"&amp;33,IF($B$3="TODAS",'Catálogo'!$U:$U,'Catálogo'!$Q:$Q),0))="","",IMAGE(INDEX('Catálogo'!$M:$M,MATCH($B$3&amp;"|"&amp;33,IF($B$3="TODAS",'Catálogo'!$U:$U,'Catálogo'!$Q:$Q),0)),1)),"")</f>
      </c>
      <c r="B38" s="40">
        <f>IFERROR(INDEX('Catálogo'!$B:$B,MATCH($B$3&amp;"|"&amp;33,IF($B$3="TODAS",'Catálogo'!$U:$U,'Catálogo'!$Q:$Q),0)),"")</f>
      </c>
      <c r="C38" s="41">
        <f>IFERROR(IF(INDEX('Catálogo'!$R:$R,MATCH($B$3&amp;"|"&amp;33,IF($B$3="TODAS",'Catálogo'!$U:$U,'Catálogo'!$Q:$Q),0))="","Cód: "&amp;INDEX('Catálogo'!$A:$A,MATCH($B$3&amp;"|"&amp;33,IF($B$3="TODAS",'Catálogo'!$U:$U,'Catálogo'!$Q:$Q),0)),"Medidas: "&amp;INDEX('Catálogo'!$R:$R,MATCH($B$3&amp;"|"&amp;33,IF($B$3="TODAS",'Catálogo'!$U:$U,'Catálogo'!$Q:$Q),0))&amp;"  ·  Cód: "&amp;INDEX('Catálogo'!$A:$A,MATCH($B$3&amp;"|"&amp;33,IF($B$3="TODAS",'Catálogo'!$U:$U,'Catálogo'!$Q:$Q),0))),"")</f>
      </c>
      <c r="D38" s="42">
        <f>IFERROR(IF($D$3="Mayor",INDEX('Catálogo'!$O:$O,MATCH($B$3&amp;"|"&amp;33,IF($B$3="TODAS",'Catálogo'!$U:$U,'Catálogo'!$Q:$Q),0)),INDEX('Catálogo'!$N:$N,MATCH($B$3&amp;"|"&amp;33,IF($B$3="TODAS",'Catálogo'!$U:$U,'Catálogo'!$Q:$Q),0))),"")</f>
      </c>
    </row>
    <row r="39" ht="90.00" customHeight="1">
      <c r="A39" s="39">
        <f>IFERROR(IF(INDEX('Catálogo'!$M:$M,MATCH($B$3&amp;"|"&amp;34,IF($B$3="TODAS",'Catálogo'!$U:$U,'Catálogo'!$Q:$Q),0))="","",IMAGE(INDEX('Catálogo'!$M:$M,MATCH($B$3&amp;"|"&amp;34,IF($B$3="TODAS",'Catálogo'!$U:$U,'Catálogo'!$Q:$Q),0)),1)),"")</f>
      </c>
      <c r="B39" s="40">
        <f>IFERROR(INDEX('Catálogo'!$B:$B,MATCH($B$3&amp;"|"&amp;34,IF($B$3="TODAS",'Catálogo'!$U:$U,'Catálogo'!$Q:$Q),0)),"")</f>
      </c>
      <c r="C39" s="41">
        <f>IFERROR(IF(INDEX('Catálogo'!$R:$R,MATCH($B$3&amp;"|"&amp;34,IF($B$3="TODAS",'Catálogo'!$U:$U,'Catálogo'!$Q:$Q),0))="","Cód: "&amp;INDEX('Catálogo'!$A:$A,MATCH($B$3&amp;"|"&amp;34,IF($B$3="TODAS",'Catálogo'!$U:$U,'Catálogo'!$Q:$Q),0)),"Medidas: "&amp;INDEX('Catálogo'!$R:$R,MATCH($B$3&amp;"|"&amp;34,IF($B$3="TODAS",'Catálogo'!$U:$U,'Catálogo'!$Q:$Q),0))&amp;"  ·  Cód: "&amp;INDEX('Catálogo'!$A:$A,MATCH($B$3&amp;"|"&amp;34,IF($B$3="TODAS",'Catálogo'!$U:$U,'Catálogo'!$Q:$Q),0))),"")</f>
      </c>
      <c r="D39" s="42">
        <f>IFERROR(IF($D$3="Mayor",INDEX('Catálogo'!$O:$O,MATCH($B$3&amp;"|"&amp;34,IF($B$3="TODAS",'Catálogo'!$U:$U,'Catálogo'!$Q:$Q),0)),INDEX('Catálogo'!$N:$N,MATCH($B$3&amp;"|"&amp;34,IF($B$3="TODAS",'Catálogo'!$U:$U,'Catálogo'!$Q:$Q),0))),"")</f>
      </c>
    </row>
    <row r="40" ht="90.00" customHeight="1">
      <c r="A40" s="39">
        <f>IFERROR(IF(INDEX('Catálogo'!$M:$M,MATCH($B$3&amp;"|"&amp;35,IF($B$3="TODAS",'Catálogo'!$U:$U,'Catálogo'!$Q:$Q),0))="","",IMAGE(INDEX('Catálogo'!$M:$M,MATCH($B$3&amp;"|"&amp;35,IF($B$3="TODAS",'Catálogo'!$U:$U,'Catálogo'!$Q:$Q),0)),1)),"")</f>
      </c>
      <c r="B40" s="40">
        <f>IFERROR(INDEX('Catálogo'!$B:$B,MATCH($B$3&amp;"|"&amp;35,IF($B$3="TODAS",'Catálogo'!$U:$U,'Catálogo'!$Q:$Q),0)),"")</f>
      </c>
      <c r="C40" s="41">
        <f>IFERROR(IF(INDEX('Catálogo'!$R:$R,MATCH($B$3&amp;"|"&amp;35,IF($B$3="TODAS",'Catálogo'!$U:$U,'Catálogo'!$Q:$Q),0))="","Cód: "&amp;INDEX('Catálogo'!$A:$A,MATCH($B$3&amp;"|"&amp;35,IF($B$3="TODAS",'Catálogo'!$U:$U,'Catálogo'!$Q:$Q),0)),"Medidas: "&amp;INDEX('Catálogo'!$R:$R,MATCH($B$3&amp;"|"&amp;35,IF($B$3="TODAS",'Catálogo'!$U:$U,'Catálogo'!$Q:$Q),0))&amp;"  ·  Cód: "&amp;INDEX('Catálogo'!$A:$A,MATCH($B$3&amp;"|"&amp;35,IF($B$3="TODAS",'Catálogo'!$U:$U,'Catálogo'!$Q:$Q),0))),"")</f>
      </c>
      <c r="D40" s="42">
        <f>IFERROR(IF($D$3="Mayor",INDEX('Catálogo'!$O:$O,MATCH($B$3&amp;"|"&amp;35,IF($B$3="TODAS",'Catálogo'!$U:$U,'Catálogo'!$Q:$Q),0)),INDEX('Catálogo'!$N:$N,MATCH($B$3&amp;"|"&amp;35,IF($B$3="TODAS",'Catálogo'!$U:$U,'Catálogo'!$Q:$Q),0))),"")</f>
      </c>
    </row>
    <row r="41" ht="90.00" customHeight="1">
      <c r="A41" s="39">
        <f>IFERROR(IF(INDEX('Catálogo'!$M:$M,MATCH($B$3&amp;"|"&amp;36,IF($B$3="TODAS",'Catálogo'!$U:$U,'Catálogo'!$Q:$Q),0))="","",IMAGE(INDEX('Catálogo'!$M:$M,MATCH($B$3&amp;"|"&amp;36,IF($B$3="TODAS",'Catálogo'!$U:$U,'Catálogo'!$Q:$Q),0)),1)),"")</f>
      </c>
      <c r="B41" s="40">
        <f>IFERROR(INDEX('Catálogo'!$B:$B,MATCH($B$3&amp;"|"&amp;36,IF($B$3="TODAS",'Catálogo'!$U:$U,'Catálogo'!$Q:$Q),0)),"")</f>
      </c>
      <c r="C41" s="41">
        <f>IFERROR(IF(INDEX('Catálogo'!$R:$R,MATCH($B$3&amp;"|"&amp;36,IF($B$3="TODAS",'Catálogo'!$U:$U,'Catálogo'!$Q:$Q),0))="","Cód: "&amp;INDEX('Catálogo'!$A:$A,MATCH($B$3&amp;"|"&amp;36,IF($B$3="TODAS",'Catálogo'!$U:$U,'Catálogo'!$Q:$Q),0)),"Medidas: "&amp;INDEX('Catálogo'!$R:$R,MATCH($B$3&amp;"|"&amp;36,IF($B$3="TODAS",'Catálogo'!$U:$U,'Catálogo'!$Q:$Q),0))&amp;"  ·  Cód: "&amp;INDEX('Catálogo'!$A:$A,MATCH($B$3&amp;"|"&amp;36,IF($B$3="TODAS",'Catálogo'!$U:$U,'Catálogo'!$Q:$Q),0))),"")</f>
      </c>
      <c r="D41" s="42">
        <f>IFERROR(IF($D$3="Mayor",INDEX('Catálogo'!$O:$O,MATCH($B$3&amp;"|"&amp;36,IF($B$3="TODAS",'Catálogo'!$U:$U,'Catálogo'!$Q:$Q),0)),INDEX('Catálogo'!$N:$N,MATCH($B$3&amp;"|"&amp;36,IF($B$3="TODAS",'Catálogo'!$U:$U,'Catálogo'!$Q:$Q),0))),"")</f>
      </c>
    </row>
    <row r="42" ht="90.00" customHeight="1">
      <c r="A42" s="39">
        <f>IFERROR(IF(INDEX('Catálogo'!$M:$M,MATCH($B$3&amp;"|"&amp;37,IF($B$3="TODAS",'Catálogo'!$U:$U,'Catálogo'!$Q:$Q),0))="","",IMAGE(INDEX('Catálogo'!$M:$M,MATCH($B$3&amp;"|"&amp;37,IF($B$3="TODAS",'Catálogo'!$U:$U,'Catálogo'!$Q:$Q),0)),1)),"")</f>
      </c>
      <c r="B42" s="40">
        <f>IFERROR(INDEX('Catálogo'!$B:$B,MATCH($B$3&amp;"|"&amp;37,IF($B$3="TODAS",'Catálogo'!$U:$U,'Catálogo'!$Q:$Q),0)),"")</f>
      </c>
      <c r="C42" s="41">
        <f>IFERROR(IF(INDEX('Catálogo'!$R:$R,MATCH($B$3&amp;"|"&amp;37,IF($B$3="TODAS",'Catálogo'!$U:$U,'Catálogo'!$Q:$Q),0))="","Cód: "&amp;INDEX('Catálogo'!$A:$A,MATCH($B$3&amp;"|"&amp;37,IF($B$3="TODAS",'Catálogo'!$U:$U,'Catálogo'!$Q:$Q),0)),"Medidas: "&amp;INDEX('Catálogo'!$R:$R,MATCH($B$3&amp;"|"&amp;37,IF($B$3="TODAS",'Catálogo'!$U:$U,'Catálogo'!$Q:$Q),0))&amp;"  ·  Cód: "&amp;INDEX('Catálogo'!$A:$A,MATCH($B$3&amp;"|"&amp;37,IF($B$3="TODAS",'Catálogo'!$U:$U,'Catálogo'!$Q:$Q),0))),"")</f>
      </c>
      <c r="D42" s="42">
        <f>IFERROR(IF($D$3="Mayor",INDEX('Catálogo'!$O:$O,MATCH($B$3&amp;"|"&amp;37,IF($B$3="TODAS",'Catálogo'!$U:$U,'Catálogo'!$Q:$Q),0)),INDEX('Catálogo'!$N:$N,MATCH($B$3&amp;"|"&amp;37,IF($B$3="TODAS",'Catálogo'!$U:$U,'Catálogo'!$Q:$Q),0))),"")</f>
      </c>
    </row>
    <row r="43" ht="90.00" customHeight="1">
      <c r="A43" s="39">
        <f>IFERROR(IF(INDEX('Catálogo'!$M:$M,MATCH($B$3&amp;"|"&amp;38,IF($B$3="TODAS",'Catálogo'!$U:$U,'Catálogo'!$Q:$Q),0))="","",IMAGE(INDEX('Catálogo'!$M:$M,MATCH($B$3&amp;"|"&amp;38,IF($B$3="TODAS",'Catálogo'!$U:$U,'Catálogo'!$Q:$Q),0)),1)),"")</f>
      </c>
      <c r="B43" s="40">
        <f>IFERROR(INDEX('Catálogo'!$B:$B,MATCH($B$3&amp;"|"&amp;38,IF($B$3="TODAS",'Catálogo'!$U:$U,'Catálogo'!$Q:$Q),0)),"")</f>
      </c>
      <c r="C43" s="41">
        <f>IFERROR(IF(INDEX('Catálogo'!$R:$R,MATCH($B$3&amp;"|"&amp;38,IF($B$3="TODAS",'Catálogo'!$U:$U,'Catálogo'!$Q:$Q),0))="","Cód: "&amp;INDEX('Catálogo'!$A:$A,MATCH($B$3&amp;"|"&amp;38,IF($B$3="TODAS",'Catálogo'!$U:$U,'Catálogo'!$Q:$Q),0)),"Medidas: "&amp;INDEX('Catálogo'!$R:$R,MATCH($B$3&amp;"|"&amp;38,IF($B$3="TODAS",'Catálogo'!$U:$U,'Catálogo'!$Q:$Q),0))&amp;"  ·  Cód: "&amp;INDEX('Catálogo'!$A:$A,MATCH($B$3&amp;"|"&amp;38,IF($B$3="TODAS",'Catálogo'!$U:$U,'Catálogo'!$Q:$Q),0))),"")</f>
      </c>
      <c r="D43" s="42">
        <f>IFERROR(IF($D$3="Mayor",INDEX('Catálogo'!$O:$O,MATCH($B$3&amp;"|"&amp;38,IF($B$3="TODAS",'Catálogo'!$U:$U,'Catálogo'!$Q:$Q),0)),INDEX('Catálogo'!$N:$N,MATCH($B$3&amp;"|"&amp;38,IF($B$3="TODAS",'Catálogo'!$U:$U,'Catálogo'!$Q:$Q),0))),"")</f>
      </c>
    </row>
    <row r="44" ht="90.00" customHeight="1">
      <c r="A44" s="39">
        <f>IFERROR(IF(INDEX('Catálogo'!$M:$M,MATCH($B$3&amp;"|"&amp;39,IF($B$3="TODAS",'Catálogo'!$U:$U,'Catálogo'!$Q:$Q),0))="","",IMAGE(INDEX('Catálogo'!$M:$M,MATCH($B$3&amp;"|"&amp;39,IF($B$3="TODAS",'Catálogo'!$U:$U,'Catálogo'!$Q:$Q),0)),1)),"")</f>
      </c>
      <c r="B44" s="40">
        <f>IFERROR(INDEX('Catálogo'!$B:$B,MATCH($B$3&amp;"|"&amp;39,IF($B$3="TODAS",'Catálogo'!$U:$U,'Catálogo'!$Q:$Q),0)),"")</f>
      </c>
      <c r="C44" s="41">
        <f>IFERROR(IF(INDEX('Catálogo'!$R:$R,MATCH($B$3&amp;"|"&amp;39,IF($B$3="TODAS",'Catálogo'!$U:$U,'Catálogo'!$Q:$Q),0))="","Cód: "&amp;INDEX('Catálogo'!$A:$A,MATCH($B$3&amp;"|"&amp;39,IF($B$3="TODAS",'Catálogo'!$U:$U,'Catálogo'!$Q:$Q),0)),"Medidas: "&amp;INDEX('Catálogo'!$R:$R,MATCH($B$3&amp;"|"&amp;39,IF($B$3="TODAS",'Catálogo'!$U:$U,'Catálogo'!$Q:$Q),0))&amp;"  ·  Cód: "&amp;INDEX('Catálogo'!$A:$A,MATCH($B$3&amp;"|"&amp;39,IF($B$3="TODAS",'Catálogo'!$U:$U,'Catálogo'!$Q:$Q),0))),"")</f>
      </c>
      <c r="D44" s="42">
        <f>IFERROR(IF($D$3="Mayor",INDEX('Catálogo'!$O:$O,MATCH($B$3&amp;"|"&amp;39,IF($B$3="TODAS",'Catálogo'!$U:$U,'Catálogo'!$Q:$Q),0)),INDEX('Catálogo'!$N:$N,MATCH($B$3&amp;"|"&amp;39,IF($B$3="TODAS",'Catálogo'!$U:$U,'Catálogo'!$Q:$Q),0))),"")</f>
      </c>
    </row>
    <row r="45" ht="90.00" customHeight="1">
      <c r="A45" s="39">
        <f>IFERROR(IF(INDEX('Catálogo'!$M:$M,MATCH($B$3&amp;"|"&amp;40,IF($B$3="TODAS",'Catálogo'!$U:$U,'Catálogo'!$Q:$Q),0))="","",IMAGE(INDEX('Catálogo'!$M:$M,MATCH($B$3&amp;"|"&amp;40,IF($B$3="TODAS",'Catálogo'!$U:$U,'Catálogo'!$Q:$Q),0)),1)),"")</f>
      </c>
      <c r="B45" s="40">
        <f>IFERROR(INDEX('Catálogo'!$B:$B,MATCH($B$3&amp;"|"&amp;40,IF($B$3="TODAS",'Catálogo'!$U:$U,'Catálogo'!$Q:$Q),0)),"")</f>
      </c>
      <c r="C45" s="41">
        <f>IFERROR(IF(INDEX('Catálogo'!$R:$R,MATCH($B$3&amp;"|"&amp;40,IF($B$3="TODAS",'Catálogo'!$U:$U,'Catálogo'!$Q:$Q),0))="","Cód: "&amp;INDEX('Catálogo'!$A:$A,MATCH($B$3&amp;"|"&amp;40,IF($B$3="TODAS",'Catálogo'!$U:$U,'Catálogo'!$Q:$Q),0)),"Medidas: "&amp;INDEX('Catálogo'!$R:$R,MATCH($B$3&amp;"|"&amp;40,IF($B$3="TODAS",'Catálogo'!$U:$U,'Catálogo'!$Q:$Q),0))&amp;"  ·  Cód: "&amp;INDEX('Catálogo'!$A:$A,MATCH($B$3&amp;"|"&amp;40,IF($B$3="TODAS",'Catálogo'!$U:$U,'Catálogo'!$Q:$Q),0))),"")</f>
      </c>
      <c r="D45" s="42">
        <f>IFERROR(IF($D$3="Mayor",INDEX('Catálogo'!$O:$O,MATCH($B$3&amp;"|"&amp;40,IF($B$3="TODAS",'Catálogo'!$U:$U,'Catálogo'!$Q:$Q),0)),INDEX('Catálogo'!$N:$N,MATCH($B$3&amp;"|"&amp;40,IF($B$3="TODAS",'Catálogo'!$U:$U,'Catálogo'!$Q:$Q),0))),"")</f>
      </c>
    </row>
    <row r="46" ht="90.00" customHeight="1">
      <c r="A46" s="39">
        <f>IFERROR(IF(INDEX('Catálogo'!$M:$M,MATCH($B$3&amp;"|"&amp;41,IF($B$3="TODAS",'Catálogo'!$U:$U,'Catálogo'!$Q:$Q),0))="","",IMAGE(INDEX('Catálogo'!$M:$M,MATCH($B$3&amp;"|"&amp;41,IF($B$3="TODAS",'Catálogo'!$U:$U,'Catálogo'!$Q:$Q),0)),1)),"")</f>
      </c>
      <c r="B46" s="40">
        <f>IFERROR(INDEX('Catálogo'!$B:$B,MATCH($B$3&amp;"|"&amp;41,IF($B$3="TODAS",'Catálogo'!$U:$U,'Catálogo'!$Q:$Q),0)),"")</f>
      </c>
      <c r="C46" s="41">
        <f>IFERROR(IF(INDEX('Catálogo'!$R:$R,MATCH($B$3&amp;"|"&amp;41,IF($B$3="TODAS",'Catálogo'!$U:$U,'Catálogo'!$Q:$Q),0))="","Cód: "&amp;INDEX('Catálogo'!$A:$A,MATCH($B$3&amp;"|"&amp;41,IF($B$3="TODAS",'Catálogo'!$U:$U,'Catálogo'!$Q:$Q),0)),"Medidas: "&amp;INDEX('Catálogo'!$R:$R,MATCH($B$3&amp;"|"&amp;41,IF($B$3="TODAS",'Catálogo'!$U:$U,'Catálogo'!$Q:$Q),0))&amp;"  ·  Cód: "&amp;INDEX('Catálogo'!$A:$A,MATCH($B$3&amp;"|"&amp;41,IF($B$3="TODAS",'Catálogo'!$U:$U,'Catálogo'!$Q:$Q),0))),"")</f>
      </c>
      <c r="D46" s="42">
        <f>IFERROR(IF($D$3="Mayor",INDEX('Catálogo'!$O:$O,MATCH($B$3&amp;"|"&amp;41,IF($B$3="TODAS",'Catálogo'!$U:$U,'Catálogo'!$Q:$Q),0)),INDEX('Catálogo'!$N:$N,MATCH($B$3&amp;"|"&amp;41,IF($B$3="TODAS",'Catálogo'!$U:$U,'Catálogo'!$Q:$Q),0))),"")</f>
      </c>
    </row>
    <row r="47" ht="90.00" customHeight="1">
      <c r="A47" s="39">
        <f>IFERROR(IF(INDEX('Catálogo'!$M:$M,MATCH($B$3&amp;"|"&amp;42,IF($B$3="TODAS",'Catálogo'!$U:$U,'Catálogo'!$Q:$Q),0))="","",IMAGE(INDEX('Catálogo'!$M:$M,MATCH($B$3&amp;"|"&amp;42,IF($B$3="TODAS",'Catálogo'!$U:$U,'Catálogo'!$Q:$Q),0)),1)),"")</f>
      </c>
      <c r="B47" s="40">
        <f>IFERROR(INDEX('Catálogo'!$B:$B,MATCH($B$3&amp;"|"&amp;42,IF($B$3="TODAS",'Catálogo'!$U:$U,'Catálogo'!$Q:$Q),0)),"")</f>
      </c>
      <c r="C47" s="41">
        <f>IFERROR(IF(INDEX('Catálogo'!$R:$R,MATCH($B$3&amp;"|"&amp;42,IF($B$3="TODAS",'Catálogo'!$U:$U,'Catálogo'!$Q:$Q),0))="","Cód: "&amp;INDEX('Catálogo'!$A:$A,MATCH($B$3&amp;"|"&amp;42,IF($B$3="TODAS",'Catálogo'!$U:$U,'Catálogo'!$Q:$Q),0)),"Medidas: "&amp;INDEX('Catálogo'!$R:$R,MATCH($B$3&amp;"|"&amp;42,IF($B$3="TODAS",'Catálogo'!$U:$U,'Catálogo'!$Q:$Q),0))&amp;"  ·  Cód: "&amp;INDEX('Catálogo'!$A:$A,MATCH($B$3&amp;"|"&amp;42,IF($B$3="TODAS",'Catálogo'!$U:$U,'Catálogo'!$Q:$Q),0))),"")</f>
      </c>
      <c r="D47" s="42">
        <f>IFERROR(IF($D$3="Mayor",INDEX('Catálogo'!$O:$O,MATCH($B$3&amp;"|"&amp;42,IF($B$3="TODAS",'Catálogo'!$U:$U,'Catálogo'!$Q:$Q),0)),INDEX('Catálogo'!$N:$N,MATCH($B$3&amp;"|"&amp;42,IF($B$3="TODAS",'Catálogo'!$U:$U,'Catálogo'!$Q:$Q),0))),"")</f>
      </c>
    </row>
    <row r="48" ht="90.00" customHeight="1">
      <c r="A48" s="39">
        <f>IFERROR(IF(INDEX('Catálogo'!$M:$M,MATCH($B$3&amp;"|"&amp;43,IF($B$3="TODAS",'Catálogo'!$U:$U,'Catálogo'!$Q:$Q),0))="","",IMAGE(INDEX('Catálogo'!$M:$M,MATCH($B$3&amp;"|"&amp;43,IF($B$3="TODAS",'Catálogo'!$U:$U,'Catálogo'!$Q:$Q),0)),1)),"")</f>
      </c>
      <c r="B48" s="40">
        <f>IFERROR(INDEX('Catálogo'!$B:$B,MATCH($B$3&amp;"|"&amp;43,IF($B$3="TODAS",'Catálogo'!$U:$U,'Catálogo'!$Q:$Q),0)),"")</f>
      </c>
      <c r="C48" s="41">
        <f>IFERROR(IF(INDEX('Catálogo'!$R:$R,MATCH($B$3&amp;"|"&amp;43,IF($B$3="TODAS",'Catálogo'!$U:$U,'Catálogo'!$Q:$Q),0))="","Cód: "&amp;INDEX('Catálogo'!$A:$A,MATCH($B$3&amp;"|"&amp;43,IF($B$3="TODAS",'Catálogo'!$U:$U,'Catálogo'!$Q:$Q),0)),"Medidas: "&amp;INDEX('Catálogo'!$R:$R,MATCH($B$3&amp;"|"&amp;43,IF($B$3="TODAS",'Catálogo'!$U:$U,'Catálogo'!$Q:$Q),0))&amp;"  ·  Cód: "&amp;INDEX('Catálogo'!$A:$A,MATCH($B$3&amp;"|"&amp;43,IF($B$3="TODAS",'Catálogo'!$U:$U,'Catálogo'!$Q:$Q),0))),"")</f>
      </c>
      <c r="D48" s="42">
        <f>IFERROR(IF($D$3="Mayor",INDEX('Catálogo'!$O:$O,MATCH($B$3&amp;"|"&amp;43,IF($B$3="TODAS",'Catálogo'!$U:$U,'Catálogo'!$Q:$Q),0)),INDEX('Catálogo'!$N:$N,MATCH($B$3&amp;"|"&amp;43,IF($B$3="TODAS",'Catálogo'!$U:$U,'Catálogo'!$Q:$Q),0))),"")</f>
      </c>
    </row>
    <row r="49" ht="90.00" customHeight="1">
      <c r="A49" s="39">
        <f>IFERROR(IF(INDEX('Catálogo'!$M:$M,MATCH($B$3&amp;"|"&amp;44,IF($B$3="TODAS",'Catálogo'!$U:$U,'Catálogo'!$Q:$Q),0))="","",IMAGE(INDEX('Catálogo'!$M:$M,MATCH($B$3&amp;"|"&amp;44,IF($B$3="TODAS",'Catálogo'!$U:$U,'Catálogo'!$Q:$Q),0)),1)),"")</f>
      </c>
      <c r="B49" s="40">
        <f>IFERROR(INDEX('Catálogo'!$B:$B,MATCH($B$3&amp;"|"&amp;44,IF($B$3="TODAS",'Catálogo'!$U:$U,'Catálogo'!$Q:$Q),0)),"")</f>
      </c>
      <c r="C49" s="41">
        <f>IFERROR(IF(INDEX('Catálogo'!$R:$R,MATCH($B$3&amp;"|"&amp;44,IF($B$3="TODAS",'Catálogo'!$U:$U,'Catálogo'!$Q:$Q),0))="","Cód: "&amp;INDEX('Catálogo'!$A:$A,MATCH($B$3&amp;"|"&amp;44,IF($B$3="TODAS",'Catálogo'!$U:$U,'Catálogo'!$Q:$Q),0)),"Medidas: "&amp;INDEX('Catálogo'!$R:$R,MATCH($B$3&amp;"|"&amp;44,IF($B$3="TODAS",'Catálogo'!$U:$U,'Catálogo'!$Q:$Q),0))&amp;"  ·  Cód: "&amp;INDEX('Catálogo'!$A:$A,MATCH($B$3&amp;"|"&amp;44,IF($B$3="TODAS",'Catálogo'!$U:$U,'Catálogo'!$Q:$Q),0))),"")</f>
      </c>
      <c r="D49" s="42">
        <f>IFERROR(IF($D$3="Mayor",INDEX('Catálogo'!$O:$O,MATCH($B$3&amp;"|"&amp;44,IF($B$3="TODAS",'Catálogo'!$U:$U,'Catálogo'!$Q:$Q),0)),INDEX('Catálogo'!$N:$N,MATCH($B$3&amp;"|"&amp;44,IF($B$3="TODAS",'Catálogo'!$U:$U,'Catálogo'!$Q:$Q),0))),"")</f>
      </c>
    </row>
    <row r="50" ht="90.00" customHeight="1">
      <c r="A50" s="39">
        <f>IFERROR(IF(INDEX('Catálogo'!$M:$M,MATCH($B$3&amp;"|"&amp;45,IF($B$3="TODAS",'Catálogo'!$U:$U,'Catálogo'!$Q:$Q),0))="","",IMAGE(INDEX('Catálogo'!$M:$M,MATCH($B$3&amp;"|"&amp;45,IF($B$3="TODAS",'Catálogo'!$U:$U,'Catálogo'!$Q:$Q),0)),1)),"")</f>
      </c>
      <c r="B50" s="40">
        <f>IFERROR(INDEX('Catálogo'!$B:$B,MATCH($B$3&amp;"|"&amp;45,IF($B$3="TODAS",'Catálogo'!$U:$U,'Catálogo'!$Q:$Q),0)),"")</f>
      </c>
      <c r="C50" s="41">
        <f>IFERROR(IF(INDEX('Catálogo'!$R:$R,MATCH($B$3&amp;"|"&amp;45,IF($B$3="TODAS",'Catálogo'!$U:$U,'Catálogo'!$Q:$Q),0))="","Cód: "&amp;INDEX('Catálogo'!$A:$A,MATCH($B$3&amp;"|"&amp;45,IF($B$3="TODAS",'Catálogo'!$U:$U,'Catálogo'!$Q:$Q),0)),"Medidas: "&amp;INDEX('Catálogo'!$R:$R,MATCH($B$3&amp;"|"&amp;45,IF($B$3="TODAS",'Catálogo'!$U:$U,'Catálogo'!$Q:$Q),0))&amp;"  ·  Cód: "&amp;INDEX('Catálogo'!$A:$A,MATCH($B$3&amp;"|"&amp;45,IF($B$3="TODAS",'Catálogo'!$U:$U,'Catálogo'!$Q:$Q),0))),"")</f>
      </c>
      <c r="D50" s="42">
        <f>IFERROR(IF($D$3="Mayor",INDEX('Catálogo'!$O:$O,MATCH($B$3&amp;"|"&amp;45,IF($B$3="TODAS",'Catálogo'!$U:$U,'Catálogo'!$Q:$Q),0)),INDEX('Catálogo'!$N:$N,MATCH($B$3&amp;"|"&amp;45,IF($B$3="TODAS",'Catálogo'!$U:$U,'Catálogo'!$Q:$Q),0))),"")</f>
      </c>
    </row>
    <row r="51" ht="90.00" customHeight="1">
      <c r="A51" s="39">
        <f>IFERROR(IF(INDEX('Catálogo'!$M:$M,MATCH($B$3&amp;"|"&amp;46,IF($B$3="TODAS",'Catálogo'!$U:$U,'Catálogo'!$Q:$Q),0))="","",IMAGE(INDEX('Catálogo'!$M:$M,MATCH($B$3&amp;"|"&amp;46,IF($B$3="TODAS",'Catálogo'!$U:$U,'Catálogo'!$Q:$Q),0)),1)),"")</f>
      </c>
      <c r="B51" s="40">
        <f>IFERROR(INDEX('Catálogo'!$B:$B,MATCH($B$3&amp;"|"&amp;46,IF($B$3="TODAS",'Catálogo'!$U:$U,'Catálogo'!$Q:$Q),0)),"")</f>
      </c>
      <c r="C51" s="41">
        <f>IFERROR(IF(INDEX('Catálogo'!$R:$R,MATCH($B$3&amp;"|"&amp;46,IF($B$3="TODAS",'Catálogo'!$U:$U,'Catálogo'!$Q:$Q),0))="","Cód: "&amp;INDEX('Catálogo'!$A:$A,MATCH($B$3&amp;"|"&amp;46,IF($B$3="TODAS",'Catálogo'!$U:$U,'Catálogo'!$Q:$Q),0)),"Medidas: "&amp;INDEX('Catálogo'!$R:$R,MATCH($B$3&amp;"|"&amp;46,IF($B$3="TODAS",'Catálogo'!$U:$U,'Catálogo'!$Q:$Q),0))&amp;"  ·  Cód: "&amp;INDEX('Catálogo'!$A:$A,MATCH($B$3&amp;"|"&amp;46,IF($B$3="TODAS",'Catálogo'!$U:$U,'Catálogo'!$Q:$Q),0))),"")</f>
      </c>
      <c r="D51" s="42">
        <f>IFERROR(IF($D$3="Mayor",INDEX('Catálogo'!$O:$O,MATCH($B$3&amp;"|"&amp;46,IF($B$3="TODAS",'Catálogo'!$U:$U,'Catálogo'!$Q:$Q),0)),INDEX('Catálogo'!$N:$N,MATCH($B$3&amp;"|"&amp;46,IF($B$3="TODAS",'Catálogo'!$U:$U,'Catálogo'!$Q:$Q),0))),"")</f>
      </c>
    </row>
    <row r="52" ht="90.00" customHeight="1">
      <c r="A52" s="39">
        <f>IFERROR(IF(INDEX('Catálogo'!$M:$M,MATCH($B$3&amp;"|"&amp;47,IF($B$3="TODAS",'Catálogo'!$U:$U,'Catálogo'!$Q:$Q),0))="","",IMAGE(INDEX('Catálogo'!$M:$M,MATCH($B$3&amp;"|"&amp;47,IF($B$3="TODAS",'Catálogo'!$U:$U,'Catálogo'!$Q:$Q),0)),1)),"")</f>
      </c>
      <c r="B52" s="40">
        <f>IFERROR(INDEX('Catálogo'!$B:$B,MATCH($B$3&amp;"|"&amp;47,IF($B$3="TODAS",'Catálogo'!$U:$U,'Catálogo'!$Q:$Q),0)),"")</f>
      </c>
      <c r="C52" s="41">
        <f>IFERROR(IF(INDEX('Catálogo'!$R:$R,MATCH($B$3&amp;"|"&amp;47,IF($B$3="TODAS",'Catálogo'!$U:$U,'Catálogo'!$Q:$Q),0))="","Cód: "&amp;INDEX('Catálogo'!$A:$A,MATCH($B$3&amp;"|"&amp;47,IF($B$3="TODAS",'Catálogo'!$U:$U,'Catálogo'!$Q:$Q),0)),"Medidas: "&amp;INDEX('Catálogo'!$R:$R,MATCH($B$3&amp;"|"&amp;47,IF($B$3="TODAS",'Catálogo'!$U:$U,'Catálogo'!$Q:$Q),0))&amp;"  ·  Cód: "&amp;INDEX('Catálogo'!$A:$A,MATCH($B$3&amp;"|"&amp;47,IF($B$3="TODAS",'Catálogo'!$U:$U,'Catálogo'!$Q:$Q),0))),"")</f>
      </c>
      <c r="D52" s="42">
        <f>IFERROR(IF($D$3="Mayor",INDEX('Catálogo'!$O:$O,MATCH($B$3&amp;"|"&amp;47,IF($B$3="TODAS",'Catálogo'!$U:$U,'Catálogo'!$Q:$Q),0)),INDEX('Catálogo'!$N:$N,MATCH($B$3&amp;"|"&amp;47,IF($B$3="TODAS",'Catálogo'!$U:$U,'Catálogo'!$Q:$Q),0))),"")</f>
      </c>
    </row>
    <row r="53" ht="90.00" customHeight="1">
      <c r="A53" s="39">
        <f>IFERROR(IF(INDEX('Catálogo'!$M:$M,MATCH($B$3&amp;"|"&amp;48,IF($B$3="TODAS",'Catálogo'!$U:$U,'Catálogo'!$Q:$Q),0))="","",IMAGE(INDEX('Catálogo'!$M:$M,MATCH($B$3&amp;"|"&amp;48,IF($B$3="TODAS",'Catálogo'!$U:$U,'Catálogo'!$Q:$Q),0)),1)),"")</f>
      </c>
      <c r="B53" s="40">
        <f>IFERROR(INDEX('Catálogo'!$B:$B,MATCH($B$3&amp;"|"&amp;48,IF($B$3="TODAS",'Catálogo'!$U:$U,'Catálogo'!$Q:$Q),0)),"")</f>
      </c>
      <c r="C53" s="41">
        <f>IFERROR(IF(INDEX('Catálogo'!$R:$R,MATCH($B$3&amp;"|"&amp;48,IF($B$3="TODAS",'Catálogo'!$U:$U,'Catálogo'!$Q:$Q),0))="","Cód: "&amp;INDEX('Catálogo'!$A:$A,MATCH($B$3&amp;"|"&amp;48,IF($B$3="TODAS",'Catálogo'!$U:$U,'Catálogo'!$Q:$Q),0)),"Medidas: "&amp;INDEX('Catálogo'!$R:$R,MATCH($B$3&amp;"|"&amp;48,IF($B$3="TODAS",'Catálogo'!$U:$U,'Catálogo'!$Q:$Q),0))&amp;"  ·  Cód: "&amp;INDEX('Catálogo'!$A:$A,MATCH($B$3&amp;"|"&amp;48,IF($B$3="TODAS",'Catálogo'!$U:$U,'Catálogo'!$Q:$Q),0))),"")</f>
      </c>
      <c r="D53" s="42">
        <f>IFERROR(IF($D$3="Mayor",INDEX('Catálogo'!$O:$O,MATCH($B$3&amp;"|"&amp;48,IF($B$3="TODAS",'Catálogo'!$U:$U,'Catálogo'!$Q:$Q),0)),INDEX('Catálogo'!$N:$N,MATCH($B$3&amp;"|"&amp;48,IF($B$3="TODAS",'Catálogo'!$U:$U,'Catálogo'!$Q:$Q),0))),"")</f>
      </c>
    </row>
    <row r="54" ht="90.00" customHeight="1">
      <c r="A54" s="39">
        <f>IFERROR(IF(INDEX('Catálogo'!$M:$M,MATCH($B$3&amp;"|"&amp;49,IF($B$3="TODAS",'Catálogo'!$U:$U,'Catálogo'!$Q:$Q),0))="","",IMAGE(INDEX('Catálogo'!$M:$M,MATCH($B$3&amp;"|"&amp;49,IF($B$3="TODAS",'Catálogo'!$U:$U,'Catálogo'!$Q:$Q),0)),1)),"")</f>
      </c>
      <c r="B54" s="40">
        <f>IFERROR(INDEX('Catálogo'!$B:$B,MATCH($B$3&amp;"|"&amp;49,IF($B$3="TODAS",'Catálogo'!$U:$U,'Catálogo'!$Q:$Q),0)),"")</f>
      </c>
      <c r="C54" s="41">
        <f>IFERROR(IF(INDEX('Catálogo'!$R:$R,MATCH($B$3&amp;"|"&amp;49,IF($B$3="TODAS",'Catálogo'!$U:$U,'Catálogo'!$Q:$Q),0))="","Cód: "&amp;INDEX('Catálogo'!$A:$A,MATCH($B$3&amp;"|"&amp;49,IF($B$3="TODAS",'Catálogo'!$U:$U,'Catálogo'!$Q:$Q),0)),"Medidas: "&amp;INDEX('Catálogo'!$R:$R,MATCH($B$3&amp;"|"&amp;49,IF($B$3="TODAS",'Catálogo'!$U:$U,'Catálogo'!$Q:$Q),0))&amp;"  ·  Cód: "&amp;INDEX('Catálogo'!$A:$A,MATCH($B$3&amp;"|"&amp;49,IF($B$3="TODAS",'Catálogo'!$U:$U,'Catálogo'!$Q:$Q),0))),"")</f>
      </c>
      <c r="D54" s="42">
        <f>IFERROR(IF($D$3="Mayor",INDEX('Catálogo'!$O:$O,MATCH($B$3&amp;"|"&amp;49,IF($B$3="TODAS",'Catálogo'!$U:$U,'Catálogo'!$Q:$Q),0)),INDEX('Catálogo'!$N:$N,MATCH($B$3&amp;"|"&amp;49,IF($B$3="TODAS",'Catálogo'!$U:$U,'Catálogo'!$Q:$Q),0))),"")</f>
      </c>
    </row>
    <row r="55" ht="90.00" customHeight="1">
      <c r="A55" s="39">
        <f>IFERROR(IF(INDEX('Catálogo'!$M:$M,MATCH($B$3&amp;"|"&amp;50,IF($B$3="TODAS",'Catálogo'!$U:$U,'Catálogo'!$Q:$Q),0))="","",IMAGE(INDEX('Catálogo'!$M:$M,MATCH($B$3&amp;"|"&amp;50,IF($B$3="TODAS",'Catálogo'!$U:$U,'Catálogo'!$Q:$Q),0)),1)),"")</f>
      </c>
      <c r="B55" s="40">
        <f>IFERROR(INDEX('Catálogo'!$B:$B,MATCH($B$3&amp;"|"&amp;50,IF($B$3="TODAS",'Catálogo'!$U:$U,'Catálogo'!$Q:$Q),0)),"")</f>
      </c>
      <c r="C55" s="41">
        <f>IFERROR(IF(INDEX('Catálogo'!$R:$R,MATCH($B$3&amp;"|"&amp;50,IF($B$3="TODAS",'Catálogo'!$U:$U,'Catálogo'!$Q:$Q),0))="","Cód: "&amp;INDEX('Catálogo'!$A:$A,MATCH($B$3&amp;"|"&amp;50,IF($B$3="TODAS",'Catálogo'!$U:$U,'Catálogo'!$Q:$Q),0)),"Medidas: "&amp;INDEX('Catálogo'!$R:$R,MATCH($B$3&amp;"|"&amp;50,IF($B$3="TODAS",'Catálogo'!$U:$U,'Catálogo'!$Q:$Q),0))&amp;"  ·  Cód: "&amp;INDEX('Catálogo'!$A:$A,MATCH($B$3&amp;"|"&amp;50,IF($B$3="TODAS",'Catálogo'!$U:$U,'Catálogo'!$Q:$Q),0))),"")</f>
      </c>
      <c r="D55" s="42">
        <f>IFERROR(IF($D$3="Mayor",INDEX('Catálogo'!$O:$O,MATCH($B$3&amp;"|"&amp;50,IF($B$3="TODAS",'Catálogo'!$U:$U,'Catálogo'!$Q:$Q),0)),INDEX('Catálogo'!$N:$N,MATCH($B$3&amp;"|"&amp;50,IF($B$3="TODAS",'Catálogo'!$U:$U,'Catálogo'!$Q:$Q),0))),"")</f>
      </c>
    </row>
    <row r="56" ht="90.00" customHeight="1">
      <c r="A56" s="39">
        <f>IFERROR(IF(INDEX('Catálogo'!$M:$M,MATCH($B$3&amp;"|"&amp;51,IF($B$3="TODAS",'Catálogo'!$U:$U,'Catálogo'!$Q:$Q),0))="","",IMAGE(INDEX('Catálogo'!$M:$M,MATCH($B$3&amp;"|"&amp;51,IF($B$3="TODAS",'Catálogo'!$U:$U,'Catálogo'!$Q:$Q),0)),1)),"")</f>
      </c>
      <c r="B56" s="40">
        <f>IFERROR(INDEX('Catálogo'!$B:$B,MATCH($B$3&amp;"|"&amp;51,IF($B$3="TODAS",'Catálogo'!$U:$U,'Catálogo'!$Q:$Q),0)),"")</f>
      </c>
      <c r="C56" s="41">
        <f>IFERROR(IF(INDEX('Catálogo'!$R:$R,MATCH($B$3&amp;"|"&amp;51,IF($B$3="TODAS",'Catálogo'!$U:$U,'Catálogo'!$Q:$Q),0))="","Cód: "&amp;INDEX('Catálogo'!$A:$A,MATCH($B$3&amp;"|"&amp;51,IF($B$3="TODAS",'Catálogo'!$U:$U,'Catálogo'!$Q:$Q),0)),"Medidas: "&amp;INDEX('Catálogo'!$R:$R,MATCH($B$3&amp;"|"&amp;51,IF($B$3="TODAS",'Catálogo'!$U:$U,'Catálogo'!$Q:$Q),0))&amp;"  ·  Cód: "&amp;INDEX('Catálogo'!$A:$A,MATCH($B$3&amp;"|"&amp;51,IF($B$3="TODAS",'Catálogo'!$U:$U,'Catálogo'!$Q:$Q),0))),"")</f>
      </c>
      <c r="D56" s="42">
        <f>IFERROR(IF($D$3="Mayor",INDEX('Catálogo'!$O:$O,MATCH($B$3&amp;"|"&amp;51,IF($B$3="TODAS",'Catálogo'!$U:$U,'Catálogo'!$Q:$Q),0)),INDEX('Catálogo'!$N:$N,MATCH($B$3&amp;"|"&amp;51,IF($B$3="TODAS",'Catálogo'!$U:$U,'Catálogo'!$Q:$Q),0))),"")</f>
      </c>
    </row>
    <row r="57" ht="90.00" customHeight="1">
      <c r="A57" s="39">
        <f>IFERROR(IF(INDEX('Catálogo'!$M:$M,MATCH($B$3&amp;"|"&amp;52,IF($B$3="TODAS",'Catálogo'!$U:$U,'Catálogo'!$Q:$Q),0))="","",IMAGE(INDEX('Catálogo'!$M:$M,MATCH($B$3&amp;"|"&amp;52,IF($B$3="TODAS",'Catálogo'!$U:$U,'Catálogo'!$Q:$Q),0)),1)),"")</f>
      </c>
      <c r="B57" s="40">
        <f>IFERROR(INDEX('Catálogo'!$B:$B,MATCH($B$3&amp;"|"&amp;52,IF($B$3="TODAS",'Catálogo'!$U:$U,'Catálogo'!$Q:$Q),0)),"")</f>
      </c>
      <c r="C57" s="41">
        <f>IFERROR(IF(INDEX('Catálogo'!$R:$R,MATCH($B$3&amp;"|"&amp;52,IF($B$3="TODAS",'Catálogo'!$U:$U,'Catálogo'!$Q:$Q),0))="","Cód: "&amp;INDEX('Catálogo'!$A:$A,MATCH($B$3&amp;"|"&amp;52,IF($B$3="TODAS",'Catálogo'!$U:$U,'Catálogo'!$Q:$Q),0)),"Medidas: "&amp;INDEX('Catálogo'!$R:$R,MATCH($B$3&amp;"|"&amp;52,IF($B$3="TODAS",'Catálogo'!$U:$U,'Catálogo'!$Q:$Q),0))&amp;"  ·  Cód: "&amp;INDEX('Catálogo'!$A:$A,MATCH($B$3&amp;"|"&amp;52,IF($B$3="TODAS",'Catálogo'!$U:$U,'Catálogo'!$Q:$Q),0))),"")</f>
      </c>
      <c r="D57" s="42">
        <f>IFERROR(IF($D$3="Mayor",INDEX('Catálogo'!$O:$O,MATCH($B$3&amp;"|"&amp;52,IF($B$3="TODAS",'Catálogo'!$U:$U,'Catálogo'!$Q:$Q),0)),INDEX('Catálogo'!$N:$N,MATCH($B$3&amp;"|"&amp;52,IF($B$3="TODAS",'Catálogo'!$U:$U,'Catálogo'!$Q:$Q),0))),"")</f>
      </c>
    </row>
    <row r="58" ht="90.00" customHeight="1">
      <c r="A58" s="39">
        <f>IFERROR(IF(INDEX('Catálogo'!$M:$M,MATCH($B$3&amp;"|"&amp;53,IF($B$3="TODAS",'Catálogo'!$U:$U,'Catálogo'!$Q:$Q),0))="","",IMAGE(INDEX('Catálogo'!$M:$M,MATCH($B$3&amp;"|"&amp;53,IF($B$3="TODAS",'Catálogo'!$U:$U,'Catálogo'!$Q:$Q),0)),1)),"")</f>
      </c>
      <c r="B58" s="40">
        <f>IFERROR(INDEX('Catálogo'!$B:$B,MATCH($B$3&amp;"|"&amp;53,IF($B$3="TODAS",'Catálogo'!$U:$U,'Catálogo'!$Q:$Q),0)),"")</f>
      </c>
      <c r="C58" s="41">
        <f>IFERROR(IF(INDEX('Catálogo'!$R:$R,MATCH($B$3&amp;"|"&amp;53,IF($B$3="TODAS",'Catálogo'!$U:$U,'Catálogo'!$Q:$Q),0))="","Cód: "&amp;INDEX('Catálogo'!$A:$A,MATCH($B$3&amp;"|"&amp;53,IF($B$3="TODAS",'Catálogo'!$U:$U,'Catálogo'!$Q:$Q),0)),"Medidas: "&amp;INDEX('Catálogo'!$R:$R,MATCH($B$3&amp;"|"&amp;53,IF($B$3="TODAS",'Catálogo'!$U:$U,'Catálogo'!$Q:$Q),0))&amp;"  ·  Cód: "&amp;INDEX('Catálogo'!$A:$A,MATCH($B$3&amp;"|"&amp;53,IF($B$3="TODAS",'Catálogo'!$U:$U,'Catálogo'!$Q:$Q),0))),"")</f>
      </c>
      <c r="D58" s="42">
        <f>IFERROR(IF($D$3="Mayor",INDEX('Catálogo'!$O:$O,MATCH($B$3&amp;"|"&amp;53,IF($B$3="TODAS",'Catálogo'!$U:$U,'Catálogo'!$Q:$Q),0)),INDEX('Catálogo'!$N:$N,MATCH($B$3&amp;"|"&amp;53,IF($B$3="TODAS",'Catálogo'!$U:$U,'Catálogo'!$Q:$Q),0))),"")</f>
      </c>
    </row>
    <row r="59" ht="90.00" customHeight="1">
      <c r="A59" s="39">
        <f>IFERROR(IF(INDEX('Catálogo'!$M:$M,MATCH($B$3&amp;"|"&amp;54,IF($B$3="TODAS",'Catálogo'!$U:$U,'Catálogo'!$Q:$Q),0))="","",IMAGE(INDEX('Catálogo'!$M:$M,MATCH($B$3&amp;"|"&amp;54,IF($B$3="TODAS",'Catálogo'!$U:$U,'Catálogo'!$Q:$Q),0)),1)),"")</f>
      </c>
      <c r="B59" s="40">
        <f>IFERROR(INDEX('Catálogo'!$B:$B,MATCH($B$3&amp;"|"&amp;54,IF($B$3="TODAS",'Catálogo'!$U:$U,'Catálogo'!$Q:$Q),0)),"")</f>
      </c>
      <c r="C59" s="41">
        <f>IFERROR(IF(INDEX('Catálogo'!$R:$R,MATCH($B$3&amp;"|"&amp;54,IF($B$3="TODAS",'Catálogo'!$U:$U,'Catálogo'!$Q:$Q),0))="","Cód: "&amp;INDEX('Catálogo'!$A:$A,MATCH($B$3&amp;"|"&amp;54,IF($B$3="TODAS",'Catálogo'!$U:$U,'Catálogo'!$Q:$Q),0)),"Medidas: "&amp;INDEX('Catálogo'!$R:$R,MATCH($B$3&amp;"|"&amp;54,IF($B$3="TODAS",'Catálogo'!$U:$U,'Catálogo'!$Q:$Q),0))&amp;"  ·  Cód: "&amp;INDEX('Catálogo'!$A:$A,MATCH($B$3&amp;"|"&amp;54,IF($B$3="TODAS",'Catálogo'!$U:$U,'Catálogo'!$Q:$Q),0))),"")</f>
      </c>
      <c r="D59" s="42">
        <f>IFERROR(IF($D$3="Mayor",INDEX('Catálogo'!$O:$O,MATCH($B$3&amp;"|"&amp;54,IF($B$3="TODAS",'Catálogo'!$U:$U,'Catálogo'!$Q:$Q),0)),INDEX('Catálogo'!$N:$N,MATCH($B$3&amp;"|"&amp;54,IF($B$3="TODAS",'Catálogo'!$U:$U,'Catálogo'!$Q:$Q),0))),"")</f>
      </c>
    </row>
    <row r="60" ht="90.00" customHeight="1">
      <c r="A60" s="39">
        <f>IFERROR(IF(INDEX('Catálogo'!$M:$M,MATCH($B$3&amp;"|"&amp;55,IF($B$3="TODAS",'Catálogo'!$U:$U,'Catálogo'!$Q:$Q),0))="","",IMAGE(INDEX('Catálogo'!$M:$M,MATCH($B$3&amp;"|"&amp;55,IF($B$3="TODAS",'Catálogo'!$U:$U,'Catálogo'!$Q:$Q),0)),1)),"")</f>
      </c>
      <c r="B60" s="40">
        <f>IFERROR(INDEX('Catálogo'!$B:$B,MATCH($B$3&amp;"|"&amp;55,IF($B$3="TODAS",'Catálogo'!$U:$U,'Catálogo'!$Q:$Q),0)),"")</f>
      </c>
      <c r="C60" s="41">
        <f>IFERROR(IF(INDEX('Catálogo'!$R:$R,MATCH($B$3&amp;"|"&amp;55,IF($B$3="TODAS",'Catálogo'!$U:$U,'Catálogo'!$Q:$Q),0))="","Cód: "&amp;INDEX('Catálogo'!$A:$A,MATCH($B$3&amp;"|"&amp;55,IF($B$3="TODAS",'Catálogo'!$U:$U,'Catálogo'!$Q:$Q),0)),"Medidas: "&amp;INDEX('Catálogo'!$R:$R,MATCH($B$3&amp;"|"&amp;55,IF($B$3="TODAS",'Catálogo'!$U:$U,'Catálogo'!$Q:$Q),0))&amp;"  ·  Cód: "&amp;INDEX('Catálogo'!$A:$A,MATCH($B$3&amp;"|"&amp;55,IF($B$3="TODAS",'Catálogo'!$U:$U,'Catálogo'!$Q:$Q),0))),"")</f>
      </c>
      <c r="D60" s="42">
        <f>IFERROR(IF($D$3="Mayor",INDEX('Catálogo'!$O:$O,MATCH($B$3&amp;"|"&amp;55,IF($B$3="TODAS",'Catálogo'!$U:$U,'Catálogo'!$Q:$Q),0)),INDEX('Catálogo'!$N:$N,MATCH($B$3&amp;"|"&amp;55,IF($B$3="TODAS",'Catálogo'!$U:$U,'Catálogo'!$Q:$Q),0))),"")</f>
      </c>
    </row>
    <row r="61" ht="90.00" customHeight="1">
      <c r="A61" s="39">
        <f>IFERROR(IF(INDEX('Catálogo'!$M:$M,MATCH($B$3&amp;"|"&amp;56,IF($B$3="TODAS",'Catálogo'!$U:$U,'Catálogo'!$Q:$Q),0))="","",IMAGE(INDEX('Catálogo'!$M:$M,MATCH($B$3&amp;"|"&amp;56,IF($B$3="TODAS",'Catálogo'!$U:$U,'Catálogo'!$Q:$Q),0)),1)),"")</f>
      </c>
      <c r="B61" s="40">
        <f>IFERROR(INDEX('Catálogo'!$B:$B,MATCH($B$3&amp;"|"&amp;56,IF($B$3="TODAS",'Catálogo'!$U:$U,'Catálogo'!$Q:$Q),0)),"")</f>
      </c>
      <c r="C61" s="41">
        <f>IFERROR(IF(INDEX('Catálogo'!$R:$R,MATCH($B$3&amp;"|"&amp;56,IF($B$3="TODAS",'Catálogo'!$U:$U,'Catálogo'!$Q:$Q),0))="","Cód: "&amp;INDEX('Catálogo'!$A:$A,MATCH($B$3&amp;"|"&amp;56,IF($B$3="TODAS",'Catálogo'!$U:$U,'Catálogo'!$Q:$Q),0)),"Medidas: "&amp;INDEX('Catálogo'!$R:$R,MATCH($B$3&amp;"|"&amp;56,IF($B$3="TODAS",'Catálogo'!$U:$U,'Catálogo'!$Q:$Q),0))&amp;"  ·  Cód: "&amp;INDEX('Catálogo'!$A:$A,MATCH($B$3&amp;"|"&amp;56,IF($B$3="TODAS",'Catálogo'!$U:$U,'Catálogo'!$Q:$Q),0))),"")</f>
      </c>
      <c r="D61" s="42">
        <f>IFERROR(IF($D$3="Mayor",INDEX('Catálogo'!$O:$O,MATCH($B$3&amp;"|"&amp;56,IF($B$3="TODAS",'Catálogo'!$U:$U,'Catálogo'!$Q:$Q),0)),INDEX('Catálogo'!$N:$N,MATCH($B$3&amp;"|"&amp;56,IF($B$3="TODAS",'Catálogo'!$U:$U,'Catálogo'!$Q:$Q),0))),"")</f>
      </c>
    </row>
    <row r="62" ht="90.00" customHeight="1">
      <c r="A62" s="39">
        <f>IFERROR(IF(INDEX('Catálogo'!$M:$M,MATCH($B$3&amp;"|"&amp;57,IF($B$3="TODAS",'Catálogo'!$U:$U,'Catálogo'!$Q:$Q),0))="","",IMAGE(INDEX('Catálogo'!$M:$M,MATCH($B$3&amp;"|"&amp;57,IF($B$3="TODAS",'Catálogo'!$U:$U,'Catálogo'!$Q:$Q),0)),1)),"")</f>
      </c>
      <c r="B62" s="40">
        <f>IFERROR(INDEX('Catálogo'!$B:$B,MATCH($B$3&amp;"|"&amp;57,IF($B$3="TODAS",'Catálogo'!$U:$U,'Catálogo'!$Q:$Q),0)),"")</f>
      </c>
      <c r="C62" s="41">
        <f>IFERROR(IF(INDEX('Catálogo'!$R:$R,MATCH($B$3&amp;"|"&amp;57,IF($B$3="TODAS",'Catálogo'!$U:$U,'Catálogo'!$Q:$Q),0))="","Cód: "&amp;INDEX('Catálogo'!$A:$A,MATCH($B$3&amp;"|"&amp;57,IF($B$3="TODAS",'Catálogo'!$U:$U,'Catálogo'!$Q:$Q),0)),"Medidas: "&amp;INDEX('Catálogo'!$R:$R,MATCH($B$3&amp;"|"&amp;57,IF($B$3="TODAS",'Catálogo'!$U:$U,'Catálogo'!$Q:$Q),0))&amp;"  ·  Cód: "&amp;INDEX('Catálogo'!$A:$A,MATCH($B$3&amp;"|"&amp;57,IF($B$3="TODAS",'Catálogo'!$U:$U,'Catálogo'!$Q:$Q),0))),"")</f>
      </c>
      <c r="D62" s="42">
        <f>IFERROR(IF($D$3="Mayor",INDEX('Catálogo'!$O:$O,MATCH($B$3&amp;"|"&amp;57,IF($B$3="TODAS",'Catálogo'!$U:$U,'Catálogo'!$Q:$Q),0)),INDEX('Catálogo'!$N:$N,MATCH($B$3&amp;"|"&amp;57,IF($B$3="TODAS",'Catálogo'!$U:$U,'Catálogo'!$Q:$Q),0))),"")</f>
      </c>
    </row>
    <row r="63" ht="90.00" customHeight="1">
      <c r="A63" s="39">
        <f>IFERROR(IF(INDEX('Catálogo'!$M:$M,MATCH($B$3&amp;"|"&amp;58,IF($B$3="TODAS",'Catálogo'!$U:$U,'Catálogo'!$Q:$Q),0))="","",IMAGE(INDEX('Catálogo'!$M:$M,MATCH($B$3&amp;"|"&amp;58,IF($B$3="TODAS",'Catálogo'!$U:$U,'Catálogo'!$Q:$Q),0)),1)),"")</f>
      </c>
      <c r="B63" s="40">
        <f>IFERROR(INDEX('Catálogo'!$B:$B,MATCH($B$3&amp;"|"&amp;58,IF($B$3="TODAS",'Catálogo'!$U:$U,'Catálogo'!$Q:$Q),0)),"")</f>
      </c>
      <c r="C63" s="41">
        <f>IFERROR(IF(INDEX('Catálogo'!$R:$R,MATCH($B$3&amp;"|"&amp;58,IF($B$3="TODAS",'Catálogo'!$U:$U,'Catálogo'!$Q:$Q),0))="","Cód: "&amp;INDEX('Catálogo'!$A:$A,MATCH($B$3&amp;"|"&amp;58,IF($B$3="TODAS",'Catálogo'!$U:$U,'Catálogo'!$Q:$Q),0)),"Medidas: "&amp;INDEX('Catálogo'!$R:$R,MATCH($B$3&amp;"|"&amp;58,IF($B$3="TODAS",'Catálogo'!$U:$U,'Catálogo'!$Q:$Q),0))&amp;"  ·  Cód: "&amp;INDEX('Catálogo'!$A:$A,MATCH($B$3&amp;"|"&amp;58,IF($B$3="TODAS",'Catálogo'!$U:$U,'Catálogo'!$Q:$Q),0))),"")</f>
      </c>
      <c r="D63" s="42">
        <f>IFERROR(IF($D$3="Mayor",INDEX('Catálogo'!$O:$O,MATCH($B$3&amp;"|"&amp;58,IF($B$3="TODAS",'Catálogo'!$U:$U,'Catálogo'!$Q:$Q),0)),INDEX('Catálogo'!$N:$N,MATCH($B$3&amp;"|"&amp;58,IF($B$3="TODAS",'Catálogo'!$U:$U,'Catálogo'!$Q:$Q),0))),"")</f>
      </c>
    </row>
    <row r="64" ht="90.00" customHeight="1">
      <c r="A64" s="39">
        <f>IFERROR(IF(INDEX('Catálogo'!$M:$M,MATCH($B$3&amp;"|"&amp;59,IF($B$3="TODAS",'Catálogo'!$U:$U,'Catálogo'!$Q:$Q),0))="","",IMAGE(INDEX('Catálogo'!$M:$M,MATCH($B$3&amp;"|"&amp;59,IF($B$3="TODAS",'Catálogo'!$U:$U,'Catálogo'!$Q:$Q),0)),1)),"")</f>
      </c>
      <c r="B64" s="40">
        <f>IFERROR(INDEX('Catálogo'!$B:$B,MATCH($B$3&amp;"|"&amp;59,IF($B$3="TODAS",'Catálogo'!$U:$U,'Catálogo'!$Q:$Q),0)),"")</f>
      </c>
      <c r="C64" s="41">
        <f>IFERROR(IF(INDEX('Catálogo'!$R:$R,MATCH($B$3&amp;"|"&amp;59,IF($B$3="TODAS",'Catálogo'!$U:$U,'Catálogo'!$Q:$Q),0))="","Cód: "&amp;INDEX('Catálogo'!$A:$A,MATCH($B$3&amp;"|"&amp;59,IF($B$3="TODAS",'Catálogo'!$U:$U,'Catálogo'!$Q:$Q),0)),"Medidas: "&amp;INDEX('Catálogo'!$R:$R,MATCH($B$3&amp;"|"&amp;59,IF($B$3="TODAS",'Catálogo'!$U:$U,'Catálogo'!$Q:$Q),0))&amp;"  ·  Cód: "&amp;INDEX('Catálogo'!$A:$A,MATCH($B$3&amp;"|"&amp;59,IF($B$3="TODAS",'Catálogo'!$U:$U,'Catálogo'!$Q:$Q),0))),"")</f>
      </c>
      <c r="D64" s="42">
        <f>IFERROR(IF($D$3="Mayor",INDEX('Catálogo'!$O:$O,MATCH($B$3&amp;"|"&amp;59,IF($B$3="TODAS",'Catálogo'!$U:$U,'Catálogo'!$Q:$Q),0)),INDEX('Catálogo'!$N:$N,MATCH($B$3&amp;"|"&amp;59,IF($B$3="TODAS",'Catálogo'!$U:$U,'Catálogo'!$Q:$Q),0))),"")</f>
      </c>
    </row>
    <row r="65" ht="90.00" customHeight="1">
      <c r="A65" s="39">
        <f>IFERROR(IF(INDEX('Catálogo'!$M:$M,MATCH($B$3&amp;"|"&amp;60,IF($B$3="TODAS",'Catálogo'!$U:$U,'Catálogo'!$Q:$Q),0))="","",IMAGE(INDEX('Catálogo'!$M:$M,MATCH($B$3&amp;"|"&amp;60,IF($B$3="TODAS",'Catálogo'!$U:$U,'Catálogo'!$Q:$Q),0)),1)),"")</f>
      </c>
      <c r="B65" s="40">
        <f>IFERROR(INDEX('Catálogo'!$B:$B,MATCH($B$3&amp;"|"&amp;60,IF($B$3="TODAS",'Catálogo'!$U:$U,'Catálogo'!$Q:$Q),0)),"")</f>
      </c>
      <c r="C65" s="41">
        <f>IFERROR(IF(INDEX('Catálogo'!$R:$R,MATCH($B$3&amp;"|"&amp;60,IF($B$3="TODAS",'Catálogo'!$U:$U,'Catálogo'!$Q:$Q),0))="","Cód: "&amp;INDEX('Catálogo'!$A:$A,MATCH($B$3&amp;"|"&amp;60,IF($B$3="TODAS",'Catálogo'!$U:$U,'Catálogo'!$Q:$Q),0)),"Medidas: "&amp;INDEX('Catálogo'!$R:$R,MATCH($B$3&amp;"|"&amp;60,IF($B$3="TODAS",'Catálogo'!$U:$U,'Catálogo'!$Q:$Q),0))&amp;"  ·  Cód: "&amp;INDEX('Catálogo'!$A:$A,MATCH($B$3&amp;"|"&amp;60,IF($B$3="TODAS",'Catálogo'!$U:$U,'Catálogo'!$Q:$Q),0))),"")</f>
      </c>
      <c r="D65" s="42">
        <f>IFERROR(IF($D$3="Mayor",INDEX('Catálogo'!$O:$O,MATCH($B$3&amp;"|"&amp;60,IF($B$3="TODAS",'Catálogo'!$U:$U,'Catálogo'!$Q:$Q),0)),INDEX('Catálogo'!$N:$N,MATCH($B$3&amp;"|"&amp;60,IF($B$3="TODAS",'Catálogo'!$U:$U,'Catálogo'!$Q:$Q),0))),"")</f>
      </c>
    </row>
    <row r="66" ht="90.00" customHeight="1">
      <c r="A66" s="39">
        <f>IFERROR(IF(INDEX('Catálogo'!$M:$M,MATCH($B$3&amp;"|"&amp;61,IF($B$3="TODAS",'Catálogo'!$U:$U,'Catálogo'!$Q:$Q),0))="","",IMAGE(INDEX('Catálogo'!$M:$M,MATCH($B$3&amp;"|"&amp;61,IF($B$3="TODAS",'Catálogo'!$U:$U,'Catálogo'!$Q:$Q),0)),1)),"")</f>
      </c>
      <c r="B66" s="40">
        <f>IFERROR(INDEX('Catálogo'!$B:$B,MATCH($B$3&amp;"|"&amp;61,IF($B$3="TODAS",'Catálogo'!$U:$U,'Catálogo'!$Q:$Q),0)),"")</f>
      </c>
      <c r="C66" s="41">
        <f>IFERROR(IF(INDEX('Catálogo'!$R:$R,MATCH($B$3&amp;"|"&amp;61,IF($B$3="TODAS",'Catálogo'!$U:$U,'Catálogo'!$Q:$Q),0))="","Cód: "&amp;INDEX('Catálogo'!$A:$A,MATCH($B$3&amp;"|"&amp;61,IF($B$3="TODAS",'Catálogo'!$U:$U,'Catálogo'!$Q:$Q),0)),"Medidas: "&amp;INDEX('Catálogo'!$R:$R,MATCH($B$3&amp;"|"&amp;61,IF($B$3="TODAS",'Catálogo'!$U:$U,'Catálogo'!$Q:$Q),0))&amp;"  ·  Cód: "&amp;INDEX('Catálogo'!$A:$A,MATCH($B$3&amp;"|"&amp;61,IF($B$3="TODAS",'Catálogo'!$U:$U,'Catálogo'!$Q:$Q),0))),"")</f>
      </c>
      <c r="D66" s="42">
        <f>IFERROR(IF($D$3="Mayor",INDEX('Catálogo'!$O:$O,MATCH($B$3&amp;"|"&amp;61,IF($B$3="TODAS",'Catálogo'!$U:$U,'Catálogo'!$Q:$Q),0)),INDEX('Catálogo'!$N:$N,MATCH($B$3&amp;"|"&amp;61,IF($B$3="TODAS",'Catálogo'!$U:$U,'Catálogo'!$Q:$Q),0))),"")</f>
      </c>
    </row>
    <row r="67" ht="90.00" customHeight="1">
      <c r="A67" s="39">
        <f>IFERROR(IF(INDEX('Catálogo'!$M:$M,MATCH($B$3&amp;"|"&amp;62,IF($B$3="TODAS",'Catálogo'!$U:$U,'Catálogo'!$Q:$Q),0))="","",IMAGE(INDEX('Catálogo'!$M:$M,MATCH($B$3&amp;"|"&amp;62,IF($B$3="TODAS",'Catálogo'!$U:$U,'Catálogo'!$Q:$Q),0)),1)),"")</f>
      </c>
      <c r="B67" s="40">
        <f>IFERROR(INDEX('Catálogo'!$B:$B,MATCH($B$3&amp;"|"&amp;62,IF($B$3="TODAS",'Catálogo'!$U:$U,'Catálogo'!$Q:$Q),0)),"")</f>
      </c>
      <c r="C67" s="41">
        <f>IFERROR(IF(INDEX('Catálogo'!$R:$R,MATCH($B$3&amp;"|"&amp;62,IF($B$3="TODAS",'Catálogo'!$U:$U,'Catálogo'!$Q:$Q),0))="","Cód: "&amp;INDEX('Catálogo'!$A:$A,MATCH($B$3&amp;"|"&amp;62,IF($B$3="TODAS",'Catálogo'!$U:$U,'Catálogo'!$Q:$Q),0)),"Medidas: "&amp;INDEX('Catálogo'!$R:$R,MATCH($B$3&amp;"|"&amp;62,IF($B$3="TODAS",'Catálogo'!$U:$U,'Catálogo'!$Q:$Q),0))&amp;"  ·  Cód: "&amp;INDEX('Catálogo'!$A:$A,MATCH($B$3&amp;"|"&amp;62,IF($B$3="TODAS",'Catálogo'!$U:$U,'Catálogo'!$Q:$Q),0))),"")</f>
      </c>
      <c r="D67" s="42">
        <f>IFERROR(IF($D$3="Mayor",INDEX('Catálogo'!$O:$O,MATCH($B$3&amp;"|"&amp;62,IF($B$3="TODAS",'Catálogo'!$U:$U,'Catálogo'!$Q:$Q),0)),INDEX('Catálogo'!$N:$N,MATCH($B$3&amp;"|"&amp;62,IF($B$3="TODAS",'Catálogo'!$U:$U,'Catálogo'!$Q:$Q),0))),"")</f>
      </c>
    </row>
    <row r="68" ht="90.00" customHeight="1">
      <c r="A68" s="39">
        <f>IFERROR(IF(INDEX('Catálogo'!$M:$M,MATCH($B$3&amp;"|"&amp;63,IF($B$3="TODAS",'Catálogo'!$U:$U,'Catálogo'!$Q:$Q),0))="","",IMAGE(INDEX('Catálogo'!$M:$M,MATCH($B$3&amp;"|"&amp;63,IF($B$3="TODAS",'Catálogo'!$U:$U,'Catálogo'!$Q:$Q),0)),1)),"")</f>
      </c>
      <c r="B68" s="40">
        <f>IFERROR(INDEX('Catálogo'!$B:$B,MATCH($B$3&amp;"|"&amp;63,IF($B$3="TODAS",'Catálogo'!$U:$U,'Catálogo'!$Q:$Q),0)),"")</f>
      </c>
      <c r="C68" s="41">
        <f>IFERROR(IF(INDEX('Catálogo'!$R:$R,MATCH($B$3&amp;"|"&amp;63,IF($B$3="TODAS",'Catálogo'!$U:$U,'Catálogo'!$Q:$Q),0))="","Cód: "&amp;INDEX('Catálogo'!$A:$A,MATCH($B$3&amp;"|"&amp;63,IF($B$3="TODAS",'Catálogo'!$U:$U,'Catálogo'!$Q:$Q),0)),"Medidas: "&amp;INDEX('Catálogo'!$R:$R,MATCH($B$3&amp;"|"&amp;63,IF($B$3="TODAS",'Catálogo'!$U:$U,'Catálogo'!$Q:$Q),0))&amp;"  ·  Cód: "&amp;INDEX('Catálogo'!$A:$A,MATCH($B$3&amp;"|"&amp;63,IF($B$3="TODAS",'Catálogo'!$U:$U,'Catálogo'!$Q:$Q),0))),"")</f>
      </c>
      <c r="D68" s="42">
        <f>IFERROR(IF($D$3="Mayor",INDEX('Catálogo'!$O:$O,MATCH($B$3&amp;"|"&amp;63,IF($B$3="TODAS",'Catálogo'!$U:$U,'Catálogo'!$Q:$Q),0)),INDEX('Catálogo'!$N:$N,MATCH($B$3&amp;"|"&amp;63,IF($B$3="TODAS",'Catálogo'!$U:$U,'Catálogo'!$Q:$Q),0))),"")</f>
      </c>
    </row>
    <row r="69" ht="90.00" customHeight="1">
      <c r="A69" s="39">
        <f>IFERROR(IF(INDEX('Catálogo'!$M:$M,MATCH($B$3&amp;"|"&amp;64,IF($B$3="TODAS",'Catálogo'!$U:$U,'Catálogo'!$Q:$Q),0))="","",IMAGE(INDEX('Catálogo'!$M:$M,MATCH($B$3&amp;"|"&amp;64,IF($B$3="TODAS",'Catálogo'!$U:$U,'Catálogo'!$Q:$Q),0)),1)),"")</f>
      </c>
      <c r="B69" s="40">
        <f>IFERROR(INDEX('Catálogo'!$B:$B,MATCH($B$3&amp;"|"&amp;64,IF($B$3="TODAS",'Catálogo'!$U:$U,'Catálogo'!$Q:$Q),0)),"")</f>
      </c>
      <c r="C69" s="41">
        <f>IFERROR(IF(INDEX('Catálogo'!$R:$R,MATCH($B$3&amp;"|"&amp;64,IF($B$3="TODAS",'Catálogo'!$U:$U,'Catálogo'!$Q:$Q),0))="","Cód: "&amp;INDEX('Catálogo'!$A:$A,MATCH($B$3&amp;"|"&amp;64,IF($B$3="TODAS",'Catálogo'!$U:$U,'Catálogo'!$Q:$Q),0)),"Medidas: "&amp;INDEX('Catálogo'!$R:$R,MATCH($B$3&amp;"|"&amp;64,IF($B$3="TODAS",'Catálogo'!$U:$U,'Catálogo'!$Q:$Q),0))&amp;"  ·  Cód: "&amp;INDEX('Catálogo'!$A:$A,MATCH($B$3&amp;"|"&amp;64,IF($B$3="TODAS",'Catálogo'!$U:$U,'Catálogo'!$Q:$Q),0))),"")</f>
      </c>
      <c r="D69" s="42">
        <f>IFERROR(IF($D$3="Mayor",INDEX('Catálogo'!$O:$O,MATCH($B$3&amp;"|"&amp;64,IF($B$3="TODAS",'Catálogo'!$U:$U,'Catálogo'!$Q:$Q),0)),INDEX('Catálogo'!$N:$N,MATCH($B$3&amp;"|"&amp;64,IF($B$3="TODAS",'Catálogo'!$U:$U,'Catálogo'!$Q:$Q),0))),"")</f>
      </c>
    </row>
    <row r="70" ht="90.00" customHeight="1">
      <c r="A70" s="39">
        <f>IFERROR(IF(INDEX('Catálogo'!$M:$M,MATCH($B$3&amp;"|"&amp;65,IF($B$3="TODAS",'Catálogo'!$U:$U,'Catálogo'!$Q:$Q),0))="","",IMAGE(INDEX('Catálogo'!$M:$M,MATCH($B$3&amp;"|"&amp;65,IF($B$3="TODAS",'Catálogo'!$U:$U,'Catálogo'!$Q:$Q),0)),1)),"")</f>
      </c>
      <c r="B70" s="40">
        <f>IFERROR(INDEX('Catálogo'!$B:$B,MATCH($B$3&amp;"|"&amp;65,IF($B$3="TODAS",'Catálogo'!$U:$U,'Catálogo'!$Q:$Q),0)),"")</f>
      </c>
      <c r="C70" s="41">
        <f>IFERROR(IF(INDEX('Catálogo'!$R:$R,MATCH($B$3&amp;"|"&amp;65,IF($B$3="TODAS",'Catálogo'!$U:$U,'Catálogo'!$Q:$Q),0))="","Cód: "&amp;INDEX('Catálogo'!$A:$A,MATCH($B$3&amp;"|"&amp;65,IF($B$3="TODAS",'Catálogo'!$U:$U,'Catálogo'!$Q:$Q),0)),"Medidas: "&amp;INDEX('Catálogo'!$R:$R,MATCH($B$3&amp;"|"&amp;65,IF($B$3="TODAS",'Catálogo'!$U:$U,'Catálogo'!$Q:$Q),0))&amp;"  ·  Cód: "&amp;INDEX('Catálogo'!$A:$A,MATCH($B$3&amp;"|"&amp;65,IF($B$3="TODAS",'Catálogo'!$U:$U,'Catálogo'!$Q:$Q),0))),"")</f>
      </c>
      <c r="D70" s="42">
        <f>IFERROR(IF($D$3="Mayor",INDEX('Catálogo'!$O:$O,MATCH($B$3&amp;"|"&amp;65,IF($B$3="TODAS",'Catálogo'!$U:$U,'Catálogo'!$Q:$Q),0)),INDEX('Catálogo'!$N:$N,MATCH($B$3&amp;"|"&amp;65,IF($B$3="TODAS",'Catálogo'!$U:$U,'Catálogo'!$Q:$Q),0))),"")</f>
      </c>
    </row>
    <row r="71" ht="90.00" customHeight="1">
      <c r="A71" s="39">
        <f>IFERROR(IF(INDEX('Catálogo'!$M:$M,MATCH($B$3&amp;"|"&amp;66,IF($B$3="TODAS",'Catálogo'!$U:$U,'Catálogo'!$Q:$Q),0))="","",IMAGE(INDEX('Catálogo'!$M:$M,MATCH($B$3&amp;"|"&amp;66,IF($B$3="TODAS",'Catálogo'!$U:$U,'Catálogo'!$Q:$Q),0)),1)),"")</f>
      </c>
      <c r="B71" s="40">
        <f>IFERROR(INDEX('Catálogo'!$B:$B,MATCH($B$3&amp;"|"&amp;66,IF($B$3="TODAS",'Catálogo'!$U:$U,'Catálogo'!$Q:$Q),0)),"")</f>
      </c>
      <c r="C71" s="41">
        <f>IFERROR(IF(INDEX('Catálogo'!$R:$R,MATCH($B$3&amp;"|"&amp;66,IF($B$3="TODAS",'Catálogo'!$U:$U,'Catálogo'!$Q:$Q),0))="","Cód: "&amp;INDEX('Catálogo'!$A:$A,MATCH($B$3&amp;"|"&amp;66,IF($B$3="TODAS",'Catálogo'!$U:$U,'Catálogo'!$Q:$Q),0)),"Medidas: "&amp;INDEX('Catálogo'!$R:$R,MATCH($B$3&amp;"|"&amp;66,IF($B$3="TODAS",'Catálogo'!$U:$U,'Catálogo'!$Q:$Q),0))&amp;"  ·  Cód: "&amp;INDEX('Catálogo'!$A:$A,MATCH($B$3&amp;"|"&amp;66,IF($B$3="TODAS",'Catálogo'!$U:$U,'Catálogo'!$Q:$Q),0))),"")</f>
      </c>
      <c r="D71" s="42">
        <f>IFERROR(IF($D$3="Mayor",INDEX('Catálogo'!$O:$O,MATCH($B$3&amp;"|"&amp;66,IF($B$3="TODAS",'Catálogo'!$U:$U,'Catálogo'!$Q:$Q),0)),INDEX('Catálogo'!$N:$N,MATCH($B$3&amp;"|"&amp;66,IF($B$3="TODAS",'Catálogo'!$U:$U,'Catálogo'!$Q:$Q),0))),"")</f>
      </c>
    </row>
    <row r="72" ht="90.00" customHeight="1">
      <c r="A72" s="39">
        <f>IFERROR(IF(INDEX('Catálogo'!$M:$M,MATCH($B$3&amp;"|"&amp;67,IF($B$3="TODAS",'Catálogo'!$U:$U,'Catálogo'!$Q:$Q),0))="","",IMAGE(INDEX('Catálogo'!$M:$M,MATCH($B$3&amp;"|"&amp;67,IF($B$3="TODAS",'Catálogo'!$U:$U,'Catálogo'!$Q:$Q),0)),1)),"")</f>
      </c>
      <c r="B72" s="40">
        <f>IFERROR(INDEX('Catálogo'!$B:$B,MATCH($B$3&amp;"|"&amp;67,IF($B$3="TODAS",'Catálogo'!$U:$U,'Catálogo'!$Q:$Q),0)),"")</f>
      </c>
      <c r="C72" s="41">
        <f>IFERROR(IF(INDEX('Catálogo'!$R:$R,MATCH($B$3&amp;"|"&amp;67,IF($B$3="TODAS",'Catálogo'!$U:$U,'Catálogo'!$Q:$Q),0))="","Cód: "&amp;INDEX('Catálogo'!$A:$A,MATCH($B$3&amp;"|"&amp;67,IF($B$3="TODAS",'Catálogo'!$U:$U,'Catálogo'!$Q:$Q),0)),"Medidas: "&amp;INDEX('Catálogo'!$R:$R,MATCH($B$3&amp;"|"&amp;67,IF($B$3="TODAS",'Catálogo'!$U:$U,'Catálogo'!$Q:$Q),0))&amp;"  ·  Cód: "&amp;INDEX('Catálogo'!$A:$A,MATCH($B$3&amp;"|"&amp;67,IF($B$3="TODAS",'Catálogo'!$U:$U,'Catálogo'!$Q:$Q),0))),"")</f>
      </c>
      <c r="D72" s="42">
        <f>IFERROR(IF($D$3="Mayor",INDEX('Catálogo'!$O:$O,MATCH($B$3&amp;"|"&amp;67,IF($B$3="TODAS",'Catálogo'!$U:$U,'Catálogo'!$Q:$Q),0)),INDEX('Catálogo'!$N:$N,MATCH($B$3&amp;"|"&amp;67,IF($B$3="TODAS",'Catálogo'!$U:$U,'Catálogo'!$Q:$Q),0))),"")</f>
      </c>
    </row>
    <row r="73" ht="90.00" customHeight="1">
      <c r="A73" s="39">
        <f>IFERROR(IF(INDEX('Catálogo'!$M:$M,MATCH($B$3&amp;"|"&amp;68,IF($B$3="TODAS",'Catálogo'!$U:$U,'Catálogo'!$Q:$Q),0))="","",IMAGE(INDEX('Catálogo'!$M:$M,MATCH($B$3&amp;"|"&amp;68,IF($B$3="TODAS",'Catálogo'!$U:$U,'Catálogo'!$Q:$Q),0)),1)),"")</f>
      </c>
      <c r="B73" s="40">
        <f>IFERROR(INDEX('Catálogo'!$B:$B,MATCH($B$3&amp;"|"&amp;68,IF($B$3="TODAS",'Catálogo'!$U:$U,'Catálogo'!$Q:$Q),0)),"")</f>
      </c>
      <c r="C73" s="41">
        <f>IFERROR(IF(INDEX('Catálogo'!$R:$R,MATCH($B$3&amp;"|"&amp;68,IF($B$3="TODAS",'Catálogo'!$U:$U,'Catálogo'!$Q:$Q),0))="","Cód: "&amp;INDEX('Catálogo'!$A:$A,MATCH($B$3&amp;"|"&amp;68,IF($B$3="TODAS",'Catálogo'!$U:$U,'Catálogo'!$Q:$Q),0)),"Medidas: "&amp;INDEX('Catálogo'!$R:$R,MATCH($B$3&amp;"|"&amp;68,IF($B$3="TODAS",'Catálogo'!$U:$U,'Catálogo'!$Q:$Q),0))&amp;"  ·  Cód: "&amp;INDEX('Catálogo'!$A:$A,MATCH($B$3&amp;"|"&amp;68,IF($B$3="TODAS",'Catálogo'!$U:$U,'Catálogo'!$Q:$Q),0))),"")</f>
      </c>
      <c r="D73" s="42">
        <f>IFERROR(IF($D$3="Mayor",INDEX('Catálogo'!$O:$O,MATCH($B$3&amp;"|"&amp;68,IF($B$3="TODAS",'Catálogo'!$U:$U,'Catálogo'!$Q:$Q),0)),INDEX('Catálogo'!$N:$N,MATCH($B$3&amp;"|"&amp;68,IF($B$3="TODAS",'Catálogo'!$U:$U,'Catálogo'!$Q:$Q),0))),"")</f>
      </c>
    </row>
    <row r="74" ht="90.00" customHeight="1">
      <c r="A74" s="39">
        <f>IFERROR(IF(INDEX('Catálogo'!$M:$M,MATCH($B$3&amp;"|"&amp;69,IF($B$3="TODAS",'Catálogo'!$U:$U,'Catálogo'!$Q:$Q),0))="","",IMAGE(INDEX('Catálogo'!$M:$M,MATCH($B$3&amp;"|"&amp;69,IF($B$3="TODAS",'Catálogo'!$U:$U,'Catálogo'!$Q:$Q),0)),1)),"")</f>
      </c>
      <c r="B74" s="40">
        <f>IFERROR(INDEX('Catálogo'!$B:$B,MATCH($B$3&amp;"|"&amp;69,IF($B$3="TODAS",'Catálogo'!$U:$U,'Catálogo'!$Q:$Q),0)),"")</f>
      </c>
      <c r="C74" s="41">
        <f>IFERROR(IF(INDEX('Catálogo'!$R:$R,MATCH($B$3&amp;"|"&amp;69,IF($B$3="TODAS",'Catálogo'!$U:$U,'Catálogo'!$Q:$Q),0))="","Cód: "&amp;INDEX('Catálogo'!$A:$A,MATCH($B$3&amp;"|"&amp;69,IF($B$3="TODAS",'Catálogo'!$U:$U,'Catálogo'!$Q:$Q),0)),"Medidas: "&amp;INDEX('Catálogo'!$R:$R,MATCH($B$3&amp;"|"&amp;69,IF($B$3="TODAS",'Catálogo'!$U:$U,'Catálogo'!$Q:$Q),0))&amp;"  ·  Cód: "&amp;INDEX('Catálogo'!$A:$A,MATCH($B$3&amp;"|"&amp;69,IF($B$3="TODAS",'Catálogo'!$U:$U,'Catálogo'!$Q:$Q),0))),"")</f>
      </c>
      <c r="D74" s="42">
        <f>IFERROR(IF($D$3="Mayor",INDEX('Catálogo'!$O:$O,MATCH($B$3&amp;"|"&amp;69,IF($B$3="TODAS",'Catálogo'!$U:$U,'Catálogo'!$Q:$Q),0)),INDEX('Catálogo'!$N:$N,MATCH($B$3&amp;"|"&amp;69,IF($B$3="TODAS",'Catálogo'!$U:$U,'Catálogo'!$Q:$Q),0))),"")</f>
      </c>
    </row>
    <row r="75" ht="90.00" customHeight="1">
      <c r="A75" s="39">
        <f>IFERROR(IF(INDEX('Catálogo'!$M:$M,MATCH($B$3&amp;"|"&amp;70,IF($B$3="TODAS",'Catálogo'!$U:$U,'Catálogo'!$Q:$Q),0))="","",IMAGE(INDEX('Catálogo'!$M:$M,MATCH($B$3&amp;"|"&amp;70,IF($B$3="TODAS",'Catálogo'!$U:$U,'Catálogo'!$Q:$Q),0)),1)),"")</f>
      </c>
      <c r="B75" s="40">
        <f>IFERROR(INDEX('Catálogo'!$B:$B,MATCH($B$3&amp;"|"&amp;70,IF($B$3="TODAS",'Catálogo'!$U:$U,'Catálogo'!$Q:$Q),0)),"")</f>
      </c>
      <c r="C75" s="41">
        <f>IFERROR(IF(INDEX('Catálogo'!$R:$R,MATCH($B$3&amp;"|"&amp;70,IF($B$3="TODAS",'Catálogo'!$U:$U,'Catálogo'!$Q:$Q),0))="","Cód: "&amp;INDEX('Catálogo'!$A:$A,MATCH($B$3&amp;"|"&amp;70,IF($B$3="TODAS",'Catálogo'!$U:$U,'Catálogo'!$Q:$Q),0)),"Medidas: "&amp;INDEX('Catálogo'!$R:$R,MATCH($B$3&amp;"|"&amp;70,IF($B$3="TODAS",'Catálogo'!$U:$U,'Catálogo'!$Q:$Q),0))&amp;"  ·  Cód: "&amp;INDEX('Catálogo'!$A:$A,MATCH($B$3&amp;"|"&amp;70,IF($B$3="TODAS",'Catálogo'!$U:$U,'Catálogo'!$Q:$Q),0))),"")</f>
      </c>
      <c r="D75" s="42">
        <f>IFERROR(IF($D$3="Mayor",INDEX('Catálogo'!$O:$O,MATCH($B$3&amp;"|"&amp;70,IF($B$3="TODAS",'Catálogo'!$U:$U,'Catálogo'!$Q:$Q),0)),INDEX('Catálogo'!$N:$N,MATCH($B$3&amp;"|"&amp;70,IF($B$3="TODAS",'Catálogo'!$U:$U,'Catálogo'!$Q:$Q),0))),"")</f>
      </c>
    </row>
    <row r="76" ht="90.00" customHeight="1">
      <c r="A76" s="39">
        <f>IFERROR(IF(INDEX('Catálogo'!$M:$M,MATCH($B$3&amp;"|"&amp;71,IF($B$3="TODAS",'Catálogo'!$U:$U,'Catálogo'!$Q:$Q),0))="","",IMAGE(INDEX('Catálogo'!$M:$M,MATCH($B$3&amp;"|"&amp;71,IF($B$3="TODAS",'Catálogo'!$U:$U,'Catálogo'!$Q:$Q),0)),1)),"")</f>
      </c>
      <c r="B76" s="40">
        <f>IFERROR(INDEX('Catálogo'!$B:$B,MATCH($B$3&amp;"|"&amp;71,IF($B$3="TODAS",'Catálogo'!$U:$U,'Catálogo'!$Q:$Q),0)),"")</f>
      </c>
      <c r="C76" s="41">
        <f>IFERROR(IF(INDEX('Catálogo'!$R:$R,MATCH($B$3&amp;"|"&amp;71,IF($B$3="TODAS",'Catálogo'!$U:$U,'Catálogo'!$Q:$Q),0))="","Cód: "&amp;INDEX('Catálogo'!$A:$A,MATCH($B$3&amp;"|"&amp;71,IF($B$3="TODAS",'Catálogo'!$U:$U,'Catálogo'!$Q:$Q),0)),"Medidas: "&amp;INDEX('Catálogo'!$R:$R,MATCH($B$3&amp;"|"&amp;71,IF($B$3="TODAS",'Catálogo'!$U:$U,'Catálogo'!$Q:$Q),0))&amp;"  ·  Cód: "&amp;INDEX('Catálogo'!$A:$A,MATCH($B$3&amp;"|"&amp;71,IF($B$3="TODAS",'Catálogo'!$U:$U,'Catálogo'!$Q:$Q),0))),"")</f>
      </c>
      <c r="D76" s="42">
        <f>IFERROR(IF($D$3="Mayor",INDEX('Catálogo'!$O:$O,MATCH($B$3&amp;"|"&amp;71,IF($B$3="TODAS",'Catálogo'!$U:$U,'Catálogo'!$Q:$Q),0)),INDEX('Catálogo'!$N:$N,MATCH($B$3&amp;"|"&amp;71,IF($B$3="TODAS",'Catálogo'!$U:$U,'Catálogo'!$Q:$Q),0))),"")</f>
      </c>
    </row>
    <row r="77" ht="90.00" customHeight="1">
      <c r="A77" s="39">
        <f>IFERROR(IF(INDEX('Catálogo'!$M:$M,MATCH($B$3&amp;"|"&amp;72,IF($B$3="TODAS",'Catálogo'!$U:$U,'Catálogo'!$Q:$Q),0))="","",IMAGE(INDEX('Catálogo'!$M:$M,MATCH($B$3&amp;"|"&amp;72,IF($B$3="TODAS",'Catálogo'!$U:$U,'Catálogo'!$Q:$Q),0)),1)),"")</f>
      </c>
      <c r="B77" s="40">
        <f>IFERROR(INDEX('Catálogo'!$B:$B,MATCH($B$3&amp;"|"&amp;72,IF($B$3="TODAS",'Catálogo'!$U:$U,'Catálogo'!$Q:$Q),0)),"")</f>
      </c>
      <c r="C77" s="41">
        <f>IFERROR(IF(INDEX('Catálogo'!$R:$R,MATCH($B$3&amp;"|"&amp;72,IF($B$3="TODAS",'Catálogo'!$U:$U,'Catálogo'!$Q:$Q),0))="","Cód: "&amp;INDEX('Catálogo'!$A:$A,MATCH($B$3&amp;"|"&amp;72,IF($B$3="TODAS",'Catálogo'!$U:$U,'Catálogo'!$Q:$Q),0)),"Medidas: "&amp;INDEX('Catálogo'!$R:$R,MATCH($B$3&amp;"|"&amp;72,IF($B$3="TODAS",'Catálogo'!$U:$U,'Catálogo'!$Q:$Q),0))&amp;"  ·  Cód: "&amp;INDEX('Catálogo'!$A:$A,MATCH($B$3&amp;"|"&amp;72,IF($B$3="TODAS",'Catálogo'!$U:$U,'Catálogo'!$Q:$Q),0))),"")</f>
      </c>
      <c r="D77" s="42">
        <f>IFERROR(IF($D$3="Mayor",INDEX('Catálogo'!$O:$O,MATCH($B$3&amp;"|"&amp;72,IF($B$3="TODAS",'Catálogo'!$U:$U,'Catálogo'!$Q:$Q),0)),INDEX('Catálogo'!$N:$N,MATCH($B$3&amp;"|"&amp;72,IF($B$3="TODAS",'Catálogo'!$U:$U,'Catálogo'!$Q:$Q),0))),"")</f>
      </c>
    </row>
    <row r="78" ht="90.00" customHeight="1">
      <c r="A78" s="39">
        <f>IFERROR(IF(INDEX('Catálogo'!$M:$M,MATCH($B$3&amp;"|"&amp;73,IF($B$3="TODAS",'Catálogo'!$U:$U,'Catálogo'!$Q:$Q),0))="","",IMAGE(INDEX('Catálogo'!$M:$M,MATCH($B$3&amp;"|"&amp;73,IF($B$3="TODAS",'Catálogo'!$U:$U,'Catálogo'!$Q:$Q),0)),1)),"")</f>
      </c>
      <c r="B78" s="40">
        <f>IFERROR(INDEX('Catálogo'!$B:$B,MATCH($B$3&amp;"|"&amp;73,IF($B$3="TODAS",'Catálogo'!$U:$U,'Catálogo'!$Q:$Q),0)),"")</f>
      </c>
      <c r="C78" s="41">
        <f>IFERROR(IF(INDEX('Catálogo'!$R:$R,MATCH($B$3&amp;"|"&amp;73,IF($B$3="TODAS",'Catálogo'!$U:$U,'Catálogo'!$Q:$Q),0))="","Cód: "&amp;INDEX('Catálogo'!$A:$A,MATCH($B$3&amp;"|"&amp;73,IF($B$3="TODAS",'Catálogo'!$U:$U,'Catálogo'!$Q:$Q),0)),"Medidas: "&amp;INDEX('Catálogo'!$R:$R,MATCH($B$3&amp;"|"&amp;73,IF($B$3="TODAS",'Catálogo'!$U:$U,'Catálogo'!$Q:$Q),0))&amp;"  ·  Cód: "&amp;INDEX('Catálogo'!$A:$A,MATCH($B$3&amp;"|"&amp;73,IF($B$3="TODAS",'Catálogo'!$U:$U,'Catálogo'!$Q:$Q),0))),"")</f>
      </c>
      <c r="D78" s="42">
        <f>IFERROR(IF($D$3="Mayor",INDEX('Catálogo'!$O:$O,MATCH($B$3&amp;"|"&amp;73,IF($B$3="TODAS",'Catálogo'!$U:$U,'Catálogo'!$Q:$Q),0)),INDEX('Catálogo'!$N:$N,MATCH($B$3&amp;"|"&amp;73,IF($B$3="TODAS",'Catálogo'!$U:$U,'Catálogo'!$Q:$Q),0))),"")</f>
      </c>
    </row>
    <row r="79" ht="90.00" customHeight="1">
      <c r="A79" s="39">
        <f>IFERROR(IF(INDEX('Catálogo'!$M:$M,MATCH($B$3&amp;"|"&amp;74,IF($B$3="TODAS",'Catálogo'!$U:$U,'Catálogo'!$Q:$Q),0))="","",IMAGE(INDEX('Catálogo'!$M:$M,MATCH($B$3&amp;"|"&amp;74,IF($B$3="TODAS",'Catálogo'!$U:$U,'Catálogo'!$Q:$Q),0)),1)),"")</f>
      </c>
      <c r="B79" s="40">
        <f>IFERROR(INDEX('Catálogo'!$B:$B,MATCH($B$3&amp;"|"&amp;74,IF($B$3="TODAS",'Catálogo'!$U:$U,'Catálogo'!$Q:$Q),0)),"")</f>
      </c>
      <c r="C79" s="41">
        <f>IFERROR(IF(INDEX('Catálogo'!$R:$R,MATCH($B$3&amp;"|"&amp;74,IF($B$3="TODAS",'Catálogo'!$U:$U,'Catálogo'!$Q:$Q),0))="","Cód: "&amp;INDEX('Catálogo'!$A:$A,MATCH($B$3&amp;"|"&amp;74,IF($B$3="TODAS",'Catálogo'!$U:$U,'Catálogo'!$Q:$Q),0)),"Medidas: "&amp;INDEX('Catálogo'!$R:$R,MATCH($B$3&amp;"|"&amp;74,IF($B$3="TODAS",'Catálogo'!$U:$U,'Catálogo'!$Q:$Q),0))&amp;"  ·  Cód: "&amp;INDEX('Catálogo'!$A:$A,MATCH($B$3&amp;"|"&amp;74,IF($B$3="TODAS",'Catálogo'!$U:$U,'Catálogo'!$Q:$Q),0))),"")</f>
      </c>
      <c r="D79" s="42">
        <f>IFERROR(IF($D$3="Mayor",INDEX('Catálogo'!$O:$O,MATCH($B$3&amp;"|"&amp;74,IF($B$3="TODAS",'Catálogo'!$U:$U,'Catálogo'!$Q:$Q),0)),INDEX('Catálogo'!$N:$N,MATCH($B$3&amp;"|"&amp;74,IF($B$3="TODAS",'Catálogo'!$U:$U,'Catálogo'!$Q:$Q),0))),"")</f>
      </c>
    </row>
    <row r="80" ht="90.00" customHeight="1">
      <c r="A80" s="39">
        <f>IFERROR(IF(INDEX('Catálogo'!$M:$M,MATCH($B$3&amp;"|"&amp;75,IF($B$3="TODAS",'Catálogo'!$U:$U,'Catálogo'!$Q:$Q),0))="","",IMAGE(INDEX('Catálogo'!$M:$M,MATCH($B$3&amp;"|"&amp;75,IF($B$3="TODAS",'Catálogo'!$U:$U,'Catálogo'!$Q:$Q),0)),1)),"")</f>
      </c>
      <c r="B80" s="40">
        <f>IFERROR(INDEX('Catálogo'!$B:$B,MATCH($B$3&amp;"|"&amp;75,IF($B$3="TODAS",'Catálogo'!$U:$U,'Catálogo'!$Q:$Q),0)),"")</f>
      </c>
      <c r="C80" s="41">
        <f>IFERROR(IF(INDEX('Catálogo'!$R:$R,MATCH($B$3&amp;"|"&amp;75,IF($B$3="TODAS",'Catálogo'!$U:$U,'Catálogo'!$Q:$Q),0))="","Cód: "&amp;INDEX('Catálogo'!$A:$A,MATCH($B$3&amp;"|"&amp;75,IF($B$3="TODAS",'Catálogo'!$U:$U,'Catálogo'!$Q:$Q),0)),"Medidas: "&amp;INDEX('Catálogo'!$R:$R,MATCH($B$3&amp;"|"&amp;75,IF($B$3="TODAS",'Catálogo'!$U:$U,'Catálogo'!$Q:$Q),0))&amp;"  ·  Cód: "&amp;INDEX('Catálogo'!$A:$A,MATCH($B$3&amp;"|"&amp;75,IF($B$3="TODAS",'Catálogo'!$U:$U,'Catálogo'!$Q:$Q),0))),"")</f>
      </c>
      <c r="D80" s="42">
        <f>IFERROR(IF($D$3="Mayor",INDEX('Catálogo'!$O:$O,MATCH($B$3&amp;"|"&amp;75,IF($B$3="TODAS",'Catálogo'!$U:$U,'Catálogo'!$Q:$Q),0)),INDEX('Catálogo'!$N:$N,MATCH($B$3&amp;"|"&amp;75,IF($B$3="TODAS",'Catálogo'!$U:$U,'Catálogo'!$Q:$Q),0))),"")</f>
      </c>
    </row>
    <row r="81" ht="90.00" customHeight="1">
      <c r="A81" s="39">
        <f>IFERROR(IF(INDEX('Catálogo'!$M:$M,MATCH($B$3&amp;"|"&amp;76,IF($B$3="TODAS",'Catálogo'!$U:$U,'Catálogo'!$Q:$Q),0))="","",IMAGE(INDEX('Catálogo'!$M:$M,MATCH($B$3&amp;"|"&amp;76,IF($B$3="TODAS",'Catálogo'!$U:$U,'Catálogo'!$Q:$Q),0)),1)),"")</f>
      </c>
      <c r="B81" s="40">
        <f>IFERROR(INDEX('Catálogo'!$B:$B,MATCH($B$3&amp;"|"&amp;76,IF($B$3="TODAS",'Catálogo'!$U:$U,'Catálogo'!$Q:$Q),0)),"")</f>
      </c>
      <c r="C81" s="41">
        <f>IFERROR(IF(INDEX('Catálogo'!$R:$R,MATCH($B$3&amp;"|"&amp;76,IF($B$3="TODAS",'Catálogo'!$U:$U,'Catálogo'!$Q:$Q),0))="","Cód: "&amp;INDEX('Catálogo'!$A:$A,MATCH($B$3&amp;"|"&amp;76,IF($B$3="TODAS",'Catálogo'!$U:$U,'Catálogo'!$Q:$Q),0)),"Medidas: "&amp;INDEX('Catálogo'!$R:$R,MATCH($B$3&amp;"|"&amp;76,IF($B$3="TODAS",'Catálogo'!$U:$U,'Catálogo'!$Q:$Q),0))&amp;"  ·  Cód: "&amp;INDEX('Catálogo'!$A:$A,MATCH($B$3&amp;"|"&amp;76,IF($B$3="TODAS",'Catálogo'!$U:$U,'Catálogo'!$Q:$Q),0))),"")</f>
      </c>
      <c r="D81" s="42">
        <f>IFERROR(IF($D$3="Mayor",INDEX('Catálogo'!$O:$O,MATCH($B$3&amp;"|"&amp;76,IF($B$3="TODAS",'Catálogo'!$U:$U,'Catálogo'!$Q:$Q),0)),INDEX('Catálogo'!$N:$N,MATCH($B$3&amp;"|"&amp;76,IF($B$3="TODAS",'Catálogo'!$U:$U,'Catálogo'!$Q:$Q),0))),"")</f>
      </c>
    </row>
    <row r="82" ht="90.00" customHeight="1">
      <c r="A82" s="39">
        <f>IFERROR(IF(INDEX('Catálogo'!$M:$M,MATCH($B$3&amp;"|"&amp;77,IF($B$3="TODAS",'Catálogo'!$U:$U,'Catálogo'!$Q:$Q),0))="","",IMAGE(INDEX('Catálogo'!$M:$M,MATCH($B$3&amp;"|"&amp;77,IF($B$3="TODAS",'Catálogo'!$U:$U,'Catálogo'!$Q:$Q),0)),1)),"")</f>
      </c>
      <c r="B82" s="40">
        <f>IFERROR(INDEX('Catálogo'!$B:$B,MATCH($B$3&amp;"|"&amp;77,IF($B$3="TODAS",'Catálogo'!$U:$U,'Catálogo'!$Q:$Q),0)),"")</f>
      </c>
      <c r="C82" s="41">
        <f>IFERROR(IF(INDEX('Catálogo'!$R:$R,MATCH($B$3&amp;"|"&amp;77,IF($B$3="TODAS",'Catálogo'!$U:$U,'Catálogo'!$Q:$Q),0))="","Cód: "&amp;INDEX('Catálogo'!$A:$A,MATCH($B$3&amp;"|"&amp;77,IF($B$3="TODAS",'Catálogo'!$U:$U,'Catálogo'!$Q:$Q),0)),"Medidas: "&amp;INDEX('Catálogo'!$R:$R,MATCH($B$3&amp;"|"&amp;77,IF($B$3="TODAS",'Catálogo'!$U:$U,'Catálogo'!$Q:$Q),0))&amp;"  ·  Cód: "&amp;INDEX('Catálogo'!$A:$A,MATCH($B$3&amp;"|"&amp;77,IF($B$3="TODAS",'Catálogo'!$U:$U,'Catálogo'!$Q:$Q),0))),"")</f>
      </c>
      <c r="D82" s="42">
        <f>IFERROR(IF($D$3="Mayor",INDEX('Catálogo'!$O:$O,MATCH($B$3&amp;"|"&amp;77,IF($B$3="TODAS",'Catálogo'!$U:$U,'Catálogo'!$Q:$Q),0)),INDEX('Catálogo'!$N:$N,MATCH($B$3&amp;"|"&amp;77,IF($B$3="TODAS",'Catálogo'!$U:$U,'Catálogo'!$Q:$Q),0))),"")</f>
      </c>
    </row>
    <row r="83" ht="90.00" customHeight="1">
      <c r="A83" s="39">
        <f>IFERROR(IF(INDEX('Catálogo'!$M:$M,MATCH($B$3&amp;"|"&amp;78,IF($B$3="TODAS",'Catálogo'!$U:$U,'Catálogo'!$Q:$Q),0))="","",IMAGE(INDEX('Catálogo'!$M:$M,MATCH($B$3&amp;"|"&amp;78,IF($B$3="TODAS",'Catálogo'!$U:$U,'Catálogo'!$Q:$Q),0)),1)),"")</f>
      </c>
      <c r="B83" s="40">
        <f>IFERROR(INDEX('Catálogo'!$B:$B,MATCH($B$3&amp;"|"&amp;78,IF($B$3="TODAS",'Catálogo'!$U:$U,'Catálogo'!$Q:$Q),0)),"")</f>
      </c>
      <c r="C83" s="41">
        <f>IFERROR(IF(INDEX('Catálogo'!$R:$R,MATCH($B$3&amp;"|"&amp;78,IF($B$3="TODAS",'Catálogo'!$U:$U,'Catálogo'!$Q:$Q),0))="","Cód: "&amp;INDEX('Catálogo'!$A:$A,MATCH($B$3&amp;"|"&amp;78,IF($B$3="TODAS",'Catálogo'!$U:$U,'Catálogo'!$Q:$Q),0)),"Medidas: "&amp;INDEX('Catálogo'!$R:$R,MATCH($B$3&amp;"|"&amp;78,IF($B$3="TODAS",'Catálogo'!$U:$U,'Catálogo'!$Q:$Q),0))&amp;"  ·  Cód: "&amp;INDEX('Catálogo'!$A:$A,MATCH($B$3&amp;"|"&amp;78,IF($B$3="TODAS",'Catálogo'!$U:$U,'Catálogo'!$Q:$Q),0))),"")</f>
      </c>
      <c r="D83" s="42">
        <f>IFERROR(IF($D$3="Mayor",INDEX('Catálogo'!$O:$O,MATCH($B$3&amp;"|"&amp;78,IF($B$3="TODAS",'Catálogo'!$U:$U,'Catálogo'!$Q:$Q),0)),INDEX('Catálogo'!$N:$N,MATCH($B$3&amp;"|"&amp;78,IF($B$3="TODAS",'Catálogo'!$U:$U,'Catálogo'!$Q:$Q),0))),"")</f>
      </c>
    </row>
    <row r="84" ht="90.00" customHeight="1">
      <c r="A84" s="39">
        <f>IFERROR(IF(INDEX('Catálogo'!$M:$M,MATCH($B$3&amp;"|"&amp;79,IF($B$3="TODAS",'Catálogo'!$U:$U,'Catálogo'!$Q:$Q),0))="","",IMAGE(INDEX('Catálogo'!$M:$M,MATCH($B$3&amp;"|"&amp;79,IF($B$3="TODAS",'Catálogo'!$U:$U,'Catálogo'!$Q:$Q),0)),1)),"")</f>
      </c>
      <c r="B84" s="40">
        <f>IFERROR(INDEX('Catálogo'!$B:$B,MATCH($B$3&amp;"|"&amp;79,IF($B$3="TODAS",'Catálogo'!$U:$U,'Catálogo'!$Q:$Q),0)),"")</f>
      </c>
      <c r="C84" s="41">
        <f>IFERROR(IF(INDEX('Catálogo'!$R:$R,MATCH($B$3&amp;"|"&amp;79,IF($B$3="TODAS",'Catálogo'!$U:$U,'Catálogo'!$Q:$Q),0))="","Cód: "&amp;INDEX('Catálogo'!$A:$A,MATCH($B$3&amp;"|"&amp;79,IF($B$3="TODAS",'Catálogo'!$U:$U,'Catálogo'!$Q:$Q),0)),"Medidas: "&amp;INDEX('Catálogo'!$R:$R,MATCH($B$3&amp;"|"&amp;79,IF($B$3="TODAS",'Catálogo'!$U:$U,'Catálogo'!$Q:$Q),0))&amp;"  ·  Cód: "&amp;INDEX('Catálogo'!$A:$A,MATCH($B$3&amp;"|"&amp;79,IF($B$3="TODAS",'Catálogo'!$U:$U,'Catálogo'!$Q:$Q),0))),"")</f>
      </c>
      <c r="D84" s="42">
        <f>IFERROR(IF($D$3="Mayor",INDEX('Catálogo'!$O:$O,MATCH($B$3&amp;"|"&amp;79,IF($B$3="TODAS",'Catálogo'!$U:$U,'Catálogo'!$Q:$Q),0)),INDEX('Catálogo'!$N:$N,MATCH($B$3&amp;"|"&amp;79,IF($B$3="TODAS",'Catálogo'!$U:$U,'Catálogo'!$Q:$Q),0))),"")</f>
      </c>
    </row>
    <row r="85" ht="90.00" customHeight="1">
      <c r="A85" s="39">
        <f>IFERROR(IF(INDEX('Catálogo'!$M:$M,MATCH($B$3&amp;"|"&amp;80,IF($B$3="TODAS",'Catálogo'!$U:$U,'Catálogo'!$Q:$Q),0))="","",IMAGE(INDEX('Catálogo'!$M:$M,MATCH($B$3&amp;"|"&amp;80,IF($B$3="TODAS",'Catálogo'!$U:$U,'Catálogo'!$Q:$Q),0)),1)),"")</f>
      </c>
      <c r="B85" s="40">
        <f>IFERROR(INDEX('Catálogo'!$B:$B,MATCH($B$3&amp;"|"&amp;80,IF($B$3="TODAS",'Catálogo'!$U:$U,'Catálogo'!$Q:$Q),0)),"")</f>
      </c>
      <c r="C85" s="41">
        <f>IFERROR(IF(INDEX('Catálogo'!$R:$R,MATCH($B$3&amp;"|"&amp;80,IF($B$3="TODAS",'Catálogo'!$U:$U,'Catálogo'!$Q:$Q),0))="","Cód: "&amp;INDEX('Catálogo'!$A:$A,MATCH($B$3&amp;"|"&amp;80,IF($B$3="TODAS",'Catálogo'!$U:$U,'Catálogo'!$Q:$Q),0)),"Medidas: "&amp;INDEX('Catálogo'!$R:$R,MATCH($B$3&amp;"|"&amp;80,IF($B$3="TODAS",'Catálogo'!$U:$U,'Catálogo'!$Q:$Q),0))&amp;"  ·  Cód: "&amp;INDEX('Catálogo'!$A:$A,MATCH($B$3&amp;"|"&amp;80,IF($B$3="TODAS",'Catálogo'!$U:$U,'Catálogo'!$Q:$Q),0))),"")</f>
      </c>
      <c r="D85" s="42">
        <f>IFERROR(IF($D$3="Mayor",INDEX('Catálogo'!$O:$O,MATCH($B$3&amp;"|"&amp;80,IF($B$3="TODAS",'Catálogo'!$U:$U,'Catálogo'!$Q:$Q),0)),INDEX('Catálogo'!$N:$N,MATCH($B$3&amp;"|"&amp;80,IF($B$3="TODAS",'Catálogo'!$U:$U,'Catálogo'!$Q:$Q),0))),"")</f>
      </c>
    </row>
    <row r="86" ht="90.00" customHeight="1">
      <c r="A86" s="39">
        <f>IFERROR(IF(INDEX('Catálogo'!$M:$M,MATCH($B$3&amp;"|"&amp;81,IF($B$3="TODAS",'Catálogo'!$U:$U,'Catálogo'!$Q:$Q),0))="","",IMAGE(INDEX('Catálogo'!$M:$M,MATCH($B$3&amp;"|"&amp;81,IF($B$3="TODAS",'Catálogo'!$U:$U,'Catálogo'!$Q:$Q),0)),1)),"")</f>
      </c>
      <c r="B86" s="40">
        <f>IFERROR(INDEX('Catálogo'!$B:$B,MATCH($B$3&amp;"|"&amp;81,IF($B$3="TODAS",'Catálogo'!$U:$U,'Catálogo'!$Q:$Q),0)),"")</f>
      </c>
      <c r="C86" s="41">
        <f>IFERROR(IF(INDEX('Catálogo'!$R:$R,MATCH($B$3&amp;"|"&amp;81,IF($B$3="TODAS",'Catálogo'!$U:$U,'Catálogo'!$Q:$Q),0))="","Cód: "&amp;INDEX('Catálogo'!$A:$A,MATCH($B$3&amp;"|"&amp;81,IF($B$3="TODAS",'Catálogo'!$U:$U,'Catálogo'!$Q:$Q),0)),"Medidas: "&amp;INDEX('Catálogo'!$R:$R,MATCH($B$3&amp;"|"&amp;81,IF($B$3="TODAS",'Catálogo'!$U:$U,'Catálogo'!$Q:$Q),0))&amp;"  ·  Cód: "&amp;INDEX('Catálogo'!$A:$A,MATCH($B$3&amp;"|"&amp;81,IF($B$3="TODAS",'Catálogo'!$U:$U,'Catálogo'!$Q:$Q),0))),"")</f>
      </c>
      <c r="D86" s="42">
        <f>IFERROR(IF($D$3="Mayor",INDEX('Catálogo'!$O:$O,MATCH($B$3&amp;"|"&amp;81,IF($B$3="TODAS",'Catálogo'!$U:$U,'Catálogo'!$Q:$Q),0)),INDEX('Catálogo'!$N:$N,MATCH($B$3&amp;"|"&amp;81,IF($B$3="TODAS",'Catálogo'!$U:$U,'Catálogo'!$Q:$Q),0))),"")</f>
      </c>
    </row>
    <row r="87" ht="90.00" customHeight="1">
      <c r="A87" s="39">
        <f>IFERROR(IF(INDEX('Catálogo'!$M:$M,MATCH($B$3&amp;"|"&amp;82,IF($B$3="TODAS",'Catálogo'!$U:$U,'Catálogo'!$Q:$Q),0))="","",IMAGE(INDEX('Catálogo'!$M:$M,MATCH($B$3&amp;"|"&amp;82,IF($B$3="TODAS",'Catálogo'!$U:$U,'Catálogo'!$Q:$Q),0)),1)),"")</f>
      </c>
      <c r="B87" s="40">
        <f>IFERROR(INDEX('Catálogo'!$B:$B,MATCH($B$3&amp;"|"&amp;82,IF($B$3="TODAS",'Catálogo'!$U:$U,'Catálogo'!$Q:$Q),0)),"")</f>
      </c>
      <c r="C87" s="41">
        <f>IFERROR(IF(INDEX('Catálogo'!$R:$R,MATCH($B$3&amp;"|"&amp;82,IF($B$3="TODAS",'Catálogo'!$U:$U,'Catálogo'!$Q:$Q),0))="","Cód: "&amp;INDEX('Catálogo'!$A:$A,MATCH($B$3&amp;"|"&amp;82,IF($B$3="TODAS",'Catálogo'!$U:$U,'Catálogo'!$Q:$Q),0)),"Medidas: "&amp;INDEX('Catálogo'!$R:$R,MATCH($B$3&amp;"|"&amp;82,IF($B$3="TODAS",'Catálogo'!$U:$U,'Catálogo'!$Q:$Q),0))&amp;"  ·  Cód: "&amp;INDEX('Catálogo'!$A:$A,MATCH($B$3&amp;"|"&amp;82,IF($B$3="TODAS",'Catálogo'!$U:$U,'Catálogo'!$Q:$Q),0))),"")</f>
      </c>
      <c r="D87" s="42">
        <f>IFERROR(IF($D$3="Mayor",INDEX('Catálogo'!$O:$O,MATCH($B$3&amp;"|"&amp;82,IF($B$3="TODAS",'Catálogo'!$U:$U,'Catálogo'!$Q:$Q),0)),INDEX('Catálogo'!$N:$N,MATCH($B$3&amp;"|"&amp;82,IF($B$3="TODAS",'Catálogo'!$U:$U,'Catálogo'!$Q:$Q),0))),"")</f>
      </c>
    </row>
    <row r="88" ht="90.00" customHeight="1">
      <c r="A88" s="39">
        <f>IFERROR(IF(INDEX('Catálogo'!$M:$M,MATCH($B$3&amp;"|"&amp;83,IF($B$3="TODAS",'Catálogo'!$U:$U,'Catálogo'!$Q:$Q),0))="","",IMAGE(INDEX('Catálogo'!$M:$M,MATCH($B$3&amp;"|"&amp;83,IF($B$3="TODAS",'Catálogo'!$U:$U,'Catálogo'!$Q:$Q),0)),1)),"")</f>
      </c>
      <c r="B88" s="40">
        <f>IFERROR(INDEX('Catálogo'!$B:$B,MATCH($B$3&amp;"|"&amp;83,IF($B$3="TODAS",'Catálogo'!$U:$U,'Catálogo'!$Q:$Q),0)),"")</f>
      </c>
      <c r="C88" s="41">
        <f>IFERROR(IF(INDEX('Catálogo'!$R:$R,MATCH($B$3&amp;"|"&amp;83,IF($B$3="TODAS",'Catálogo'!$U:$U,'Catálogo'!$Q:$Q),0))="","Cód: "&amp;INDEX('Catálogo'!$A:$A,MATCH($B$3&amp;"|"&amp;83,IF($B$3="TODAS",'Catálogo'!$U:$U,'Catálogo'!$Q:$Q),0)),"Medidas: "&amp;INDEX('Catálogo'!$R:$R,MATCH($B$3&amp;"|"&amp;83,IF($B$3="TODAS",'Catálogo'!$U:$U,'Catálogo'!$Q:$Q),0))&amp;"  ·  Cód: "&amp;INDEX('Catálogo'!$A:$A,MATCH($B$3&amp;"|"&amp;83,IF($B$3="TODAS",'Catálogo'!$U:$U,'Catálogo'!$Q:$Q),0))),"")</f>
      </c>
      <c r="D88" s="42">
        <f>IFERROR(IF($D$3="Mayor",INDEX('Catálogo'!$O:$O,MATCH($B$3&amp;"|"&amp;83,IF($B$3="TODAS",'Catálogo'!$U:$U,'Catálogo'!$Q:$Q),0)),INDEX('Catálogo'!$N:$N,MATCH($B$3&amp;"|"&amp;83,IF($B$3="TODAS",'Catálogo'!$U:$U,'Catálogo'!$Q:$Q),0))),"")</f>
      </c>
    </row>
    <row r="89" ht="90.00" customHeight="1">
      <c r="A89" s="39">
        <f>IFERROR(IF(INDEX('Catálogo'!$M:$M,MATCH($B$3&amp;"|"&amp;84,IF($B$3="TODAS",'Catálogo'!$U:$U,'Catálogo'!$Q:$Q),0))="","",IMAGE(INDEX('Catálogo'!$M:$M,MATCH($B$3&amp;"|"&amp;84,IF($B$3="TODAS",'Catálogo'!$U:$U,'Catálogo'!$Q:$Q),0)),1)),"")</f>
      </c>
      <c r="B89" s="40">
        <f>IFERROR(INDEX('Catálogo'!$B:$B,MATCH($B$3&amp;"|"&amp;84,IF($B$3="TODAS",'Catálogo'!$U:$U,'Catálogo'!$Q:$Q),0)),"")</f>
      </c>
      <c r="C89" s="41">
        <f>IFERROR(IF(INDEX('Catálogo'!$R:$R,MATCH($B$3&amp;"|"&amp;84,IF($B$3="TODAS",'Catálogo'!$U:$U,'Catálogo'!$Q:$Q),0))="","Cód: "&amp;INDEX('Catálogo'!$A:$A,MATCH($B$3&amp;"|"&amp;84,IF($B$3="TODAS",'Catálogo'!$U:$U,'Catálogo'!$Q:$Q),0)),"Medidas: "&amp;INDEX('Catálogo'!$R:$R,MATCH($B$3&amp;"|"&amp;84,IF($B$3="TODAS",'Catálogo'!$U:$U,'Catálogo'!$Q:$Q),0))&amp;"  ·  Cód: "&amp;INDEX('Catálogo'!$A:$A,MATCH($B$3&amp;"|"&amp;84,IF($B$3="TODAS",'Catálogo'!$U:$U,'Catálogo'!$Q:$Q),0))),"")</f>
      </c>
      <c r="D89" s="42">
        <f>IFERROR(IF($D$3="Mayor",INDEX('Catálogo'!$O:$O,MATCH($B$3&amp;"|"&amp;84,IF($B$3="TODAS",'Catálogo'!$U:$U,'Catálogo'!$Q:$Q),0)),INDEX('Catálogo'!$N:$N,MATCH($B$3&amp;"|"&amp;84,IF($B$3="TODAS",'Catálogo'!$U:$U,'Catálogo'!$Q:$Q),0))),"")</f>
      </c>
    </row>
    <row r="90" ht="90.00" customHeight="1">
      <c r="A90" s="39">
        <f>IFERROR(IF(INDEX('Catálogo'!$M:$M,MATCH($B$3&amp;"|"&amp;85,IF($B$3="TODAS",'Catálogo'!$U:$U,'Catálogo'!$Q:$Q),0))="","",IMAGE(INDEX('Catálogo'!$M:$M,MATCH($B$3&amp;"|"&amp;85,IF($B$3="TODAS",'Catálogo'!$U:$U,'Catálogo'!$Q:$Q),0)),1)),"")</f>
      </c>
      <c r="B90" s="40">
        <f>IFERROR(INDEX('Catálogo'!$B:$B,MATCH($B$3&amp;"|"&amp;85,IF($B$3="TODAS",'Catálogo'!$U:$U,'Catálogo'!$Q:$Q),0)),"")</f>
      </c>
      <c r="C90" s="41">
        <f>IFERROR(IF(INDEX('Catálogo'!$R:$R,MATCH($B$3&amp;"|"&amp;85,IF($B$3="TODAS",'Catálogo'!$U:$U,'Catálogo'!$Q:$Q),0))="","Cód: "&amp;INDEX('Catálogo'!$A:$A,MATCH($B$3&amp;"|"&amp;85,IF($B$3="TODAS",'Catálogo'!$U:$U,'Catálogo'!$Q:$Q),0)),"Medidas: "&amp;INDEX('Catálogo'!$R:$R,MATCH($B$3&amp;"|"&amp;85,IF($B$3="TODAS",'Catálogo'!$U:$U,'Catálogo'!$Q:$Q),0))&amp;"  ·  Cód: "&amp;INDEX('Catálogo'!$A:$A,MATCH($B$3&amp;"|"&amp;85,IF($B$3="TODAS",'Catálogo'!$U:$U,'Catálogo'!$Q:$Q),0))),"")</f>
      </c>
      <c r="D90" s="42">
        <f>IFERROR(IF($D$3="Mayor",INDEX('Catálogo'!$O:$O,MATCH($B$3&amp;"|"&amp;85,IF($B$3="TODAS",'Catálogo'!$U:$U,'Catálogo'!$Q:$Q),0)),INDEX('Catálogo'!$N:$N,MATCH($B$3&amp;"|"&amp;85,IF($B$3="TODAS",'Catálogo'!$U:$U,'Catálogo'!$Q:$Q),0))),"")</f>
      </c>
    </row>
    <row r="91" ht="90.00" customHeight="1">
      <c r="A91" s="39">
        <f>IFERROR(IF(INDEX('Catálogo'!$M:$M,MATCH($B$3&amp;"|"&amp;86,IF($B$3="TODAS",'Catálogo'!$U:$U,'Catálogo'!$Q:$Q),0))="","",IMAGE(INDEX('Catálogo'!$M:$M,MATCH($B$3&amp;"|"&amp;86,IF($B$3="TODAS",'Catálogo'!$U:$U,'Catálogo'!$Q:$Q),0)),1)),"")</f>
      </c>
      <c r="B91" s="40">
        <f>IFERROR(INDEX('Catálogo'!$B:$B,MATCH($B$3&amp;"|"&amp;86,IF($B$3="TODAS",'Catálogo'!$U:$U,'Catálogo'!$Q:$Q),0)),"")</f>
      </c>
      <c r="C91" s="41">
        <f>IFERROR(IF(INDEX('Catálogo'!$R:$R,MATCH($B$3&amp;"|"&amp;86,IF($B$3="TODAS",'Catálogo'!$U:$U,'Catálogo'!$Q:$Q),0))="","Cód: "&amp;INDEX('Catálogo'!$A:$A,MATCH($B$3&amp;"|"&amp;86,IF($B$3="TODAS",'Catálogo'!$U:$U,'Catálogo'!$Q:$Q),0)),"Medidas: "&amp;INDEX('Catálogo'!$R:$R,MATCH($B$3&amp;"|"&amp;86,IF($B$3="TODAS",'Catálogo'!$U:$U,'Catálogo'!$Q:$Q),0))&amp;"  ·  Cód: "&amp;INDEX('Catálogo'!$A:$A,MATCH($B$3&amp;"|"&amp;86,IF($B$3="TODAS",'Catálogo'!$U:$U,'Catálogo'!$Q:$Q),0))),"")</f>
      </c>
      <c r="D91" s="42">
        <f>IFERROR(IF($D$3="Mayor",INDEX('Catálogo'!$O:$O,MATCH($B$3&amp;"|"&amp;86,IF($B$3="TODAS",'Catálogo'!$U:$U,'Catálogo'!$Q:$Q),0)),INDEX('Catálogo'!$N:$N,MATCH($B$3&amp;"|"&amp;86,IF($B$3="TODAS",'Catálogo'!$U:$U,'Catálogo'!$Q:$Q),0))),"")</f>
      </c>
    </row>
    <row r="92" ht="90.00" customHeight="1">
      <c r="A92" s="39">
        <f>IFERROR(IF(INDEX('Catálogo'!$M:$M,MATCH($B$3&amp;"|"&amp;87,IF($B$3="TODAS",'Catálogo'!$U:$U,'Catálogo'!$Q:$Q),0))="","",IMAGE(INDEX('Catálogo'!$M:$M,MATCH($B$3&amp;"|"&amp;87,IF($B$3="TODAS",'Catálogo'!$U:$U,'Catálogo'!$Q:$Q),0)),1)),"")</f>
      </c>
      <c r="B92" s="40">
        <f>IFERROR(INDEX('Catálogo'!$B:$B,MATCH($B$3&amp;"|"&amp;87,IF($B$3="TODAS",'Catálogo'!$U:$U,'Catálogo'!$Q:$Q),0)),"")</f>
      </c>
      <c r="C92" s="41">
        <f>IFERROR(IF(INDEX('Catálogo'!$R:$R,MATCH($B$3&amp;"|"&amp;87,IF($B$3="TODAS",'Catálogo'!$U:$U,'Catálogo'!$Q:$Q),0))="","Cód: "&amp;INDEX('Catálogo'!$A:$A,MATCH($B$3&amp;"|"&amp;87,IF($B$3="TODAS",'Catálogo'!$U:$U,'Catálogo'!$Q:$Q),0)),"Medidas: "&amp;INDEX('Catálogo'!$R:$R,MATCH($B$3&amp;"|"&amp;87,IF($B$3="TODAS",'Catálogo'!$U:$U,'Catálogo'!$Q:$Q),0))&amp;"  ·  Cód: "&amp;INDEX('Catálogo'!$A:$A,MATCH($B$3&amp;"|"&amp;87,IF($B$3="TODAS",'Catálogo'!$U:$U,'Catálogo'!$Q:$Q),0))),"")</f>
      </c>
      <c r="D92" s="42">
        <f>IFERROR(IF($D$3="Mayor",INDEX('Catálogo'!$O:$O,MATCH($B$3&amp;"|"&amp;87,IF($B$3="TODAS",'Catálogo'!$U:$U,'Catálogo'!$Q:$Q),0)),INDEX('Catálogo'!$N:$N,MATCH($B$3&amp;"|"&amp;87,IF($B$3="TODAS",'Catálogo'!$U:$U,'Catálogo'!$Q:$Q),0))),"")</f>
      </c>
    </row>
    <row r="93" ht="90.00" customHeight="1">
      <c r="A93" s="39">
        <f>IFERROR(IF(INDEX('Catálogo'!$M:$M,MATCH($B$3&amp;"|"&amp;88,IF($B$3="TODAS",'Catálogo'!$U:$U,'Catálogo'!$Q:$Q),0))="","",IMAGE(INDEX('Catálogo'!$M:$M,MATCH($B$3&amp;"|"&amp;88,IF($B$3="TODAS",'Catálogo'!$U:$U,'Catálogo'!$Q:$Q),0)),1)),"")</f>
      </c>
      <c r="B93" s="40">
        <f>IFERROR(INDEX('Catálogo'!$B:$B,MATCH($B$3&amp;"|"&amp;88,IF($B$3="TODAS",'Catálogo'!$U:$U,'Catálogo'!$Q:$Q),0)),"")</f>
      </c>
      <c r="C93" s="41">
        <f>IFERROR(IF(INDEX('Catálogo'!$R:$R,MATCH($B$3&amp;"|"&amp;88,IF($B$3="TODAS",'Catálogo'!$U:$U,'Catálogo'!$Q:$Q),0))="","Cód: "&amp;INDEX('Catálogo'!$A:$A,MATCH($B$3&amp;"|"&amp;88,IF($B$3="TODAS",'Catálogo'!$U:$U,'Catálogo'!$Q:$Q),0)),"Medidas: "&amp;INDEX('Catálogo'!$R:$R,MATCH($B$3&amp;"|"&amp;88,IF($B$3="TODAS",'Catálogo'!$U:$U,'Catálogo'!$Q:$Q),0))&amp;"  ·  Cód: "&amp;INDEX('Catálogo'!$A:$A,MATCH($B$3&amp;"|"&amp;88,IF($B$3="TODAS",'Catálogo'!$U:$U,'Catálogo'!$Q:$Q),0))),"")</f>
      </c>
      <c r="D93" s="42">
        <f>IFERROR(IF($D$3="Mayor",INDEX('Catálogo'!$O:$O,MATCH($B$3&amp;"|"&amp;88,IF($B$3="TODAS",'Catálogo'!$U:$U,'Catálogo'!$Q:$Q),0)),INDEX('Catálogo'!$N:$N,MATCH($B$3&amp;"|"&amp;88,IF($B$3="TODAS",'Catálogo'!$U:$U,'Catálogo'!$Q:$Q),0))),"")</f>
      </c>
    </row>
    <row r="94" ht="90.00" customHeight="1">
      <c r="A94" s="39">
        <f>IFERROR(IF(INDEX('Catálogo'!$M:$M,MATCH($B$3&amp;"|"&amp;89,IF($B$3="TODAS",'Catálogo'!$U:$U,'Catálogo'!$Q:$Q),0))="","",IMAGE(INDEX('Catálogo'!$M:$M,MATCH($B$3&amp;"|"&amp;89,IF($B$3="TODAS",'Catálogo'!$U:$U,'Catálogo'!$Q:$Q),0)),1)),"")</f>
      </c>
      <c r="B94" s="40">
        <f>IFERROR(INDEX('Catálogo'!$B:$B,MATCH($B$3&amp;"|"&amp;89,IF($B$3="TODAS",'Catálogo'!$U:$U,'Catálogo'!$Q:$Q),0)),"")</f>
      </c>
      <c r="C94" s="41">
        <f>IFERROR(IF(INDEX('Catálogo'!$R:$R,MATCH($B$3&amp;"|"&amp;89,IF($B$3="TODAS",'Catálogo'!$U:$U,'Catálogo'!$Q:$Q),0))="","Cód: "&amp;INDEX('Catálogo'!$A:$A,MATCH($B$3&amp;"|"&amp;89,IF($B$3="TODAS",'Catálogo'!$U:$U,'Catálogo'!$Q:$Q),0)),"Medidas: "&amp;INDEX('Catálogo'!$R:$R,MATCH($B$3&amp;"|"&amp;89,IF($B$3="TODAS",'Catálogo'!$U:$U,'Catálogo'!$Q:$Q),0))&amp;"  ·  Cód: "&amp;INDEX('Catálogo'!$A:$A,MATCH($B$3&amp;"|"&amp;89,IF($B$3="TODAS",'Catálogo'!$U:$U,'Catálogo'!$Q:$Q),0))),"")</f>
      </c>
      <c r="D94" s="42">
        <f>IFERROR(IF($D$3="Mayor",INDEX('Catálogo'!$O:$O,MATCH($B$3&amp;"|"&amp;89,IF($B$3="TODAS",'Catálogo'!$U:$U,'Catálogo'!$Q:$Q),0)),INDEX('Catálogo'!$N:$N,MATCH($B$3&amp;"|"&amp;89,IF($B$3="TODAS",'Catálogo'!$U:$U,'Catálogo'!$Q:$Q),0))),"")</f>
      </c>
    </row>
    <row r="95" ht="90.00" customHeight="1">
      <c r="A95" s="39">
        <f>IFERROR(IF(INDEX('Catálogo'!$M:$M,MATCH($B$3&amp;"|"&amp;90,IF($B$3="TODAS",'Catálogo'!$U:$U,'Catálogo'!$Q:$Q),0))="","",IMAGE(INDEX('Catálogo'!$M:$M,MATCH($B$3&amp;"|"&amp;90,IF($B$3="TODAS",'Catálogo'!$U:$U,'Catálogo'!$Q:$Q),0)),1)),"")</f>
      </c>
      <c r="B95" s="40">
        <f>IFERROR(INDEX('Catálogo'!$B:$B,MATCH($B$3&amp;"|"&amp;90,IF($B$3="TODAS",'Catálogo'!$U:$U,'Catálogo'!$Q:$Q),0)),"")</f>
      </c>
      <c r="C95" s="41">
        <f>IFERROR(IF(INDEX('Catálogo'!$R:$R,MATCH($B$3&amp;"|"&amp;90,IF($B$3="TODAS",'Catálogo'!$U:$U,'Catálogo'!$Q:$Q),0))="","Cód: "&amp;INDEX('Catálogo'!$A:$A,MATCH($B$3&amp;"|"&amp;90,IF($B$3="TODAS",'Catálogo'!$U:$U,'Catálogo'!$Q:$Q),0)),"Medidas: "&amp;INDEX('Catálogo'!$R:$R,MATCH($B$3&amp;"|"&amp;90,IF($B$3="TODAS",'Catálogo'!$U:$U,'Catálogo'!$Q:$Q),0))&amp;"  ·  Cód: "&amp;INDEX('Catálogo'!$A:$A,MATCH($B$3&amp;"|"&amp;90,IF($B$3="TODAS",'Catálogo'!$U:$U,'Catálogo'!$Q:$Q),0))),"")</f>
      </c>
      <c r="D95" s="42">
        <f>IFERROR(IF($D$3="Mayor",INDEX('Catálogo'!$O:$O,MATCH($B$3&amp;"|"&amp;90,IF($B$3="TODAS",'Catálogo'!$U:$U,'Catálogo'!$Q:$Q),0)),INDEX('Catálogo'!$N:$N,MATCH($B$3&amp;"|"&amp;90,IF($B$3="TODAS",'Catálogo'!$U:$U,'Catálogo'!$Q:$Q),0))),"")</f>
      </c>
    </row>
    <row r="96" ht="90.00" customHeight="1">
      <c r="A96" s="39">
        <f>IFERROR(IF(INDEX('Catálogo'!$M:$M,MATCH($B$3&amp;"|"&amp;91,IF($B$3="TODAS",'Catálogo'!$U:$U,'Catálogo'!$Q:$Q),0))="","",IMAGE(INDEX('Catálogo'!$M:$M,MATCH($B$3&amp;"|"&amp;91,IF($B$3="TODAS",'Catálogo'!$U:$U,'Catálogo'!$Q:$Q),0)),1)),"")</f>
      </c>
      <c r="B96" s="40">
        <f>IFERROR(INDEX('Catálogo'!$B:$B,MATCH($B$3&amp;"|"&amp;91,IF($B$3="TODAS",'Catálogo'!$U:$U,'Catálogo'!$Q:$Q),0)),"")</f>
      </c>
      <c r="C96" s="41">
        <f>IFERROR(IF(INDEX('Catálogo'!$R:$R,MATCH($B$3&amp;"|"&amp;91,IF($B$3="TODAS",'Catálogo'!$U:$U,'Catálogo'!$Q:$Q),0))="","Cód: "&amp;INDEX('Catálogo'!$A:$A,MATCH($B$3&amp;"|"&amp;91,IF($B$3="TODAS",'Catálogo'!$U:$U,'Catálogo'!$Q:$Q),0)),"Medidas: "&amp;INDEX('Catálogo'!$R:$R,MATCH($B$3&amp;"|"&amp;91,IF($B$3="TODAS",'Catálogo'!$U:$U,'Catálogo'!$Q:$Q),0))&amp;"  ·  Cód: "&amp;INDEX('Catálogo'!$A:$A,MATCH($B$3&amp;"|"&amp;91,IF($B$3="TODAS",'Catálogo'!$U:$U,'Catálogo'!$Q:$Q),0))),"")</f>
      </c>
      <c r="D96" s="42">
        <f>IFERROR(IF($D$3="Mayor",INDEX('Catálogo'!$O:$O,MATCH($B$3&amp;"|"&amp;91,IF($B$3="TODAS",'Catálogo'!$U:$U,'Catálogo'!$Q:$Q),0)),INDEX('Catálogo'!$N:$N,MATCH($B$3&amp;"|"&amp;91,IF($B$3="TODAS",'Catálogo'!$U:$U,'Catálogo'!$Q:$Q),0))),"")</f>
      </c>
    </row>
    <row r="97" ht="90.00" customHeight="1">
      <c r="A97" s="39">
        <f>IFERROR(IF(INDEX('Catálogo'!$M:$M,MATCH($B$3&amp;"|"&amp;92,IF($B$3="TODAS",'Catálogo'!$U:$U,'Catálogo'!$Q:$Q),0))="","",IMAGE(INDEX('Catálogo'!$M:$M,MATCH($B$3&amp;"|"&amp;92,IF($B$3="TODAS",'Catálogo'!$U:$U,'Catálogo'!$Q:$Q),0)),1)),"")</f>
      </c>
      <c r="B97" s="40">
        <f>IFERROR(INDEX('Catálogo'!$B:$B,MATCH($B$3&amp;"|"&amp;92,IF($B$3="TODAS",'Catálogo'!$U:$U,'Catálogo'!$Q:$Q),0)),"")</f>
      </c>
      <c r="C97" s="41">
        <f>IFERROR(IF(INDEX('Catálogo'!$R:$R,MATCH($B$3&amp;"|"&amp;92,IF($B$3="TODAS",'Catálogo'!$U:$U,'Catálogo'!$Q:$Q),0))="","Cód: "&amp;INDEX('Catálogo'!$A:$A,MATCH($B$3&amp;"|"&amp;92,IF($B$3="TODAS",'Catálogo'!$U:$U,'Catálogo'!$Q:$Q),0)),"Medidas: "&amp;INDEX('Catálogo'!$R:$R,MATCH($B$3&amp;"|"&amp;92,IF($B$3="TODAS",'Catálogo'!$U:$U,'Catálogo'!$Q:$Q),0))&amp;"  ·  Cód: "&amp;INDEX('Catálogo'!$A:$A,MATCH($B$3&amp;"|"&amp;92,IF($B$3="TODAS",'Catálogo'!$U:$U,'Catálogo'!$Q:$Q),0))),"")</f>
      </c>
      <c r="D97" s="42">
        <f>IFERROR(IF($D$3="Mayor",INDEX('Catálogo'!$O:$O,MATCH($B$3&amp;"|"&amp;92,IF($B$3="TODAS",'Catálogo'!$U:$U,'Catálogo'!$Q:$Q),0)),INDEX('Catálogo'!$N:$N,MATCH($B$3&amp;"|"&amp;92,IF($B$3="TODAS",'Catálogo'!$U:$U,'Catálogo'!$Q:$Q),0))),"")</f>
      </c>
    </row>
    <row r="98" ht="90.00" customHeight="1">
      <c r="A98" s="39">
        <f>IFERROR(IF(INDEX('Catálogo'!$M:$M,MATCH($B$3&amp;"|"&amp;93,IF($B$3="TODAS",'Catálogo'!$U:$U,'Catálogo'!$Q:$Q),0))="","",IMAGE(INDEX('Catálogo'!$M:$M,MATCH($B$3&amp;"|"&amp;93,IF($B$3="TODAS",'Catálogo'!$U:$U,'Catálogo'!$Q:$Q),0)),1)),"")</f>
      </c>
      <c r="B98" s="40">
        <f>IFERROR(INDEX('Catálogo'!$B:$B,MATCH($B$3&amp;"|"&amp;93,IF($B$3="TODAS",'Catálogo'!$U:$U,'Catálogo'!$Q:$Q),0)),"")</f>
      </c>
      <c r="C98" s="41">
        <f>IFERROR(IF(INDEX('Catálogo'!$R:$R,MATCH($B$3&amp;"|"&amp;93,IF($B$3="TODAS",'Catálogo'!$U:$U,'Catálogo'!$Q:$Q),0))="","Cód: "&amp;INDEX('Catálogo'!$A:$A,MATCH($B$3&amp;"|"&amp;93,IF($B$3="TODAS",'Catálogo'!$U:$U,'Catálogo'!$Q:$Q),0)),"Medidas: "&amp;INDEX('Catálogo'!$R:$R,MATCH($B$3&amp;"|"&amp;93,IF($B$3="TODAS",'Catálogo'!$U:$U,'Catálogo'!$Q:$Q),0))&amp;"  ·  Cód: "&amp;INDEX('Catálogo'!$A:$A,MATCH($B$3&amp;"|"&amp;93,IF($B$3="TODAS",'Catálogo'!$U:$U,'Catálogo'!$Q:$Q),0))),"")</f>
      </c>
      <c r="D98" s="42">
        <f>IFERROR(IF($D$3="Mayor",INDEX('Catálogo'!$O:$O,MATCH($B$3&amp;"|"&amp;93,IF($B$3="TODAS",'Catálogo'!$U:$U,'Catálogo'!$Q:$Q),0)),INDEX('Catálogo'!$N:$N,MATCH($B$3&amp;"|"&amp;93,IF($B$3="TODAS",'Catálogo'!$U:$U,'Catálogo'!$Q:$Q),0))),"")</f>
      </c>
    </row>
    <row r="99" ht="90.00" customHeight="1">
      <c r="A99" s="39">
        <f>IFERROR(IF(INDEX('Catálogo'!$M:$M,MATCH($B$3&amp;"|"&amp;94,IF($B$3="TODAS",'Catálogo'!$U:$U,'Catálogo'!$Q:$Q),0))="","",IMAGE(INDEX('Catálogo'!$M:$M,MATCH($B$3&amp;"|"&amp;94,IF($B$3="TODAS",'Catálogo'!$U:$U,'Catálogo'!$Q:$Q),0)),1)),"")</f>
      </c>
      <c r="B99" s="40">
        <f>IFERROR(INDEX('Catálogo'!$B:$B,MATCH($B$3&amp;"|"&amp;94,IF($B$3="TODAS",'Catálogo'!$U:$U,'Catálogo'!$Q:$Q),0)),"")</f>
      </c>
      <c r="C99" s="41">
        <f>IFERROR(IF(INDEX('Catálogo'!$R:$R,MATCH($B$3&amp;"|"&amp;94,IF($B$3="TODAS",'Catálogo'!$U:$U,'Catálogo'!$Q:$Q),0))="","Cód: "&amp;INDEX('Catálogo'!$A:$A,MATCH($B$3&amp;"|"&amp;94,IF($B$3="TODAS",'Catálogo'!$U:$U,'Catálogo'!$Q:$Q),0)),"Medidas: "&amp;INDEX('Catálogo'!$R:$R,MATCH($B$3&amp;"|"&amp;94,IF($B$3="TODAS",'Catálogo'!$U:$U,'Catálogo'!$Q:$Q),0))&amp;"  ·  Cód: "&amp;INDEX('Catálogo'!$A:$A,MATCH($B$3&amp;"|"&amp;94,IF($B$3="TODAS",'Catálogo'!$U:$U,'Catálogo'!$Q:$Q),0))),"")</f>
      </c>
      <c r="D99" s="42">
        <f>IFERROR(IF($D$3="Mayor",INDEX('Catálogo'!$O:$O,MATCH($B$3&amp;"|"&amp;94,IF($B$3="TODAS",'Catálogo'!$U:$U,'Catálogo'!$Q:$Q),0)),INDEX('Catálogo'!$N:$N,MATCH($B$3&amp;"|"&amp;94,IF($B$3="TODAS",'Catálogo'!$U:$U,'Catálogo'!$Q:$Q),0))),"")</f>
      </c>
    </row>
    <row r="100" ht="90.00" customHeight="1">
      <c r="A100" s="39">
        <f>IFERROR(IF(INDEX('Catálogo'!$M:$M,MATCH($B$3&amp;"|"&amp;95,IF($B$3="TODAS",'Catálogo'!$U:$U,'Catálogo'!$Q:$Q),0))="","",IMAGE(INDEX('Catálogo'!$M:$M,MATCH($B$3&amp;"|"&amp;95,IF($B$3="TODAS",'Catálogo'!$U:$U,'Catálogo'!$Q:$Q),0)),1)),"")</f>
      </c>
      <c r="B100" s="40">
        <f>IFERROR(INDEX('Catálogo'!$B:$B,MATCH($B$3&amp;"|"&amp;95,IF($B$3="TODAS",'Catálogo'!$U:$U,'Catálogo'!$Q:$Q),0)),"")</f>
      </c>
      <c r="C100" s="41">
        <f>IFERROR(IF(INDEX('Catálogo'!$R:$R,MATCH($B$3&amp;"|"&amp;95,IF($B$3="TODAS",'Catálogo'!$U:$U,'Catálogo'!$Q:$Q),0))="","Cód: "&amp;INDEX('Catálogo'!$A:$A,MATCH($B$3&amp;"|"&amp;95,IF($B$3="TODAS",'Catálogo'!$U:$U,'Catálogo'!$Q:$Q),0)),"Medidas: "&amp;INDEX('Catálogo'!$R:$R,MATCH($B$3&amp;"|"&amp;95,IF($B$3="TODAS",'Catálogo'!$U:$U,'Catálogo'!$Q:$Q),0))&amp;"  ·  Cód: "&amp;INDEX('Catálogo'!$A:$A,MATCH($B$3&amp;"|"&amp;95,IF($B$3="TODAS",'Catálogo'!$U:$U,'Catálogo'!$Q:$Q),0))),"")</f>
      </c>
      <c r="D100" s="42">
        <f>IFERROR(IF($D$3="Mayor",INDEX('Catálogo'!$O:$O,MATCH($B$3&amp;"|"&amp;95,IF($B$3="TODAS",'Catálogo'!$U:$U,'Catálogo'!$Q:$Q),0)),INDEX('Catálogo'!$N:$N,MATCH($B$3&amp;"|"&amp;95,IF($B$3="TODAS",'Catálogo'!$U:$U,'Catálogo'!$Q:$Q),0))),"")</f>
      </c>
    </row>
    <row r="101" ht="90.00" customHeight="1">
      <c r="A101" s="39">
        <f>IFERROR(IF(INDEX('Catálogo'!$M:$M,MATCH($B$3&amp;"|"&amp;96,IF($B$3="TODAS",'Catálogo'!$U:$U,'Catálogo'!$Q:$Q),0))="","",IMAGE(INDEX('Catálogo'!$M:$M,MATCH($B$3&amp;"|"&amp;96,IF($B$3="TODAS",'Catálogo'!$U:$U,'Catálogo'!$Q:$Q),0)),1)),"")</f>
      </c>
      <c r="B101" s="40">
        <f>IFERROR(INDEX('Catálogo'!$B:$B,MATCH($B$3&amp;"|"&amp;96,IF($B$3="TODAS",'Catálogo'!$U:$U,'Catálogo'!$Q:$Q),0)),"")</f>
      </c>
      <c r="C101" s="41">
        <f>IFERROR(IF(INDEX('Catálogo'!$R:$R,MATCH($B$3&amp;"|"&amp;96,IF($B$3="TODAS",'Catálogo'!$U:$U,'Catálogo'!$Q:$Q),0))="","Cód: "&amp;INDEX('Catálogo'!$A:$A,MATCH($B$3&amp;"|"&amp;96,IF($B$3="TODAS",'Catálogo'!$U:$U,'Catálogo'!$Q:$Q),0)),"Medidas: "&amp;INDEX('Catálogo'!$R:$R,MATCH($B$3&amp;"|"&amp;96,IF($B$3="TODAS",'Catálogo'!$U:$U,'Catálogo'!$Q:$Q),0))&amp;"  ·  Cód: "&amp;INDEX('Catálogo'!$A:$A,MATCH($B$3&amp;"|"&amp;96,IF($B$3="TODAS",'Catálogo'!$U:$U,'Catálogo'!$Q:$Q),0))),"")</f>
      </c>
      <c r="D101" s="42">
        <f>IFERROR(IF($D$3="Mayor",INDEX('Catálogo'!$O:$O,MATCH($B$3&amp;"|"&amp;96,IF($B$3="TODAS",'Catálogo'!$U:$U,'Catálogo'!$Q:$Q),0)),INDEX('Catálogo'!$N:$N,MATCH($B$3&amp;"|"&amp;96,IF($B$3="TODAS",'Catálogo'!$U:$U,'Catálogo'!$Q:$Q),0))),"")</f>
      </c>
    </row>
    <row r="102" ht="90.00" customHeight="1">
      <c r="A102" s="39">
        <f>IFERROR(IF(INDEX('Catálogo'!$M:$M,MATCH($B$3&amp;"|"&amp;97,IF($B$3="TODAS",'Catálogo'!$U:$U,'Catálogo'!$Q:$Q),0))="","",IMAGE(INDEX('Catálogo'!$M:$M,MATCH($B$3&amp;"|"&amp;97,IF($B$3="TODAS",'Catálogo'!$U:$U,'Catálogo'!$Q:$Q),0)),1)),"")</f>
      </c>
      <c r="B102" s="40">
        <f>IFERROR(INDEX('Catálogo'!$B:$B,MATCH($B$3&amp;"|"&amp;97,IF($B$3="TODAS",'Catálogo'!$U:$U,'Catálogo'!$Q:$Q),0)),"")</f>
      </c>
      <c r="C102" s="41">
        <f>IFERROR(IF(INDEX('Catálogo'!$R:$R,MATCH($B$3&amp;"|"&amp;97,IF($B$3="TODAS",'Catálogo'!$U:$U,'Catálogo'!$Q:$Q),0))="","Cód: "&amp;INDEX('Catálogo'!$A:$A,MATCH($B$3&amp;"|"&amp;97,IF($B$3="TODAS",'Catálogo'!$U:$U,'Catálogo'!$Q:$Q),0)),"Medidas: "&amp;INDEX('Catálogo'!$R:$R,MATCH($B$3&amp;"|"&amp;97,IF($B$3="TODAS",'Catálogo'!$U:$U,'Catálogo'!$Q:$Q),0))&amp;"  ·  Cód: "&amp;INDEX('Catálogo'!$A:$A,MATCH($B$3&amp;"|"&amp;97,IF($B$3="TODAS",'Catálogo'!$U:$U,'Catálogo'!$Q:$Q),0))),"")</f>
      </c>
      <c r="D102" s="42">
        <f>IFERROR(IF($D$3="Mayor",INDEX('Catálogo'!$O:$O,MATCH($B$3&amp;"|"&amp;97,IF($B$3="TODAS",'Catálogo'!$U:$U,'Catálogo'!$Q:$Q),0)),INDEX('Catálogo'!$N:$N,MATCH($B$3&amp;"|"&amp;97,IF($B$3="TODAS",'Catálogo'!$U:$U,'Catálogo'!$Q:$Q),0))),"")</f>
      </c>
    </row>
    <row r="103" ht="90.00" customHeight="1">
      <c r="A103" s="39">
        <f>IFERROR(IF(INDEX('Catálogo'!$M:$M,MATCH($B$3&amp;"|"&amp;98,IF($B$3="TODAS",'Catálogo'!$U:$U,'Catálogo'!$Q:$Q),0))="","",IMAGE(INDEX('Catálogo'!$M:$M,MATCH($B$3&amp;"|"&amp;98,IF($B$3="TODAS",'Catálogo'!$U:$U,'Catálogo'!$Q:$Q),0)),1)),"")</f>
      </c>
      <c r="B103" s="40">
        <f>IFERROR(INDEX('Catálogo'!$B:$B,MATCH($B$3&amp;"|"&amp;98,IF($B$3="TODAS",'Catálogo'!$U:$U,'Catálogo'!$Q:$Q),0)),"")</f>
      </c>
      <c r="C103" s="41">
        <f>IFERROR(IF(INDEX('Catálogo'!$R:$R,MATCH($B$3&amp;"|"&amp;98,IF($B$3="TODAS",'Catálogo'!$U:$U,'Catálogo'!$Q:$Q),0))="","Cód: "&amp;INDEX('Catálogo'!$A:$A,MATCH($B$3&amp;"|"&amp;98,IF($B$3="TODAS",'Catálogo'!$U:$U,'Catálogo'!$Q:$Q),0)),"Medidas: "&amp;INDEX('Catálogo'!$R:$R,MATCH($B$3&amp;"|"&amp;98,IF($B$3="TODAS",'Catálogo'!$U:$U,'Catálogo'!$Q:$Q),0))&amp;"  ·  Cód: "&amp;INDEX('Catálogo'!$A:$A,MATCH($B$3&amp;"|"&amp;98,IF($B$3="TODAS",'Catálogo'!$U:$U,'Catálogo'!$Q:$Q),0))),"")</f>
      </c>
      <c r="D103" s="42">
        <f>IFERROR(IF($D$3="Mayor",INDEX('Catálogo'!$O:$O,MATCH($B$3&amp;"|"&amp;98,IF($B$3="TODAS",'Catálogo'!$U:$U,'Catálogo'!$Q:$Q),0)),INDEX('Catálogo'!$N:$N,MATCH($B$3&amp;"|"&amp;98,IF($B$3="TODAS",'Catálogo'!$U:$U,'Catálogo'!$Q:$Q),0))),"")</f>
      </c>
    </row>
    <row r="104" ht="90.00" customHeight="1">
      <c r="A104" s="39">
        <f>IFERROR(IF(INDEX('Catálogo'!$M:$M,MATCH($B$3&amp;"|"&amp;99,IF($B$3="TODAS",'Catálogo'!$U:$U,'Catálogo'!$Q:$Q),0))="","",IMAGE(INDEX('Catálogo'!$M:$M,MATCH($B$3&amp;"|"&amp;99,IF($B$3="TODAS",'Catálogo'!$U:$U,'Catálogo'!$Q:$Q),0)),1)),"")</f>
      </c>
      <c r="B104" s="40">
        <f>IFERROR(INDEX('Catálogo'!$B:$B,MATCH($B$3&amp;"|"&amp;99,IF($B$3="TODAS",'Catálogo'!$U:$U,'Catálogo'!$Q:$Q),0)),"")</f>
      </c>
      <c r="C104" s="41">
        <f>IFERROR(IF(INDEX('Catálogo'!$R:$R,MATCH($B$3&amp;"|"&amp;99,IF($B$3="TODAS",'Catálogo'!$U:$U,'Catálogo'!$Q:$Q),0))="","Cód: "&amp;INDEX('Catálogo'!$A:$A,MATCH($B$3&amp;"|"&amp;99,IF($B$3="TODAS",'Catálogo'!$U:$U,'Catálogo'!$Q:$Q),0)),"Medidas: "&amp;INDEX('Catálogo'!$R:$R,MATCH($B$3&amp;"|"&amp;99,IF($B$3="TODAS",'Catálogo'!$U:$U,'Catálogo'!$Q:$Q),0))&amp;"  ·  Cód: "&amp;INDEX('Catálogo'!$A:$A,MATCH($B$3&amp;"|"&amp;99,IF($B$3="TODAS",'Catálogo'!$U:$U,'Catálogo'!$Q:$Q),0))),"")</f>
      </c>
      <c r="D104" s="42">
        <f>IFERROR(IF($D$3="Mayor",INDEX('Catálogo'!$O:$O,MATCH($B$3&amp;"|"&amp;99,IF($B$3="TODAS",'Catálogo'!$U:$U,'Catálogo'!$Q:$Q),0)),INDEX('Catálogo'!$N:$N,MATCH($B$3&amp;"|"&amp;99,IF($B$3="TODAS",'Catálogo'!$U:$U,'Catálogo'!$Q:$Q),0))),"")</f>
      </c>
    </row>
    <row r="105" ht="90.00" customHeight="1">
      <c r="A105" s="39">
        <f>IFERROR(IF(INDEX('Catálogo'!$M:$M,MATCH($B$3&amp;"|"&amp;100,IF($B$3="TODAS",'Catálogo'!$U:$U,'Catálogo'!$Q:$Q),0))="","",IMAGE(INDEX('Catálogo'!$M:$M,MATCH($B$3&amp;"|"&amp;100,IF($B$3="TODAS",'Catálogo'!$U:$U,'Catálogo'!$Q:$Q),0)),1)),"")</f>
      </c>
      <c r="B105" s="40">
        <f>IFERROR(INDEX('Catálogo'!$B:$B,MATCH($B$3&amp;"|"&amp;100,IF($B$3="TODAS",'Catálogo'!$U:$U,'Catálogo'!$Q:$Q),0)),"")</f>
      </c>
      <c r="C105" s="41">
        <f>IFERROR(IF(INDEX('Catálogo'!$R:$R,MATCH($B$3&amp;"|"&amp;100,IF($B$3="TODAS",'Catálogo'!$U:$U,'Catálogo'!$Q:$Q),0))="","Cód: "&amp;INDEX('Catálogo'!$A:$A,MATCH($B$3&amp;"|"&amp;100,IF($B$3="TODAS",'Catálogo'!$U:$U,'Catálogo'!$Q:$Q),0)),"Medidas: "&amp;INDEX('Catálogo'!$R:$R,MATCH($B$3&amp;"|"&amp;100,IF($B$3="TODAS",'Catálogo'!$U:$U,'Catálogo'!$Q:$Q),0))&amp;"  ·  Cód: "&amp;INDEX('Catálogo'!$A:$A,MATCH($B$3&amp;"|"&amp;100,IF($B$3="TODAS",'Catálogo'!$U:$U,'Catálogo'!$Q:$Q),0))),"")</f>
      </c>
      <c r="D105" s="42">
        <f>IFERROR(IF($D$3="Mayor",INDEX('Catálogo'!$O:$O,MATCH($B$3&amp;"|"&amp;100,IF($B$3="TODAS",'Catálogo'!$U:$U,'Catálogo'!$Q:$Q),0)),INDEX('Catálogo'!$N:$N,MATCH($B$3&amp;"|"&amp;100,IF($B$3="TODAS",'Catálogo'!$U:$U,'Catálogo'!$Q:$Q),0))),"")</f>
      </c>
    </row>
    <row r="106" ht="90.00" customHeight="1">
      <c r="A106" s="39">
        <f>IFERROR(IF(INDEX('Catálogo'!$M:$M,MATCH($B$3&amp;"|"&amp;101,IF($B$3="TODAS",'Catálogo'!$U:$U,'Catálogo'!$Q:$Q),0))="","",IMAGE(INDEX('Catálogo'!$M:$M,MATCH($B$3&amp;"|"&amp;101,IF($B$3="TODAS",'Catálogo'!$U:$U,'Catálogo'!$Q:$Q),0)),1)),"")</f>
      </c>
      <c r="B106" s="40">
        <f>IFERROR(INDEX('Catálogo'!$B:$B,MATCH($B$3&amp;"|"&amp;101,IF($B$3="TODAS",'Catálogo'!$U:$U,'Catálogo'!$Q:$Q),0)),"")</f>
      </c>
      <c r="C106" s="41">
        <f>IFERROR(IF(INDEX('Catálogo'!$R:$R,MATCH($B$3&amp;"|"&amp;101,IF($B$3="TODAS",'Catálogo'!$U:$U,'Catálogo'!$Q:$Q),0))="","Cód: "&amp;INDEX('Catálogo'!$A:$A,MATCH($B$3&amp;"|"&amp;101,IF($B$3="TODAS",'Catálogo'!$U:$U,'Catálogo'!$Q:$Q),0)),"Medidas: "&amp;INDEX('Catálogo'!$R:$R,MATCH($B$3&amp;"|"&amp;101,IF($B$3="TODAS",'Catálogo'!$U:$U,'Catálogo'!$Q:$Q),0))&amp;"  ·  Cód: "&amp;INDEX('Catálogo'!$A:$A,MATCH($B$3&amp;"|"&amp;101,IF($B$3="TODAS",'Catálogo'!$U:$U,'Catálogo'!$Q:$Q),0))),"")</f>
      </c>
      <c r="D106" s="42">
        <f>IFERROR(IF($D$3="Mayor",INDEX('Catálogo'!$O:$O,MATCH($B$3&amp;"|"&amp;101,IF($B$3="TODAS",'Catálogo'!$U:$U,'Catálogo'!$Q:$Q),0)),INDEX('Catálogo'!$N:$N,MATCH($B$3&amp;"|"&amp;101,IF($B$3="TODAS",'Catálogo'!$U:$U,'Catálogo'!$Q:$Q),0))),"")</f>
      </c>
    </row>
    <row r="107" ht="90.00" customHeight="1">
      <c r="A107" s="39">
        <f>IFERROR(IF(INDEX('Catálogo'!$M:$M,MATCH($B$3&amp;"|"&amp;102,IF($B$3="TODAS",'Catálogo'!$U:$U,'Catálogo'!$Q:$Q),0))="","",IMAGE(INDEX('Catálogo'!$M:$M,MATCH($B$3&amp;"|"&amp;102,IF($B$3="TODAS",'Catálogo'!$U:$U,'Catálogo'!$Q:$Q),0)),1)),"")</f>
      </c>
      <c r="B107" s="40">
        <f>IFERROR(INDEX('Catálogo'!$B:$B,MATCH($B$3&amp;"|"&amp;102,IF($B$3="TODAS",'Catálogo'!$U:$U,'Catálogo'!$Q:$Q),0)),"")</f>
      </c>
      <c r="C107" s="41">
        <f>IFERROR(IF(INDEX('Catálogo'!$R:$R,MATCH($B$3&amp;"|"&amp;102,IF($B$3="TODAS",'Catálogo'!$U:$U,'Catálogo'!$Q:$Q),0))="","Cód: "&amp;INDEX('Catálogo'!$A:$A,MATCH($B$3&amp;"|"&amp;102,IF($B$3="TODAS",'Catálogo'!$U:$U,'Catálogo'!$Q:$Q),0)),"Medidas: "&amp;INDEX('Catálogo'!$R:$R,MATCH($B$3&amp;"|"&amp;102,IF($B$3="TODAS",'Catálogo'!$U:$U,'Catálogo'!$Q:$Q),0))&amp;"  ·  Cód: "&amp;INDEX('Catálogo'!$A:$A,MATCH($B$3&amp;"|"&amp;102,IF($B$3="TODAS",'Catálogo'!$U:$U,'Catálogo'!$Q:$Q),0))),"")</f>
      </c>
      <c r="D107" s="42">
        <f>IFERROR(IF($D$3="Mayor",INDEX('Catálogo'!$O:$O,MATCH($B$3&amp;"|"&amp;102,IF($B$3="TODAS",'Catálogo'!$U:$U,'Catálogo'!$Q:$Q),0)),INDEX('Catálogo'!$N:$N,MATCH($B$3&amp;"|"&amp;102,IF($B$3="TODAS",'Catálogo'!$U:$U,'Catálogo'!$Q:$Q),0))),"")</f>
      </c>
    </row>
    <row r="108" ht="90.00" customHeight="1">
      <c r="A108" s="39">
        <f>IFERROR(IF(INDEX('Catálogo'!$M:$M,MATCH($B$3&amp;"|"&amp;103,IF($B$3="TODAS",'Catálogo'!$U:$U,'Catálogo'!$Q:$Q),0))="","",IMAGE(INDEX('Catálogo'!$M:$M,MATCH($B$3&amp;"|"&amp;103,IF($B$3="TODAS",'Catálogo'!$U:$U,'Catálogo'!$Q:$Q),0)),1)),"")</f>
      </c>
      <c r="B108" s="40">
        <f>IFERROR(INDEX('Catálogo'!$B:$B,MATCH($B$3&amp;"|"&amp;103,IF($B$3="TODAS",'Catálogo'!$U:$U,'Catálogo'!$Q:$Q),0)),"")</f>
      </c>
      <c r="C108" s="41">
        <f>IFERROR(IF(INDEX('Catálogo'!$R:$R,MATCH($B$3&amp;"|"&amp;103,IF($B$3="TODAS",'Catálogo'!$U:$U,'Catálogo'!$Q:$Q),0))="","Cód: "&amp;INDEX('Catálogo'!$A:$A,MATCH($B$3&amp;"|"&amp;103,IF($B$3="TODAS",'Catálogo'!$U:$U,'Catálogo'!$Q:$Q),0)),"Medidas: "&amp;INDEX('Catálogo'!$R:$R,MATCH($B$3&amp;"|"&amp;103,IF($B$3="TODAS",'Catálogo'!$U:$U,'Catálogo'!$Q:$Q),0))&amp;"  ·  Cód: "&amp;INDEX('Catálogo'!$A:$A,MATCH($B$3&amp;"|"&amp;103,IF($B$3="TODAS",'Catálogo'!$U:$U,'Catálogo'!$Q:$Q),0))),"")</f>
      </c>
      <c r="D108" s="42">
        <f>IFERROR(IF($D$3="Mayor",INDEX('Catálogo'!$O:$O,MATCH($B$3&amp;"|"&amp;103,IF($B$3="TODAS",'Catálogo'!$U:$U,'Catálogo'!$Q:$Q),0)),INDEX('Catálogo'!$N:$N,MATCH($B$3&amp;"|"&amp;103,IF($B$3="TODAS",'Catálogo'!$U:$U,'Catálogo'!$Q:$Q),0))),"")</f>
      </c>
    </row>
    <row r="109" ht="90.00" customHeight="1">
      <c r="A109" s="39">
        <f>IFERROR(IF(INDEX('Catálogo'!$M:$M,MATCH($B$3&amp;"|"&amp;104,IF($B$3="TODAS",'Catálogo'!$U:$U,'Catálogo'!$Q:$Q),0))="","",IMAGE(INDEX('Catálogo'!$M:$M,MATCH($B$3&amp;"|"&amp;104,IF($B$3="TODAS",'Catálogo'!$U:$U,'Catálogo'!$Q:$Q),0)),1)),"")</f>
      </c>
      <c r="B109" s="40">
        <f>IFERROR(INDEX('Catálogo'!$B:$B,MATCH($B$3&amp;"|"&amp;104,IF($B$3="TODAS",'Catálogo'!$U:$U,'Catálogo'!$Q:$Q),0)),"")</f>
      </c>
      <c r="C109" s="41">
        <f>IFERROR(IF(INDEX('Catálogo'!$R:$R,MATCH($B$3&amp;"|"&amp;104,IF($B$3="TODAS",'Catálogo'!$U:$U,'Catálogo'!$Q:$Q),0))="","Cód: "&amp;INDEX('Catálogo'!$A:$A,MATCH($B$3&amp;"|"&amp;104,IF($B$3="TODAS",'Catálogo'!$U:$U,'Catálogo'!$Q:$Q),0)),"Medidas: "&amp;INDEX('Catálogo'!$R:$R,MATCH($B$3&amp;"|"&amp;104,IF($B$3="TODAS",'Catálogo'!$U:$U,'Catálogo'!$Q:$Q),0))&amp;"  ·  Cód: "&amp;INDEX('Catálogo'!$A:$A,MATCH($B$3&amp;"|"&amp;104,IF($B$3="TODAS",'Catálogo'!$U:$U,'Catálogo'!$Q:$Q),0))),"")</f>
      </c>
      <c r="D109" s="42">
        <f>IFERROR(IF($D$3="Mayor",INDEX('Catálogo'!$O:$O,MATCH($B$3&amp;"|"&amp;104,IF($B$3="TODAS",'Catálogo'!$U:$U,'Catálogo'!$Q:$Q),0)),INDEX('Catálogo'!$N:$N,MATCH($B$3&amp;"|"&amp;104,IF($B$3="TODAS",'Catálogo'!$U:$U,'Catálogo'!$Q:$Q),0))),"")</f>
      </c>
    </row>
    <row r="110" ht="90.00" customHeight="1">
      <c r="A110" s="39">
        <f>IFERROR(IF(INDEX('Catálogo'!$M:$M,MATCH($B$3&amp;"|"&amp;105,IF($B$3="TODAS",'Catálogo'!$U:$U,'Catálogo'!$Q:$Q),0))="","",IMAGE(INDEX('Catálogo'!$M:$M,MATCH($B$3&amp;"|"&amp;105,IF($B$3="TODAS",'Catálogo'!$U:$U,'Catálogo'!$Q:$Q),0)),1)),"")</f>
      </c>
      <c r="B110" s="40">
        <f>IFERROR(INDEX('Catálogo'!$B:$B,MATCH($B$3&amp;"|"&amp;105,IF($B$3="TODAS",'Catálogo'!$U:$U,'Catálogo'!$Q:$Q),0)),"")</f>
      </c>
      <c r="C110" s="41">
        <f>IFERROR(IF(INDEX('Catálogo'!$R:$R,MATCH($B$3&amp;"|"&amp;105,IF($B$3="TODAS",'Catálogo'!$U:$U,'Catálogo'!$Q:$Q),0))="","Cód: "&amp;INDEX('Catálogo'!$A:$A,MATCH($B$3&amp;"|"&amp;105,IF($B$3="TODAS",'Catálogo'!$U:$U,'Catálogo'!$Q:$Q),0)),"Medidas: "&amp;INDEX('Catálogo'!$R:$R,MATCH($B$3&amp;"|"&amp;105,IF($B$3="TODAS",'Catálogo'!$U:$U,'Catálogo'!$Q:$Q),0))&amp;"  ·  Cód: "&amp;INDEX('Catálogo'!$A:$A,MATCH($B$3&amp;"|"&amp;105,IF($B$3="TODAS",'Catálogo'!$U:$U,'Catálogo'!$Q:$Q),0))),"")</f>
      </c>
      <c r="D110" s="42">
        <f>IFERROR(IF($D$3="Mayor",INDEX('Catálogo'!$O:$O,MATCH($B$3&amp;"|"&amp;105,IF($B$3="TODAS",'Catálogo'!$U:$U,'Catálogo'!$Q:$Q),0)),INDEX('Catálogo'!$N:$N,MATCH($B$3&amp;"|"&amp;105,IF($B$3="TODAS",'Catálogo'!$U:$U,'Catálogo'!$Q:$Q),0))),"")</f>
      </c>
    </row>
    <row r="111" ht="90.00" customHeight="1">
      <c r="A111" s="39">
        <f>IFERROR(IF(INDEX('Catálogo'!$M:$M,MATCH($B$3&amp;"|"&amp;106,IF($B$3="TODAS",'Catálogo'!$U:$U,'Catálogo'!$Q:$Q),0))="","",IMAGE(INDEX('Catálogo'!$M:$M,MATCH($B$3&amp;"|"&amp;106,IF($B$3="TODAS",'Catálogo'!$U:$U,'Catálogo'!$Q:$Q),0)),1)),"")</f>
      </c>
      <c r="B111" s="40">
        <f>IFERROR(INDEX('Catálogo'!$B:$B,MATCH($B$3&amp;"|"&amp;106,IF($B$3="TODAS",'Catálogo'!$U:$U,'Catálogo'!$Q:$Q),0)),"")</f>
      </c>
      <c r="C111" s="41">
        <f>IFERROR(IF(INDEX('Catálogo'!$R:$R,MATCH($B$3&amp;"|"&amp;106,IF($B$3="TODAS",'Catálogo'!$U:$U,'Catálogo'!$Q:$Q),0))="","Cód: "&amp;INDEX('Catálogo'!$A:$A,MATCH($B$3&amp;"|"&amp;106,IF($B$3="TODAS",'Catálogo'!$U:$U,'Catálogo'!$Q:$Q),0)),"Medidas: "&amp;INDEX('Catálogo'!$R:$R,MATCH($B$3&amp;"|"&amp;106,IF($B$3="TODAS",'Catálogo'!$U:$U,'Catálogo'!$Q:$Q),0))&amp;"  ·  Cód: "&amp;INDEX('Catálogo'!$A:$A,MATCH($B$3&amp;"|"&amp;106,IF($B$3="TODAS",'Catálogo'!$U:$U,'Catálogo'!$Q:$Q),0))),"")</f>
      </c>
      <c r="D111" s="42">
        <f>IFERROR(IF($D$3="Mayor",INDEX('Catálogo'!$O:$O,MATCH($B$3&amp;"|"&amp;106,IF($B$3="TODAS",'Catálogo'!$U:$U,'Catálogo'!$Q:$Q),0)),INDEX('Catálogo'!$N:$N,MATCH($B$3&amp;"|"&amp;106,IF($B$3="TODAS",'Catálogo'!$U:$U,'Catálogo'!$Q:$Q),0))),"")</f>
      </c>
    </row>
    <row r="112" ht="90.00" customHeight="1">
      <c r="A112" s="39">
        <f>IFERROR(IF(INDEX('Catálogo'!$M:$M,MATCH($B$3&amp;"|"&amp;107,IF($B$3="TODAS",'Catálogo'!$U:$U,'Catálogo'!$Q:$Q),0))="","",IMAGE(INDEX('Catálogo'!$M:$M,MATCH($B$3&amp;"|"&amp;107,IF($B$3="TODAS",'Catálogo'!$U:$U,'Catálogo'!$Q:$Q),0)),1)),"")</f>
      </c>
      <c r="B112" s="40">
        <f>IFERROR(INDEX('Catálogo'!$B:$B,MATCH($B$3&amp;"|"&amp;107,IF($B$3="TODAS",'Catálogo'!$U:$U,'Catálogo'!$Q:$Q),0)),"")</f>
      </c>
      <c r="C112" s="41">
        <f>IFERROR(IF(INDEX('Catálogo'!$R:$R,MATCH($B$3&amp;"|"&amp;107,IF($B$3="TODAS",'Catálogo'!$U:$U,'Catálogo'!$Q:$Q),0))="","Cód: "&amp;INDEX('Catálogo'!$A:$A,MATCH($B$3&amp;"|"&amp;107,IF($B$3="TODAS",'Catálogo'!$U:$U,'Catálogo'!$Q:$Q),0)),"Medidas: "&amp;INDEX('Catálogo'!$R:$R,MATCH($B$3&amp;"|"&amp;107,IF($B$3="TODAS",'Catálogo'!$U:$U,'Catálogo'!$Q:$Q),0))&amp;"  ·  Cód: "&amp;INDEX('Catálogo'!$A:$A,MATCH($B$3&amp;"|"&amp;107,IF($B$3="TODAS",'Catálogo'!$U:$U,'Catálogo'!$Q:$Q),0))),"")</f>
      </c>
      <c r="D112" s="42">
        <f>IFERROR(IF($D$3="Mayor",INDEX('Catálogo'!$O:$O,MATCH($B$3&amp;"|"&amp;107,IF($B$3="TODAS",'Catálogo'!$U:$U,'Catálogo'!$Q:$Q),0)),INDEX('Catálogo'!$N:$N,MATCH($B$3&amp;"|"&amp;107,IF($B$3="TODAS",'Catálogo'!$U:$U,'Catálogo'!$Q:$Q),0))),"")</f>
      </c>
    </row>
    <row r="113" ht="90.00" customHeight="1">
      <c r="A113" s="39">
        <f>IFERROR(IF(INDEX('Catálogo'!$M:$M,MATCH($B$3&amp;"|"&amp;108,IF($B$3="TODAS",'Catálogo'!$U:$U,'Catálogo'!$Q:$Q),0))="","",IMAGE(INDEX('Catálogo'!$M:$M,MATCH($B$3&amp;"|"&amp;108,IF($B$3="TODAS",'Catálogo'!$U:$U,'Catálogo'!$Q:$Q),0)),1)),"")</f>
      </c>
      <c r="B113" s="40">
        <f>IFERROR(INDEX('Catálogo'!$B:$B,MATCH($B$3&amp;"|"&amp;108,IF($B$3="TODAS",'Catálogo'!$U:$U,'Catálogo'!$Q:$Q),0)),"")</f>
      </c>
      <c r="C113" s="41">
        <f>IFERROR(IF(INDEX('Catálogo'!$R:$R,MATCH($B$3&amp;"|"&amp;108,IF($B$3="TODAS",'Catálogo'!$U:$U,'Catálogo'!$Q:$Q),0))="","Cód: "&amp;INDEX('Catálogo'!$A:$A,MATCH($B$3&amp;"|"&amp;108,IF($B$3="TODAS",'Catálogo'!$U:$U,'Catálogo'!$Q:$Q),0)),"Medidas: "&amp;INDEX('Catálogo'!$R:$R,MATCH($B$3&amp;"|"&amp;108,IF($B$3="TODAS",'Catálogo'!$U:$U,'Catálogo'!$Q:$Q),0))&amp;"  ·  Cód: "&amp;INDEX('Catálogo'!$A:$A,MATCH($B$3&amp;"|"&amp;108,IF($B$3="TODAS",'Catálogo'!$U:$U,'Catálogo'!$Q:$Q),0))),"")</f>
      </c>
      <c r="D113" s="42">
        <f>IFERROR(IF($D$3="Mayor",INDEX('Catálogo'!$O:$O,MATCH($B$3&amp;"|"&amp;108,IF($B$3="TODAS",'Catálogo'!$U:$U,'Catálogo'!$Q:$Q),0)),INDEX('Catálogo'!$N:$N,MATCH($B$3&amp;"|"&amp;108,IF($B$3="TODAS",'Catálogo'!$U:$U,'Catálogo'!$Q:$Q),0))),"")</f>
      </c>
    </row>
    <row r="114" ht="90.00" customHeight="1">
      <c r="A114" s="39">
        <f>IFERROR(IF(INDEX('Catálogo'!$M:$M,MATCH($B$3&amp;"|"&amp;109,IF($B$3="TODAS",'Catálogo'!$U:$U,'Catálogo'!$Q:$Q),0))="","",IMAGE(INDEX('Catálogo'!$M:$M,MATCH($B$3&amp;"|"&amp;109,IF($B$3="TODAS",'Catálogo'!$U:$U,'Catálogo'!$Q:$Q),0)),1)),"")</f>
      </c>
      <c r="B114" s="40">
        <f>IFERROR(INDEX('Catálogo'!$B:$B,MATCH($B$3&amp;"|"&amp;109,IF($B$3="TODAS",'Catálogo'!$U:$U,'Catálogo'!$Q:$Q),0)),"")</f>
      </c>
      <c r="C114" s="41">
        <f>IFERROR(IF(INDEX('Catálogo'!$R:$R,MATCH($B$3&amp;"|"&amp;109,IF($B$3="TODAS",'Catálogo'!$U:$U,'Catálogo'!$Q:$Q),0))="","Cód: "&amp;INDEX('Catálogo'!$A:$A,MATCH($B$3&amp;"|"&amp;109,IF($B$3="TODAS",'Catálogo'!$U:$U,'Catálogo'!$Q:$Q),0)),"Medidas: "&amp;INDEX('Catálogo'!$R:$R,MATCH($B$3&amp;"|"&amp;109,IF($B$3="TODAS",'Catálogo'!$U:$U,'Catálogo'!$Q:$Q),0))&amp;"  ·  Cód: "&amp;INDEX('Catálogo'!$A:$A,MATCH($B$3&amp;"|"&amp;109,IF($B$3="TODAS",'Catálogo'!$U:$U,'Catálogo'!$Q:$Q),0))),"")</f>
      </c>
      <c r="D114" s="42">
        <f>IFERROR(IF($D$3="Mayor",INDEX('Catálogo'!$O:$O,MATCH($B$3&amp;"|"&amp;109,IF($B$3="TODAS",'Catálogo'!$U:$U,'Catálogo'!$Q:$Q),0)),INDEX('Catálogo'!$N:$N,MATCH($B$3&amp;"|"&amp;109,IF($B$3="TODAS",'Catálogo'!$U:$U,'Catálogo'!$Q:$Q),0))),"")</f>
      </c>
    </row>
    <row r="115" ht="90.00" customHeight="1">
      <c r="A115" s="39">
        <f>IFERROR(IF(INDEX('Catálogo'!$M:$M,MATCH($B$3&amp;"|"&amp;110,IF($B$3="TODAS",'Catálogo'!$U:$U,'Catálogo'!$Q:$Q),0))="","",IMAGE(INDEX('Catálogo'!$M:$M,MATCH($B$3&amp;"|"&amp;110,IF($B$3="TODAS",'Catálogo'!$U:$U,'Catálogo'!$Q:$Q),0)),1)),"")</f>
      </c>
      <c r="B115" s="40">
        <f>IFERROR(INDEX('Catálogo'!$B:$B,MATCH($B$3&amp;"|"&amp;110,IF($B$3="TODAS",'Catálogo'!$U:$U,'Catálogo'!$Q:$Q),0)),"")</f>
      </c>
      <c r="C115" s="41">
        <f>IFERROR(IF(INDEX('Catálogo'!$R:$R,MATCH($B$3&amp;"|"&amp;110,IF($B$3="TODAS",'Catálogo'!$U:$U,'Catálogo'!$Q:$Q),0))="","Cód: "&amp;INDEX('Catálogo'!$A:$A,MATCH($B$3&amp;"|"&amp;110,IF($B$3="TODAS",'Catálogo'!$U:$U,'Catálogo'!$Q:$Q),0)),"Medidas: "&amp;INDEX('Catálogo'!$R:$R,MATCH($B$3&amp;"|"&amp;110,IF($B$3="TODAS",'Catálogo'!$U:$U,'Catálogo'!$Q:$Q),0))&amp;"  ·  Cód: "&amp;INDEX('Catálogo'!$A:$A,MATCH($B$3&amp;"|"&amp;110,IF($B$3="TODAS",'Catálogo'!$U:$U,'Catálogo'!$Q:$Q),0))),"")</f>
      </c>
      <c r="D115" s="42">
        <f>IFERROR(IF($D$3="Mayor",INDEX('Catálogo'!$O:$O,MATCH($B$3&amp;"|"&amp;110,IF($B$3="TODAS",'Catálogo'!$U:$U,'Catálogo'!$Q:$Q),0)),INDEX('Catálogo'!$N:$N,MATCH($B$3&amp;"|"&amp;110,IF($B$3="TODAS",'Catálogo'!$U:$U,'Catálogo'!$Q:$Q),0))),"")</f>
      </c>
    </row>
    <row r="116" ht="90.00" customHeight="1">
      <c r="A116" s="39">
        <f>IFERROR(IF(INDEX('Catálogo'!$M:$M,MATCH($B$3&amp;"|"&amp;111,IF($B$3="TODAS",'Catálogo'!$U:$U,'Catálogo'!$Q:$Q),0))="","",IMAGE(INDEX('Catálogo'!$M:$M,MATCH($B$3&amp;"|"&amp;111,IF($B$3="TODAS",'Catálogo'!$U:$U,'Catálogo'!$Q:$Q),0)),1)),"")</f>
      </c>
      <c r="B116" s="40">
        <f>IFERROR(INDEX('Catálogo'!$B:$B,MATCH($B$3&amp;"|"&amp;111,IF($B$3="TODAS",'Catálogo'!$U:$U,'Catálogo'!$Q:$Q),0)),"")</f>
      </c>
      <c r="C116" s="41">
        <f>IFERROR(IF(INDEX('Catálogo'!$R:$R,MATCH($B$3&amp;"|"&amp;111,IF($B$3="TODAS",'Catálogo'!$U:$U,'Catálogo'!$Q:$Q),0))="","Cód: "&amp;INDEX('Catálogo'!$A:$A,MATCH($B$3&amp;"|"&amp;111,IF($B$3="TODAS",'Catálogo'!$U:$U,'Catálogo'!$Q:$Q),0)),"Medidas: "&amp;INDEX('Catálogo'!$R:$R,MATCH($B$3&amp;"|"&amp;111,IF($B$3="TODAS",'Catálogo'!$U:$U,'Catálogo'!$Q:$Q),0))&amp;"  ·  Cód: "&amp;INDEX('Catálogo'!$A:$A,MATCH($B$3&amp;"|"&amp;111,IF($B$3="TODAS",'Catálogo'!$U:$U,'Catálogo'!$Q:$Q),0))),"")</f>
      </c>
      <c r="D116" s="42">
        <f>IFERROR(IF($D$3="Mayor",INDEX('Catálogo'!$O:$O,MATCH($B$3&amp;"|"&amp;111,IF($B$3="TODAS",'Catálogo'!$U:$U,'Catálogo'!$Q:$Q),0)),INDEX('Catálogo'!$N:$N,MATCH($B$3&amp;"|"&amp;111,IF($B$3="TODAS",'Catálogo'!$U:$U,'Catálogo'!$Q:$Q),0))),"")</f>
      </c>
    </row>
    <row r="117" ht="90.00" customHeight="1">
      <c r="A117" s="39">
        <f>IFERROR(IF(INDEX('Catálogo'!$M:$M,MATCH($B$3&amp;"|"&amp;112,IF($B$3="TODAS",'Catálogo'!$U:$U,'Catálogo'!$Q:$Q),0))="","",IMAGE(INDEX('Catálogo'!$M:$M,MATCH($B$3&amp;"|"&amp;112,IF($B$3="TODAS",'Catálogo'!$U:$U,'Catálogo'!$Q:$Q),0)),1)),"")</f>
      </c>
      <c r="B117" s="40">
        <f>IFERROR(INDEX('Catálogo'!$B:$B,MATCH($B$3&amp;"|"&amp;112,IF($B$3="TODAS",'Catálogo'!$U:$U,'Catálogo'!$Q:$Q),0)),"")</f>
      </c>
      <c r="C117" s="41">
        <f>IFERROR(IF(INDEX('Catálogo'!$R:$R,MATCH($B$3&amp;"|"&amp;112,IF($B$3="TODAS",'Catálogo'!$U:$U,'Catálogo'!$Q:$Q),0))="","Cód: "&amp;INDEX('Catálogo'!$A:$A,MATCH($B$3&amp;"|"&amp;112,IF($B$3="TODAS",'Catálogo'!$U:$U,'Catálogo'!$Q:$Q),0)),"Medidas: "&amp;INDEX('Catálogo'!$R:$R,MATCH($B$3&amp;"|"&amp;112,IF($B$3="TODAS",'Catálogo'!$U:$U,'Catálogo'!$Q:$Q),0))&amp;"  ·  Cód: "&amp;INDEX('Catálogo'!$A:$A,MATCH($B$3&amp;"|"&amp;112,IF($B$3="TODAS",'Catálogo'!$U:$U,'Catálogo'!$Q:$Q),0))),"")</f>
      </c>
      <c r="D117" s="42">
        <f>IFERROR(IF($D$3="Mayor",INDEX('Catálogo'!$O:$O,MATCH($B$3&amp;"|"&amp;112,IF($B$3="TODAS",'Catálogo'!$U:$U,'Catálogo'!$Q:$Q),0)),INDEX('Catálogo'!$N:$N,MATCH($B$3&amp;"|"&amp;112,IF($B$3="TODAS",'Catálogo'!$U:$U,'Catálogo'!$Q:$Q),0))),"")</f>
      </c>
    </row>
    <row r="118" ht="90.00" customHeight="1">
      <c r="A118" s="39">
        <f>IFERROR(IF(INDEX('Catálogo'!$M:$M,MATCH($B$3&amp;"|"&amp;113,IF($B$3="TODAS",'Catálogo'!$U:$U,'Catálogo'!$Q:$Q),0))="","",IMAGE(INDEX('Catálogo'!$M:$M,MATCH($B$3&amp;"|"&amp;113,IF($B$3="TODAS",'Catálogo'!$U:$U,'Catálogo'!$Q:$Q),0)),1)),"")</f>
      </c>
      <c r="B118" s="40">
        <f>IFERROR(INDEX('Catálogo'!$B:$B,MATCH($B$3&amp;"|"&amp;113,IF($B$3="TODAS",'Catálogo'!$U:$U,'Catálogo'!$Q:$Q),0)),"")</f>
      </c>
      <c r="C118" s="41">
        <f>IFERROR(IF(INDEX('Catálogo'!$R:$R,MATCH($B$3&amp;"|"&amp;113,IF($B$3="TODAS",'Catálogo'!$U:$U,'Catálogo'!$Q:$Q),0))="","Cód: "&amp;INDEX('Catálogo'!$A:$A,MATCH($B$3&amp;"|"&amp;113,IF($B$3="TODAS",'Catálogo'!$U:$U,'Catálogo'!$Q:$Q),0)),"Medidas: "&amp;INDEX('Catálogo'!$R:$R,MATCH($B$3&amp;"|"&amp;113,IF($B$3="TODAS",'Catálogo'!$U:$U,'Catálogo'!$Q:$Q),0))&amp;"  ·  Cód: "&amp;INDEX('Catálogo'!$A:$A,MATCH($B$3&amp;"|"&amp;113,IF($B$3="TODAS",'Catálogo'!$U:$U,'Catálogo'!$Q:$Q),0))),"")</f>
      </c>
      <c r="D118" s="42">
        <f>IFERROR(IF($D$3="Mayor",INDEX('Catálogo'!$O:$O,MATCH($B$3&amp;"|"&amp;113,IF($B$3="TODAS",'Catálogo'!$U:$U,'Catálogo'!$Q:$Q),0)),INDEX('Catálogo'!$N:$N,MATCH($B$3&amp;"|"&amp;113,IF($B$3="TODAS",'Catálogo'!$U:$U,'Catálogo'!$Q:$Q),0))),"")</f>
      </c>
    </row>
    <row r="119" ht="90.00" customHeight="1">
      <c r="A119" s="39">
        <f>IFERROR(IF(INDEX('Catálogo'!$M:$M,MATCH($B$3&amp;"|"&amp;114,IF($B$3="TODAS",'Catálogo'!$U:$U,'Catálogo'!$Q:$Q),0))="","",IMAGE(INDEX('Catálogo'!$M:$M,MATCH($B$3&amp;"|"&amp;114,IF($B$3="TODAS",'Catálogo'!$U:$U,'Catálogo'!$Q:$Q),0)),1)),"")</f>
      </c>
      <c r="B119" s="40">
        <f>IFERROR(INDEX('Catálogo'!$B:$B,MATCH($B$3&amp;"|"&amp;114,IF($B$3="TODAS",'Catálogo'!$U:$U,'Catálogo'!$Q:$Q),0)),"")</f>
      </c>
      <c r="C119" s="41">
        <f>IFERROR(IF(INDEX('Catálogo'!$R:$R,MATCH($B$3&amp;"|"&amp;114,IF($B$3="TODAS",'Catálogo'!$U:$U,'Catálogo'!$Q:$Q),0))="","Cód: "&amp;INDEX('Catálogo'!$A:$A,MATCH($B$3&amp;"|"&amp;114,IF($B$3="TODAS",'Catálogo'!$U:$U,'Catálogo'!$Q:$Q),0)),"Medidas: "&amp;INDEX('Catálogo'!$R:$R,MATCH($B$3&amp;"|"&amp;114,IF($B$3="TODAS",'Catálogo'!$U:$U,'Catálogo'!$Q:$Q),0))&amp;"  ·  Cód: "&amp;INDEX('Catálogo'!$A:$A,MATCH($B$3&amp;"|"&amp;114,IF($B$3="TODAS",'Catálogo'!$U:$U,'Catálogo'!$Q:$Q),0))),"")</f>
      </c>
      <c r="D119" s="42">
        <f>IFERROR(IF($D$3="Mayor",INDEX('Catálogo'!$O:$O,MATCH($B$3&amp;"|"&amp;114,IF($B$3="TODAS",'Catálogo'!$U:$U,'Catálogo'!$Q:$Q),0)),INDEX('Catálogo'!$N:$N,MATCH($B$3&amp;"|"&amp;114,IF($B$3="TODAS",'Catálogo'!$U:$U,'Catálogo'!$Q:$Q),0))),"")</f>
      </c>
    </row>
    <row r="120" ht="90.00" customHeight="1">
      <c r="A120" s="39">
        <f>IFERROR(IF(INDEX('Catálogo'!$M:$M,MATCH($B$3&amp;"|"&amp;115,IF($B$3="TODAS",'Catálogo'!$U:$U,'Catálogo'!$Q:$Q),0))="","",IMAGE(INDEX('Catálogo'!$M:$M,MATCH($B$3&amp;"|"&amp;115,IF($B$3="TODAS",'Catálogo'!$U:$U,'Catálogo'!$Q:$Q),0)),1)),"")</f>
      </c>
      <c r="B120" s="40">
        <f>IFERROR(INDEX('Catálogo'!$B:$B,MATCH($B$3&amp;"|"&amp;115,IF($B$3="TODAS",'Catálogo'!$U:$U,'Catálogo'!$Q:$Q),0)),"")</f>
      </c>
      <c r="C120" s="41">
        <f>IFERROR(IF(INDEX('Catálogo'!$R:$R,MATCH($B$3&amp;"|"&amp;115,IF($B$3="TODAS",'Catálogo'!$U:$U,'Catálogo'!$Q:$Q),0))="","Cód: "&amp;INDEX('Catálogo'!$A:$A,MATCH($B$3&amp;"|"&amp;115,IF($B$3="TODAS",'Catálogo'!$U:$U,'Catálogo'!$Q:$Q),0)),"Medidas: "&amp;INDEX('Catálogo'!$R:$R,MATCH($B$3&amp;"|"&amp;115,IF($B$3="TODAS",'Catálogo'!$U:$U,'Catálogo'!$Q:$Q),0))&amp;"  ·  Cód: "&amp;INDEX('Catálogo'!$A:$A,MATCH($B$3&amp;"|"&amp;115,IF($B$3="TODAS",'Catálogo'!$U:$U,'Catálogo'!$Q:$Q),0))),"")</f>
      </c>
      <c r="D120" s="42">
        <f>IFERROR(IF($D$3="Mayor",INDEX('Catálogo'!$O:$O,MATCH($B$3&amp;"|"&amp;115,IF($B$3="TODAS",'Catálogo'!$U:$U,'Catálogo'!$Q:$Q),0)),INDEX('Catálogo'!$N:$N,MATCH($B$3&amp;"|"&amp;115,IF($B$3="TODAS",'Catálogo'!$U:$U,'Catálogo'!$Q:$Q),0))),"")</f>
      </c>
    </row>
    <row r="121" ht="90.00" customHeight="1">
      <c r="A121" s="39">
        <f>IFERROR(IF(INDEX('Catálogo'!$M:$M,MATCH($B$3&amp;"|"&amp;116,IF($B$3="TODAS",'Catálogo'!$U:$U,'Catálogo'!$Q:$Q),0))="","",IMAGE(INDEX('Catálogo'!$M:$M,MATCH($B$3&amp;"|"&amp;116,IF($B$3="TODAS",'Catálogo'!$U:$U,'Catálogo'!$Q:$Q),0)),1)),"")</f>
      </c>
      <c r="B121" s="40">
        <f>IFERROR(INDEX('Catálogo'!$B:$B,MATCH($B$3&amp;"|"&amp;116,IF($B$3="TODAS",'Catálogo'!$U:$U,'Catálogo'!$Q:$Q),0)),"")</f>
      </c>
      <c r="C121" s="41">
        <f>IFERROR(IF(INDEX('Catálogo'!$R:$R,MATCH($B$3&amp;"|"&amp;116,IF($B$3="TODAS",'Catálogo'!$U:$U,'Catálogo'!$Q:$Q),0))="","Cód: "&amp;INDEX('Catálogo'!$A:$A,MATCH($B$3&amp;"|"&amp;116,IF($B$3="TODAS",'Catálogo'!$U:$U,'Catálogo'!$Q:$Q),0)),"Medidas: "&amp;INDEX('Catálogo'!$R:$R,MATCH($B$3&amp;"|"&amp;116,IF($B$3="TODAS",'Catálogo'!$U:$U,'Catálogo'!$Q:$Q),0))&amp;"  ·  Cód: "&amp;INDEX('Catálogo'!$A:$A,MATCH($B$3&amp;"|"&amp;116,IF($B$3="TODAS",'Catálogo'!$U:$U,'Catálogo'!$Q:$Q),0))),"")</f>
      </c>
      <c r="D121" s="42">
        <f>IFERROR(IF($D$3="Mayor",INDEX('Catálogo'!$O:$O,MATCH($B$3&amp;"|"&amp;116,IF($B$3="TODAS",'Catálogo'!$U:$U,'Catálogo'!$Q:$Q),0)),INDEX('Catálogo'!$N:$N,MATCH($B$3&amp;"|"&amp;116,IF($B$3="TODAS",'Catálogo'!$U:$U,'Catálogo'!$Q:$Q),0))),"")</f>
      </c>
    </row>
    <row r="122" ht="90.00" customHeight="1">
      <c r="A122" s="39">
        <f>IFERROR(IF(INDEX('Catálogo'!$M:$M,MATCH($B$3&amp;"|"&amp;117,IF($B$3="TODAS",'Catálogo'!$U:$U,'Catálogo'!$Q:$Q),0))="","",IMAGE(INDEX('Catálogo'!$M:$M,MATCH($B$3&amp;"|"&amp;117,IF($B$3="TODAS",'Catálogo'!$U:$U,'Catálogo'!$Q:$Q),0)),1)),"")</f>
      </c>
      <c r="B122" s="40">
        <f>IFERROR(INDEX('Catálogo'!$B:$B,MATCH($B$3&amp;"|"&amp;117,IF($B$3="TODAS",'Catálogo'!$U:$U,'Catálogo'!$Q:$Q),0)),"")</f>
      </c>
      <c r="C122" s="41">
        <f>IFERROR(IF(INDEX('Catálogo'!$R:$R,MATCH($B$3&amp;"|"&amp;117,IF($B$3="TODAS",'Catálogo'!$U:$U,'Catálogo'!$Q:$Q),0))="","Cód: "&amp;INDEX('Catálogo'!$A:$A,MATCH($B$3&amp;"|"&amp;117,IF($B$3="TODAS",'Catálogo'!$U:$U,'Catálogo'!$Q:$Q),0)),"Medidas: "&amp;INDEX('Catálogo'!$R:$R,MATCH($B$3&amp;"|"&amp;117,IF($B$3="TODAS",'Catálogo'!$U:$U,'Catálogo'!$Q:$Q),0))&amp;"  ·  Cód: "&amp;INDEX('Catálogo'!$A:$A,MATCH($B$3&amp;"|"&amp;117,IF($B$3="TODAS",'Catálogo'!$U:$U,'Catálogo'!$Q:$Q),0))),"")</f>
      </c>
      <c r="D122" s="42">
        <f>IFERROR(IF($D$3="Mayor",INDEX('Catálogo'!$O:$O,MATCH($B$3&amp;"|"&amp;117,IF($B$3="TODAS",'Catálogo'!$U:$U,'Catálogo'!$Q:$Q),0)),INDEX('Catálogo'!$N:$N,MATCH($B$3&amp;"|"&amp;117,IF($B$3="TODAS",'Catálogo'!$U:$U,'Catálogo'!$Q:$Q),0))),"")</f>
      </c>
    </row>
    <row r="123" ht="90.00" customHeight="1">
      <c r="A123" s="39">
        <f>IFERROR(IF(INDEX('Catálogo'!$M:$M,MATCH($B$3&amp;"|"&amp;118,IF($B$3="TODAS",'Catálogo'!$U:$U,'Catálogo'!$Q:$Q),0))="","",IMAGE(INDEX('Catálogo'!$M:$M,MATCH($B$3&amp;"|"&amp;118,IF($B$3="TODAS",'Catálogo'!$U:$U,'Catálogo'!$Q:$Q),0)),1)),"")</f>
      </c>
      <c r="B123" s="40">
        <f>IFERROR(INDEX('Catálogo'!$B:$B,MATCH($B$3&amp;"|"&amp;118,IF($B$3="TODAS",'Catálogo'!$U:$U,'Catálogo'!$Q:$Q),0)),"")</f>
      </c>
      <c r="C123" s="41">
        <f>IFERROR(IF(INDEX('Catálogo'!$R:$R,MATCH($B$3&amp;"|"&amp;118,IF($B$3="TODAS",'Catálogo'!$U:$U,'Catálogo'!$Q:$Q),0))="","Cód: "&amp;INDEX('Catálogo'!$A:$A,MATCH($B$3&amp;"|"&amp;118,IF($B$3="TODAS",'Catálogo'!$U:$U,'Catálogo'!$Q:$Q),0)),"Medidas: "&amp;INDEX('Catálogo'!$R:$R,MATCH($B$3&amp;"|"&amp;118,IF($B$3="TODAS",'Catálogo'!$U:$U,'Catálogo'!$Q:$Q),0))&amp;"  ·  Cód: "&amp;INDEX('Catálogo'!$A:$A,MATCH($B$3&amp;"|"&amp;118,IF($B$3="TODAS",'Catálogo'!$U:$U,'Catálogo'!$Q:$Q),0))),"")</f>
      </c>
      <c r="D123" s="42">
        <f>IFERROR(IF($D$3="Mayor",INDEX('Catálogo'!$O:$O,MATCH($B$3&amp;"|"&amp;118,IF($B$3="TODAS",'Catálogo'!$U:$U,'Catálogo'!$Q:$Q),0)),INDEX('Catálogo'!$N:$N,MATCH($B$3&amp;"|"&amp;118,IF($B$3="TODAS",'Catálogo'!$U:$U,'Catálogo'!$Q:$Q),0))),"")</f>
      </c>
    </row>
    <row r="124" ht="90.00" customHeight="1">
      <c r="A124" s="39">
        <f>IFERROR(IF(INDEX('Catálogo'!$M:$M,MATCH($B$3&amp;"|"&amp;119,IF($B$3="TODAS",'Catálogo'!$U:$U,'Catálogo'!$Q:$Q),0))="","",IMAGE(INDEX('Catálogo'!$M:$M,MATCH($B$3&amp;"|"&amp;119,IF($B$3="TODAS",'Catálogo'!$U:$U,'Catálogo'!$Q:$Q),0)),1)),"")</f>
      </c>
      <c r="B124" s="40">
        <f>IFERROR(INDEX('Catálogo'!$B:$B,MATCH($B$3&amp;"|"&amp;119,IF($B$3="TODAS",'Catálogo'!$U:$U,'Catálogo'!$Q:$Q),0)),"")</f>
      </c>
      <c r="C124" s="41">
        <f>IFERROR(IF(INDEX('Catálogo'!$R:$R,MATCH($B$3&amp;"|"&amp;119,IF($B$3="TODAS",'Catálogo'!$U:$U,'Catálogo'!$Q:$Q),0))="","Cód: "&amp;INDEX('Catálogo'!$A:$A,MATCH($B$3&amp;"|"&amp;119,IF($B$3="TODAS",'Catálogo'!$U:$U,'Catálogo'!$Q:$Q),0)),"Medidas: "&amp;INDEX('Catálogo'!$R:$R,MATCH($B$3&amp;"|"&amp;119,IF($B$3="TODAS",'Catálogo'!$U:$U,'Catálogo'!$Q:$Q),0))&amp;"  ·  Cód: "&amp;INDEX('Catálogo'!$A:$A,MATCH($B$3&amp;"|"&amp;119,IF($B$3="TODAS",'Catálogo'!$U:$U,'Catálogo'!$Q:$Q),0))),"")</f>
      </c>
      <c r="D124" s="42">
        <f>IFERROR(IF($D$3="Mayor",INDEX('Catálogo'!$O:$O,MATCH($B$3&amp;"|"&amp;119,IF($B$3="TODAS",'Catálogo'!$U:$U,'Catálogo'!$Q:$Q),0)),INDEX('Catálogo'!$N:$N,MATCH($B$3&amp;"|"&amp;119,IF($B$3="TODAS",'Catálogo'!$U:$U,'Catálogo'!$Q:$Q),0))),"")</f>
      </c>
    </row>
    <row r="125" ht="90.00" customHeight="1">
      <c r="A125" s="39">
        <f>IFERROR(IF(INDEX('Catálogo'!$M:$M,MATCH($B$3&amp;"|"&amp;120,IF($B$3="TODAS",'Catálogo'!$U:$U,'Catálogo'!$Q:$Q),0))="","",IMAGE(INDEX('Catálogo'!$M:$M,MATCH($B$3&amp;"|"&amp;120,IF($B$3="TODAS",'Catálogo'!$U:$U,'Catálogo'!$Q:$Q),0)),1)),"")</f>
      </c>
      <c r="B125" s="40">
        <f>IFERROR(INDEX('Catálogo'!$B:$B,MATCH($B$3&amp;"|"&amp;120,IF($B$3="TODAS",'Catálogo'!$U:$U,'Catálogo'!$Q:$Q),0)),"")</f>
      </c>
      <c r="C125" s="41">
        <f>IFERROR(IF(INDEX('Catálogo'!$R:$R,MATCH($B$3&amp;"|"&amp;120,IF($B$3="TODAS",'Catálogo'!$U:$U,'Catálogo'!$Q:$Q),0))="","Cód: "&amp;INDEX('Catálogo'!$A:$A,MATCH($B$3&amp;"|"&amp;120,IF($B$3="TODAS",'Catálogo'!$U:$U,'Catálogo'!$Q:$Q),0)),"Medidas: "&amp;INDEX('Catálogo'!$R:$R,MATCH($B$3&amp;"|"&amp;120,IF($B$3="TODAS",'Catálogo'!$U:$U,'Catálogo'!$Q:$Q),0))&amp;"  ·  Cód: "&amp;INDEX('Catálogo'!$A:$A,MATCH($B$3&amp;"|"&amp;120,IF($B$3="TODAS",'Catálogo'!$U:$U,'Catálogo'!$Q:$Q),0))),"")</f>
      </c>
      <c r="D125" s="42">
        <f>IFERROR(IF($D$3="Mayor",INDEX('Catálogo'!$O:$O,MATCH($B$3&amp;"|"&amp;120,IF($B$3="TODAS",'Catálogo'!$U:$U,'Catálogo'!$Q:$Q),0)),INDEX('Catálogo'!$N:$N,MATCH($B$3&amp;"|"&amp;120,IF($B$3="TODAS",'Catálogo'!$U:$U,'Catálogo'!$Q:$Q),0))),"")</f>
      </c>
    </row>
    <row r="126" ht="90.00" customHeight="1">
      <c r="A126" s="39">
        <f>IFERROR(IF(INDEX('Catálogo'!$M:$M,MATCH($B$3&amp;"|"&amp;121,IF($B$3="TODAS",'Catálogo'!$U:$U,'Catálogo'!$Q:$Q),0))="","",IMAGE(INDEX('Catálogo'!$M:$M,MATCH($B$3&amp;"|"&amp;121,IF($B$3="TODAS",'Catálogo'!$U:$U,'Catálogo'!$Q:$Q),0)),1)),"")</f>
      </c>
      <c r="B126" s="40">
        <f>IFERROR(INDEX('Catálogo'!$B:$B,MATCH($B$3&amp;"|"&amp;121,IF($B$3="TODAS",'Catálogo'!$U:$U,'Catálogo'!$Q:$Q),0)),"")</f>
      </c>
      <c r="C126" s="41">
        <f>IFERROR(IF(INDEX('Catálogo'!$R:$R,MATCH($B$3&amp;"|"&amp;121,IF($B$3="TODAS",'Catálogo'!$U:$U,'Catálogo'!$Q:$Q),0))="","Cód: "&amp;INDEX('Catálogo'!$A:$A,MATCH($B$3&amp;"|"&amp;121,IF($B$3="TODAS",'Catálogo'!$U:$U,'Catálogo'!$Q:$Q),0)),"Medidas: "&amp;INDEX('Catálogo'!$R:$R,MATCH($B$3&amp;"|"&amp;121,IF($B$3="TODAS",'Catálogo'!$U:$U,'Catálogo'!$Q:$Q),0))&amp;"  ·  Cód: "&amp;INDEX('Catálogo'!$A:$A,MATCH($B$3&amp;"|"&amp;121,IF($B$3="TODAS",'Catálogo'!$U:$U,'Catálogo'!$Q:$Q),0))),"")</f>
      </c>
      <c r="D126" s="42">
        <f>IFERROR(IF($D$3="Mayor",INDEX('Catálogo'!$O:$O,MATCH($B$3&amp;"|"&amp;121,IF($B$3="TODAS",'Catálogo'!$U:$U,'Catálogo'!$Q:$Q),0)),INDEX('Catálogo'!$N:$N,MATCH($B$3&amp;"|"&amp;121,IF($B$3="TODAS",'Catálogo'!$U:$U,'Catálogo'!$Q:$Q),0))),"")</f>
      </c>
    </row>
    <row r="127" ht="90.00" customHeight="1">
      <c r="A127" s="39">
        <f>IFERROR(IF(INDEX('Catálogo'!$M:$M,MATCH($B$3&amp;"|"&amp;122,IF($B$3="TODAS",'Catálogo'!$U:$U,'Catálogo'!$Q:$Q),0))="","",IMAGE(INDEX('Catálogo'!$M:$M,MATCH($B$3&amp;"|"&amp;122,IF($B$3="TODAS",'Catálogo'!$U:$U,'Catálogo'!$Q:$Q),0)),1)),"")</f>
      </c>
      <c r="B127" s="40">
        <f>IFERROR(INDEX('Catálogo'!$B:$B,MATCH($B$3&amp;"|"&amp;122,IF($B$3="TODAS",'Catálogo'!$U:$U,'Catálogo'!$Q:$Q),0)),"")</f>
      </c>
      <c r="C127" s="41">
        <f>IFERROR(IF(INDEX('Catálogo'!$R:$R,MATCH($B$3&amp;"|"&amp;122,IF($B$3="TODAS",'Catálogo'!$U:$U,'Catálogo'!$Q:$Q),0))="","Cód: "&amp;INDEX('Catálogo'!$A:$A,MATCH($B$3&amp;"|"&amp;122,IF($B$3="TODAS",'Catálogo'!$U:$U,'Catálogo'!$Q:$Q),0)),"Medidas: "&amp;INDEX('Catálogo'!$R:$R,MATCH($B$3&amp;"|"&amp;122,IF($B$3="TODAS",'Catálogo'!$U:$U,'Catálogo'!$Q:$Q),0))&amp;"  ·  Cód: "&amp;INDEX('Catálogo'!$A:$A,MATCH($B$3&amp;"|"&amp;122,IF($B$3="TODAS",'Catálogo'!$U:$U,'Catálogo'!$Q:$Q),0))),"")</f>
      </c>
      <c r="D127" s="42">
        <f>IFERROR(IF($D$3="Mayor",INDEX('Catálogo'!$O:$O,MATCH($B$3&amp;"|"&amp;122,IF($B$3="TODAS",'Catálogo'!$U:$U,'Catálogo'!$Q:$Q),0)),INDEX('Catálogo'!$N:$N,MATCH($B$3&amp;"|"&amp;122,IF($B$3="TODAS",'Catálogo'!$U:$U,'Catálogo'!$Q:$Q),0))),"")</f>
      </c>
    </row>
    <row r="128" ht="90.00" customHeight="1">
      <c r="A128" s="39">
        <f>IFERROR(IF(INDEX('Catálogo'!$M:$M,MATCH($B$3&amp;"|"&amp;123,IF($B$3="TODAS",'Catálogo'!$U:$U,'Catálogo'!$Q:$Q),0))="","",IMAGE(INDEX('Catálogo'!$M:$M,MATCH($B$3&amp;"|"&amp;123,IF($B$3="TODAS",'Catálogo'!$U:$U,'Catálogo'!$Q:$Q),0)),1)),"")</f>
      </c>
      <c r="B128" s="40">
        <f>IFERROR(INDEX('Catálogo'!$B:$B,MATCH($B$3&amp;"|"&amp;123,IF($B$3="TODAS",'Catálogo'!$U:$U,'Catálogo'!$Q:$Q),0)),"")</f>
      </c>
      <c r="C128" s="41">
        <f>IFERROR(IF(INDEX('Catálogo'!$R:$R,MATCH($B$3&amp;"|"&amp;123,IF($B$3="TODAS",'Catálogo'!$U:$U,'Catálogo'!$Q:$Q),0))="","Cód: "&amp;INDEX('Catálogo'!$A:$A,MATCH($B$3&amp;"|"&amp;123,IF($B$3="TODAS",'Catálogo'!$U:$U,'Catálogo'!$Q:$Q),0)),"Medidas: "&amp;INDEX('Catálogo'!$R:$R,MATCH($B$3&amp;"|"&amp;123,IF($B$3="TODAS",'Catálogo'!$U:$U,'Catálogo'!$Q:$Q),0))&amp;"  ·  Cód: "&amp;INDEX('Catálogo'!$A:$A,MATCH($B$3&amp;"|"&amp;123,IF($B$3="TODAS",'Catálogo'!$U:$U,'Catálogo'!$Q:$Q),0))),"")</f>
      </c>
      <c r="D128" s="42">
        <f>IFERROR(IF($D$3="Mayor",INDEX('Catálogo'!$O:$O,MATCH($B$3&amp;"|"&amp;123,IF($B$3="TODAS",'Catálogo'!$U:$U,'Catálogo'!$Q:$Q),0)),INDEX('Catálogo'!$N:$N,MATCH($B$3&amp;"|"&amp;123,IF($B$3="TODAS",'Catálogo'!$U:$U,'Catálogo'!$Q:$Q),0))),"")</f>
      </c>
    </row>
    <row r="129" ht="90.00" customHeight="1">
      <c r="A129" s="39">
        <f>IFERROR(IF(INDEX('Catálogo'!$M:$M,MATCH($B$3&amp;"|"&amp;124,IF($B$3="TODAS",'Catálogo'!$U:$U,'Catálogo'!$Q:$Q),0))="","",IMAGE(INDEX('Catálogo'!$M:$M,MATCH($B$3&amp;"|"&amp;124,IF($B$3="TODAS",'Catálogo'!$U:$U,'Catálogo'!$Q:$Q),0)),1)),"")</f>
      </c>
      <c r="B129" s="40">
        <f>IFERROR(INDEX('Catálogo'!$B:$B,MATCH($B$3&amp;"|"&amp;124,IF($B$3="TODAS",'Catálogo'!$U:$U,'Catálogo'!$Q:$Q),0)),"")</f>
      </c>
      <c r="C129" s="41">
        <f>IFERROR(IF(INDEX('Catálogo'!$R:$R,MATCH($B$3&amp;"|"&amp;124,IF($B$3="TODAS",'Catálogo'!$U:$U,'Catálogo'!$Q:$Q),0))="","Cód: "&amp;INDEX('Catálogo'!$A:$A,MATCH($B$3&amp;"|"&amp;124,IF($B$3="TODAS",'Catálogo'!$U:$U,'Catálogo'!$Q:$Q),0)),"Medidas: "&amp;INDEX('Catálogo'!$R:$R,MATCH($B$3&amp;"|"&amp;124,IF($B$3="TODAS",'Catálogo'!$U:$U,'Catálogo'!$Q:$Q),0))&amp;"  ·  Cód: "&amp;INDEX('Catálogo'!$A:$A,MATCH($B$3&amp;"|"&amp;124,IF($B$3="TODAS",'Catálogo'!$U:$U,'Catálogo'!$Q:$Q),0))),"")</f>
      </c>
      <c r="D129" s="42">
        <f>IFERROR(IF($D$3="Mayor",INDEX('Catálogo'!$O:$O,MATCH($B$3&amp;"|"&amp;124,IF($B$3="TODAS",'Catálogo'!$U:$U,'Catálogo'!$Q:$Q),0)),INDEX('Catálogo'!$N:$N,MATCH($B$3&amp;"|"&amp;124,IF($B$3="TODAS",'Catálogo'!$U:$U,'Catálogo'!$Q:$Q),0))),"")</f>
      </c>
    </row>
    <row r="130" ht="90.00" customHeight="1">
      <c r="A130" s="39">
        <f>IFERROR(IF(INDEX('Catálogo'!$M:$M,MATCH($B$3&amp;"|"&amp;125,IF($B$3="TODAS",'Catálogo'!$U:$U,'Catálogo'!$Q:$Q),0))="","",IMAGE(INDEX('Catálogo'!$M:$M,MATCH($B$3&amp;"|"&amp;125,IF($B$3="TODAS",'Catálogo'!$U:$U,'Catálogo'!$Q:$Q),0)),1)),"")</f>
      </c>
      <c r="B130" s="40">
        <f>IFERROR(INDEX('Catálogo'!$B:$B,MATCH($B$3&amp;"|"&amp;125,IF($B$3="TODAS",'Catálogo'!$U:$U,'Catálogo'!$Q:$Q),0)),"")</f>
      </c>
      <c r="C130" s="41">
        <f>IFERROR(IF(INDEX('Catálogo'!$R:$R,MATCH($B$3&amp;"|"&amp;125,IF($B$3="TODAS",'Catálogo'!$U:$U,'Catálogo'!$Q:$Q),0))="","Cód: "&amp;INDEX('Catálogo'!$A:$A,MATCH($B$3&amp;"|"&amp;125,IF($B$3="TODAS",'Catálogo'!$U:$U,'Catálogo'!$Q:$Q),0)),"Medidas: "&amp;INDEX('Catálogo'!$R:$R,MATCH($B$3&amp;"|"&amp;125,IF($B$3="TODAS",'Catálogo'!$U:$U,'Catálogo'!$Q:$Q),0))&amp;"  ·  Cód: "&amp;INDEX('Catálogo'!$A:$A,MATCH($B$3&amp;"|"&amp;125,IF($B$3="TODAS",'Catálogo'!$U:$U,'Catálogo'!$Q:$Q),0))),"")</f>
      </c>
      <c r="D130" s="42">
        <f>IFERROR(IF($D$3="Mayor",INDEX('Catálogo'!$O:$O,MATCH($B$3&amp;"|"&amp;125,IF($B$3="TODAS",'Catálogo'!$U:$U,'Catálogo'!$Q:$Q),0)),INDEX('Catálogo'!$N:$N,MATCH($B$3&amp;"|"&amp;125,IF($B$3="TODAS",'Catálogo'!$U:$U,'Catálogo'!$Q:$Q),0))),"")</f>
      </c>
    </row>
    <row r="131" ht="90.00" customHeight="1">
      <c r="A131" s="39">
        <f>IFERROR(IF(INDEX('Catálogo'!$M:$M,MATCH($B$3&amp;"|"&amp;126,IF($B$3="TODAS",'Catálogo'!$U:$U,'Catálogo'!$Q:$Q),0))="","",IMAGE(INDEX('Catálogo'!$M:$M,MATCH($B$3&amp;"|"&amp;126,IF($B$3="TODAS",'Catálogo'!$U:$U,'Catálogo'!$Q:$Q),0)),1)),"")</f>
      </c>
      <c r="B131" s="40">
        <f>IFERROR(INDEX('Catálogo'!$B:$B,MATCH($B$3&amp;"|"&amp;126,IF($B$3="TODAS",'Catálogo'!$U:$U,'Catálogo'!$Q:$Q),0)),"")</f>
      </c>
      <c r="C131" s="41">
        <f>IFERROR(IF(INDEX('Catálogo'!$R:$R,MATCH($B$3&amp;"|"&amp;126,IF($B$3="TODAS",'Catálogo'!$U:$U,'Catálogo'!$Q:$Q),0))="","Cód: "&amp;INDEX('Catálogo'!$A:$A,MATCH($B$3&amp;"|"&amp;126,IF($B$3="TODAS",'Catálogo'!$U:$U,'Catálogo'!$Q:$Q),0)),"Medidas: "&amp;INDEX('Catálogo'!$R:$R,MATCH($B$3&amp;"|"&amp;126,IF($B$3="TODAS",'Catálogo'!$U:$U,'Catálogo'!$Q:$Q),0))&amp;"  ·  Cód: "&amp;INDEX('Catálogo'!$A:$A,MATCH($B$3&amp;"|"&amp;126,IF($B$3="TODAS",'Catálogo'!$U:$U,'Catálogo'!$Q:$Q),0))),"")</f>
      </c>
      <c r="D131" s="42">
        <f>IFERROR(IF($D$3="Mayor",INDEX('Catálogo'!$O:$O,MATCH($B$3&amp;"|"&amp;126,IF($B$3="TODAS",'Catálogo'!$U:$U,'Catálogo'!$Q:$Q),0)),INDEX('Catálogo'!$N:$N,MATCH($B$3&amp;"|"&amp;126,IF($B$3="TODAS",'Catálogo'!$U:$U,'Catálogo'!$Q:$Q),0))),"")</f>
      </c>
    </row>
    <row r="132" ht="90.00" customHeight="1">
      <c r="A132" s="39">
        <f>IFERROR(IF(INDEX('Catálogo'!$M:$M,MATCH($B$3&amp;"|"&amp;127,IF($B$3="TODAS",'Catálogo'!$U:$U,'Catálogo'!$Q:$Q),0))="","",IMAGE(INDEX('Catálogo'!$M:$M,MATCH($B$3&amp;"|"&amp;127,IF($B$3="TODAS",'Catálogo'!$U:$U,'Catálogo'!$Q:$Q),0)),1)),"")</f>
      </c>
      <c r="B132" s="40">
        <f>IFERROR(INDEX('Catálogo'!$B:$B,MATCH($B$3&amp;"|"&amp;127,IF($B$3="TODAS",'Catálogo'!$U:$U,'Catálogo'!$Q:$Q),0)),"")</f>
      </c>
      <c r="C132" s="41">
        <f>IFERROR(IF(INDEX('Catálogo'!$R:$R,MATCH($B$3&amp;"|"&amp;127,IF($B$3="TODAS",'Catálogo'!$U:$U,'Catálogo'!$Q:$Q),0))="","Cód: "&amp;INDEX('Catálogo'!$A:$A,MATCH($B$3&amp;"|"&amp;127,IF($B$3="TODAS",'Catálogo'!$U:$U,'Catálogo'!$Q:$Q),0)),"Medidas: "&amp;INDEX('Catálogo'!$R:$R,MATCH($B$3&amp;"|"&amp;127,IF($B$3="TODAS",'Catálogo'!$U:$U,'Catálogo'!$Q:$Q),0))&amp;"  ·  Cód: "&amp;INDEX('Catálogo'!$A:$A,MATCH($B$3&amp;"|"&amp;127,IF($B$3="TODAS",'Catálogo'!$U:$U,'Catálogo'!$Q:$Q),0))),"")</f>
      </c>
      <c r="D132" s="42">
        <f>IFERROR(IF($D$3="Mayor",INDEX('Catálogo'!$O:$O,MATCH($B$3&amp;"|"&amp;127,IF($B$3="TODAS",'Catálogo'!$U:$U,'Catálogo'!$Q:$Q),0)),INDEX('Catálogo'!$N:$N,MATCH($B$3&amp;"|"&amp;127,IF($B$3="TODAS",'Catálogo'!$U:$U,'Catálogo'!$Q:$Q),0))),"")</f>
      </c>
    </row>
    <row r="133" ht="90.00" customHeight="1">
      <c r="A133" s="39">
        <f>IFERROR(IF(INDEX('Catálogo'!$M:$M,MATCH($B$3&amp;"|"&amp;128,IF($B$3="TODAS",'Catálogo'!$U:$U,'Catálogo'!$Q:$Q),0))="","",IMAGE(INDEX('Catálogo'!$M:$M,MATCH($B$3&amp;"|"&amp;128,IF($B$3="TODAS",'Catálogo'!$U:$U,'Catálogo'!$Q:$Q),0)),1)),"")</f>
      </c>
      <c r="B133" s="40">
        <f>IFERROR(INDEX('Catálogo'!$B:$B,MATCH($B$3&amp;"|"&amp;128,IF($B$3="TODAS",'Catálogo'!$U:$U,'Catálogo'!$Q:$Q),0)),"")</f>
      </c>
      <c r="C133" s="41">
        <f>IFERROR(IF(INDEX('Catálogo'!$R:$R,MATCH($B$3&amp;"|"&amp;128,IF($B$3="TODAS",'Catálogo'!$U:$U,'Catálogo'!$Q:$Q),0))="","Cód: "&amp;INDEX('Catálogo'!$A:$A,MATCH($B$3&amp;"|"&amp;128,IF($B$3="TODAS",'Catálogo'!$U:$U,'Catálogo'!$Q:$Q),0)),"Medidas: "&amp;INDEX('Catálogo'!$R:$R,MATCH($B$3&amp;"|"&amp;128,IF($B$3="TODAS",'Catálogo'!$U:$U,'Catálogo'!$Q:$Q),0))&amp;"  ·  Cód: "&amp;INDEX('Catálogo'!$A:$A,MATCH($B$3&amp;"|"&amp;128,IF($B$3="TODAS",'Catálogo'!$U:$U,'Catálogo'!$Q:$Q),0))),"")</f>
      </c>
      <c r="D133" s="42">
        <f>IFERROR(IF($D$3="Mayor",INDEX('Catálogo'!$O:$O,MATCH($B$3&amp;"|"&amp;128,IF($B$3="TODAS",'Catálogo'!$U:$U,'Catálogo'!$Q:$Q),0)),INDEX('Catálogo'!$N:$N,MATCH($B$3&amp;"|"&amp;128,IF($B$3="TODAS",'Catálogo'!$U:$U,'Catálogo'!$Q:$Q),0))),"")</f>
      </c>
    </row>
    <row r="134" ht="90.00" customHeight="1">
      <c r="A134" s="39">
        <f>IFERROR(IF(INDEX('Catálogo'!$M:$M,MATCH($B$3&amp;"|"&amp;129,IF($B$3="TODAS",'Catálogo'!$U:$U,'Catálogo'!$Q:$Q),0))="","",IMAGE(INDEX('Catálogo'!$M:$M,MATCH($B$3&amp;"|"&amp;129,IF($B$3="TODAS",'Catálogo'!$U:$U,'Catálogo'!$Q:$Q),0)),1)),"")</f>
      </c>
      <c r="B134" s="40">
        <f>IFERROR(INDEX('Catálogo'!$B:$B,MATCH($B$3&amp;"|"&amp;129,IF($B$3="TODAS",'Catálogo'!$U:$U,'Catálogo'!$Q:$Q),0)),"")</f>
      </c>
      <c r="C134" s="41">
        <f>IFERROR(IF(INDEX('Catálogo'!$R:$R,MATCH($B$3&amp;"|"&amp;129,IF($B$3="TODAS",'Catálogo'!$U:$U,'Catálogo'!$Q:$Q),0))="","Cód: "&amp;INDEX('Catálogo'!$A:$A,MATCH($B$3&amp;"|"&amp;129,IF($B$3="TODAS",'Catálogo'!$U:$U,'Catálogo'!$Q:$Q),0)),"Medidas: "&amp;INDEX('Catálogo'!$R:$R,MATCH($B$3&amp;"|"&amp;129,IF($B$3="TODAS",'Catálogo'!$U:$U,'Catálogo'!$Q:$Q),0))&amp;"  ·  Cód: "&amp;INDEX('Catálogo'!$A:$A,MATCH($B$3&amp;"|"&amp;129,IF($B$3="TODAS",'Catálogo'!$U:$U,'Catálogo'!$Q:$Q),0))),"")</f>
      </c>
      <c r="D134" s="42">
        <f>IFERROR(IF($D$3="Mayor",INDEX('Catálogo'!$O:$O,MATCH($B$3&amp;"|"&amp;129,IF($B$3="TODAS",'Catálogo'!$U:$U,'Catálogo'!$Q:$Q),0)),INDEX('Catálogo'!$N:$N,MATCH($B$3&amp;"|"&amp;129,IF($B$3="TODAS",'Catálogo'!$U:$U,'Catálogo'!$Q:$Q),0))),"")</f>
      </c>
    </row>
    <row r="135" ht="90.00" customHeight="1">
      <c r="A135" s="39">
        <f>IFERROR(IF(INDEX('Catálogo'!$M:$M,MATCH($B$3&amp;"|"&amp;130,IF($B$3="TODAS",'Catálogo'!$U:$U,'Catálogo'!$Q:$Q),0))="","",IMAGE(INDEX('Catálogo'!$M:$M,MATCH($B$3&amp;"|"&amp;130,IF($B$3="TODAS",'Catálogo'!$U:$U,'Catálogo'!$Q:$Q),0)),1)),"")</f>
      </c>
      <c r="B135" s="40">
        <f>IFERROR(INDEX('Catálogo'!$B:$B,MATCH($B$3&amp;"|"&amp;130,IF($B$3="TODAS",'Catálogo'!$U:$U,'Catálogo'!$Q:$Q),0)),"")</f>
      </c>
      <c r="C135" s="41">
        <f>IFERROR(IF(INDEX('Catálogo'!$R:$R,MATCH($B$3&amp;"|"&amp;130,IF($B$3="TODAS",'Catálogo'!$U:$U,'Catálogo'!$Q:$Q),0))="","Cód: "&amp;INDEX('Catálogo'!$A:$A,MATCH($B$3&amp;"|"&amp;130,IF($B$3="TODAS",'Catálogo'!$U:$U,'Catálogo'!$Q:$Q),0)),"Medidas: "&amp;INDEX('Catálogo'!$R:$R,MATCH($B$3&amp;"|"&amp;130,IF($B$3="TODAS",'Catálogo'!$U:$U,'Catálogo'!$Q:$Q),0))&amp;"  ·  Cód: "&amp;INDEX('Catálogo'!$A:$A,MATCH($B$3&amp;"|"&amp;130,IF($B$3="TODAS",'Catálogo'!$U:$U,'Catálogo'!$Q:$Q),0))),"")</f>
      </c>
      <c r="D135" s="42">
        <f>IFERROR(IF($D$3="Mayor",INDEX('Catálogo'!$O:$O,MATCH($B$3&amp;"|"&amp;130,IF($B$3="TODAS",'Catálogo'!$U:$U,'Catálogo'!$Q:$Q),0)),INDEX('Catálogo'!$N:$N,MATCH($B$3&amp;"|"&amp;130,IF($B$3="TODAS",'Catálogo'!$U:$U,'Catálogo'!$Q:$Q),0))),"")</f>
      </c>
    </row>
    <row r="136" ht="90.00" customHeight="1">
      <c r="A136" s="39">
        <f>IFERROR(IF(INDEX('Catálogo'!$M:$M,MATCH($B$3&amp;"|"&amp;131,IF($B$3="TODAS",'Catálogo'!$U:$U,'Catálogo'!$Q:$Q),0))="","",IMAGE(INDEX('Catálogo'!$M:$M,MATCH($B$3&amp;"|"&amp;131,IF($B$3="TODAS",'Catálogo'!$U:$U,'Catálogo'!$Q:$Q),0)),1)),"")</f>
      </c>
      <c r="B136" s="40">
        <f>IFERROR(INDEX('Catálogo'!$B:$B,MATCH($B$3&amp;"|"&amp;131,IF($B$3="TODAS",'Catálogo'!$U:$U,'Catálogo'!$Q:$Q),0)),"")</f>
      </c>
      <c r="C136" s="41">
        <f>IFERROR(IF(INDEX('Catálogo'!$R:$R,MATCH($B$3&amp;"|"&amp;131,IF($B$3="TODAS",'Catálogo'!$U:$U,'Catálogo'!$Q:$Q),0))="","Cód: "&amp;INDEX('Catálogo'!$A:$A,MATCH($B$3&amp;"|"&amp;131,IF($B$3="TODAS",'Catálogo'!$U:$U,'Catálogo'!$Q:$Q),0)),"Medidas: "&amp;INDEX('Catálogo'!$R:$R,MATCH($B$3&amp;"|"&amp;131,IF($B$3="TODAS",'Catálogo'!$U:$U,'Catálogo'!$Q:$Q),0))&amp;"  ·  Cód: "&amp;INDEX('Catálogo'!$A:$A,MATCH($B$3&amp;"|"&amp;131,IF($B$3="TODAS",'Catálogo'!$U:$U,'Catálogo'!$Q:$Q),0))),"")</f>
      </c>
      <c r="D136" s="42">
        <f>IFERROR(IF($D$3="Mayor",INDEX('Catálogo'!$O:$O,MATCH($B$3&amp;"|"&amp;131,IF($B$3="TODAS",'Catálogo'!$U:$U,'Catálogo'!$Q:$Q),0)),INDEX('Catálogo'!$N:$N,MATCH($B$3&amp;"|"&amp;131,IF($B$3="TODAS",'Catálogo'!$U:$U,'Catálogo'!$Q:$Q),0))),"")</f>
      </c>
    </row>
    <row r="137" ht="90.00" customHeight="1">
      <c r="A137" s="39">
        <f>IFERROR(IF(INDEX('Catálogo'!$M:$M,MATCH($B$3&amp;"|"&amp;132,IF($B$3="TODAS",'Catálogo'!$U:$U,'Catálogo'!$Q:$Q),0))="","",IMAGE(INDEX('Catálogo'!$M:$M,MATCH($B$3&amp;"|"&amp;132,IF($B$3="TODAS",'Catálogo'!$U:$U,'Catálogo'!$Q:$Q),0)),1)),"")</f>
      </c>
      <c r="B137" s="40">
        <f>IFERROR(INDEX('Catálogo'!$B:$B,MATCH($B$3&amp;"|"&amp;132,IF($B$3="TODAS",'Catálogo'!$U:$U,'Catálogo'!$Q:$Q),0)),"")</f>
      </c>
      <c r="C137" s="41">
        <f>IFERROR(IF(INDEX('Catálogo'!$R:$R,MATCH($B$3&amp;"|"&amp;132,IF($B$3="TODAS",'Catálogo'!$U:$U,'Catálogo'!$Q:$Q),0))="","Cód: "&amp;INDEX('Catálogo'!$A:$A,MATCH($B$3&amp;"|"&amp;132,IF($B$3="TODAS",'Catálogo'!$U:$U,'Catálogo'!$Q:$Q),0)),"Medidas: "&amp;INDEX('Catálogo'!$R:$R,MATCH($B$3&amp;"|"&amp;132,IF($B$3="TODAS",'Catálogo'!$U:$U,'Catálogo'!$Q:$Q),0))&amp;"  ·  Cód: "&amp;INDEX('Catálogo'!$A:$A,MATCH($B$3&amp;"|"&amp;132,IF($B$3="TODAS",'Catálogo'!$U:$U,'Catálogo'!$Q:$Q),0))),"")</f>
      </c>
      <c r="D137" s="42">
        <f>IFERROR(IF($D$3="Mayor",INDEX('Catálogo'!$O:$O,MATCH($B$3&amp;"|"&amp;132,IF($B$3="TODAS",'Catálogo'!$U:$U,'Catálogo'!$Q:$Q),0)),INDEX('Catálogo'!$N:$N,MATCH($B$3&amp;"|"&amp;132,IF($B$3="TODAS",'Catálogo'!$U:$U,'Catálogo'!$Q:$Q),0))),"")</f>
      </c>
    </row>
    <row r="138" ht="90.00" customHeight="1">
      <c r="A138" s="39">
        <f>IFERROR(IF(INDEX('Catálogo'!$M:$M,MATCH($B$3&amp;"|"&amp;133,IF($B$3="TODAS",'Catálogo'!$U:$U,'Catálogo'!$Q:$Q),0))="","",IMAGE(INDEX('Catálogo'!$M:$M,MATCH($B$3&amp;"|"&amp;133,IF($B$3="TODAS",'Catálogo'!$U:$U,'Catálogo'!$Q:$Q),0)),1)),"")</f>
      </c>
      <c r="B138" s="40">
        <f>IFERROR(INDEX('Catálogo'!$B:$B,MATCH($B$3&amp;"|"&amp;133,IF($B$3="TODAS",'Catálogo'!$U:$U,'Catálogo'!$Q:$Q),0)),"")</f>
      </c>
      <c r="C138" s="41">
        <f>IFERROR(IF(INDEX('Catálogo'!$R:$R,MATCH($B$3&amp;"|"&amp;133,IF($B$3="TODAS",'Catálogo'!$U:$U,'Catálogo'!$Q:$Q),0))="","Cód: "&amp;INDEX('Catálogo'!$A:$A,MATCH($B$3&amp;"|"&amp;133,IF($B$3="TODAS",'Catálogo'!$U:$U,'Catálogo'!$Q:$Q),0)),"Medidas: "&amp;INDEX('Catálogo'!$R:$R,MATCH($B$3&amp;"|"&amp;133,IF($B$3="TODAS",'Catálogo'!$U:$U,'Catálogo'!$Q:$Q),0))&amp;"  ·  Cód: "&amp;INDEX('Catálogo'!$A:$A,MATCH($B$3&amp;"|"&amp;133,IF($B$3="TODAS",'Catálogo'!$U:$U,'Catálogo'!$Q:$Q),0))),"")</f>
      </c>
      <c r="D138" s="42">
        <f>IFERROR(IF($D$3="Mayor",INDEX('Catálogo'!$O:$O,MATCH($B$3&amp;"|"&amp;133,IF($B$3="TODAS",'Catálogo'!$U:$U,'Catálogo'!$Q:$Q),0)),INDEX('Catálogo'!$N:$N,MATCH($B$3&amp;"|"&amp;133,IF($B$3="TODAS",'Catálogo'!$U:$U,'Catálogo'!$Q:$Q),0))),"")</f>
      </c>
    </row>
    <row r="139" ht="90.00" customHeight="1">
      <c r="A139" s="39">
        <f>IFERROR(IF(INDEX('Catálogo'!$M:$M,MATCH($B$3&amp;"|"&amp;134,IF($B$3="TODAS",'Catálogo'!$U:$U,'Catálogo'!$Q:$Q),0))="","",IMAGE(INDEX('Catálogo'!$M:$M,MATCH($B$3&amp;"|"&amp;134,IF($B$3="TODAS",'Catálogo'!$U:$U,'Catálogo'!$Q:$Q),0)),1)),"")</f>
      </c>
      <c r="B139" s="40">
        <f>IFERROR(INDEX('Catálogo'!$B:$B,MATCH($B$3&amp;"|"&amp;134,IF($B$3="TODAS",'Catálogo'!$U:$U,'Catálogo'!$Q:$Q),0)),"")</f>
      </c>
      <c r="C139" s="41">
        <f>IFERROR(IF(INDEX('Catálogo'!$R:$R,MATCH($B$3&amp;"|"&amp;134,IF($B$3="TODAS",'Catálogo'!$U:$U,'Catálogo'!$Q:$Q),0))="","Cód: "&amp;INDEX('Catálogo'!$A:$A,MATCH($B$3&amp;"|"&amp;134,IF($B$3="TODAS",'Catálogo'!$U:$U,'Catálogo'!$Q:$Q),0)),"Medidas: "&amp;INDEX('Catálogo'!$R:$R,MATCH($B$3&amp;"|"&amp;134,IF($B$3="TODAS",'Catálogo'!$U:$U,'Catálogo'!$Q:$Q),0))&amp;"  ·  Cód: "&amp;INDEX('Catálogo'!$A:$A,MATCH($B$3&amp;"|"&amp;134,IF($B$3="TODAS",'Catálogo'!$U:$U,'Catálogo'!$Q:$Q),0))),"")</f>
      </c>
      <c r="D139" s="42">
        <f>IFERROR(IF($D$3="Mayor",INDEX('Catálogo'!$O:$O,MATCH($B$3&amp;"|"&amp;134,IF($B$3="TODAS",'Catálogo'!$U:$U,'Catálogo'!$Q:$Q),0)),INDEX('Catálogo'!$N:$N,MATCH($B$3&amp;"|"&amp;134,IF($B$3="TODAS",'Catálogo'!$U:$U,'Catálogo'!$Q:$Q),0))),"")</f>
      </c>
    </row>
    <row r="140" ht="90.00" customHeight="1">
      <c r="A140" s="39">
        <f>IFERROR(IF(INDEX('Catálogo'!$M:$M,MATCH($B$3&amp;"|"&amp;135,IF($B$3="TODAS",'Catálogo'!$U:$U,'Catálogo'!$Q:$Q),0))="","",IMAGE(INDEX('Catálogo'!$M:$M,MATCH($B$3&amp;"|"&amp;135,IF($B$3="TODAS",'Catálogo'!$U:$U,'Catálogo'!$Q:$Q),0)),1)),"")</f>
      </c>
      <c r="B140" s="40">
        <f>IFERROR(INDEX('Catálogo'!$B:$B,MATCH($B$3&amp;"|"&amp;135,IF($B$3="TODAS",'Catálogo'!$U:$U,'Catálogo'!$Q:$Q),0)),"")</f>
      </c>
      <c r="C140" s="41">
        <f>IFERROR(IF(INDEX('Catálogo'!$R:$R,MATCH($B$3&amp;"|"&amp;135,IF($B$3="TODAS",'Catálogo'!$U:$U,'Catálogo'!$Q:$Q),0))="","Cód: "&amp;INDEX('Catálogo'!$A:$A,MATCH($B$3&amp;"|"&amp;135,IF($B$3="TODAS",'Catálogo'!$U:$U,'Catálogo'!$Q:$Q),0)),"Medidas: "&amp;INDEX('Catálogo'!$R:$R,MATCH($B$3&amp;"|"&amp;135,IF($B$3="TODAS",'Catálogo'!$U:$U,'Catálogo'!$Q:$Q),0))&amp;"  ·  Cód: "&amp;INDEX('Catálogo'!$A:$A,MATCH($B$3&amp;"|"&amp;135,IF($B$3="TODAS",'Catálogo'!$U:$U,'Catálogo'!$Q:$Q),0))),"")</f>
      </c>
      <c r="D140" s="42">
        <f>IFERROR(IF($D$3="Mayor",INDEX('Catálogo'!$O:$O,MATCH($B$3&amp;"|"&amp;135,IF($B$3="TODAS",'Catálogo'!$U:$U,'Catálogo'!$Q:$Q),0)),INDEX('Catálogo'!$N:$N,MATCH($B$3&amp;"|"&amp;135,IF($B$3="TODAS",'Catálogo'!$U:$U,'Catálogo'!$Q:$Q),0))),"")</f>
      </c>
    </row>
    <row r="141" ht="90.00" customHeight="1">
      <c r="A141" s="39">
        <f>IFERROR(IF(INDEX('Catálogo'!$M:$M,MATCH($B$3&amp;"|"&amp;136,IF($B$3="TODAS",'Catálogo'!$U:$U,'Catálogo'!$Q:$Q),0))="","",IMAGE(INDEX('Catálogo'!$M:$M,MATCH($B$3&amp;"|"&amp;136,IF($B$3="TODAS",'Catálogo'!$U:$U,'Catálogo'!$Q:$Q),0)),1)),"")</f>
      </c>
      <c r="B141" s="40">
        <f>IFERROR(INDEX('Catálogo'!$B:$B,MATCH($B$3&amp;"|"&amp;136,IF($B$3="TODAS",'Catálogo'!$U:$U,'Catálogo'!$Q:$Q),0)),"")</f>
      </c>
      <c r="C141" s="41">
        <f>IFERROR(IF(INDEX('Catálogo'!$R:$R,MATCH($B$3&amp;"|"&amp;136,IF($B$3="TODAS",'Catálogo'!$U:$U,'Catálogo'!$Q:$Q),0))="","Cód: "&amp;INDEX('Catálogo'!$A:$A,MATCH($B$3&amp;"|"&amp;136,IF($B$3="TODAS",'Catálogo'!$U:$U,'Catálogo'!$Q:$Q),0)),"Medidas: "&amp;INDEX('Catálogo'!$R:$R,MATCH($B$3&amp;"|"&amp;136,IF($B$3="TODAS",'Catálogo'!$U:$U,'Catálogo'!$Q:$Q),0))&amp;"  ·  Cód: "&amp;INDEX('Catálogo'!$A:$A,MATCH($B$3&amp;"|"&amp;136,IF($B$3="TODAS",'Catálogo'!$U:$U,'Catálogo'!$Q:$Q),0))),"")</f>
      </c>
      <c r="D141" s="42">
        <f>IFERROR(IF($D$3="Mayor",INDEX('Catálogo'!$O:$O,MATCH($B$3&amp;"|"&amp;136,IF($B$3="TODAS",'Catálogo'!$U:$U,'Catálogo'!$Q:$Q),0)),INDEX('Catálogo'!$N:$N,MATCH($B$3&amp;"|"&amp;136,IF($B$3="TODAS",'Catálogo'!$U:$U,'Catálogo'!$Q:$Q),0))),"")</f>
      </c>
    </row>
    <row r="142" ht="90.00" customHeight="1">
      <c r="A142" s="39">
        <f>IFERROR(IF(INDEX('Catálogo'!$M:$M,MATCH($B$3&amp;"|"&amp;137,IF($B$3="TODAS",'Catálogo'!$U:$U,'Catálogo'!$Q:$Q),0))="","",IMAGE(INDEX('Catálogo'!$M:$M,MATCH($B$3&amp;"|"&amp;137,IF($B$3="TODAS",'Catálogo'!$U:$U,'Catálogo'!$Q:$Q),0)),1)),"")</f>
      </c>
      <c r="B142" s="40">
        <f>IFERROR(INDEX('Catálogo'!$B:$B,MATCH($B$3&amp;"|"&amp;137,IF($B$3="TODAS",'Catálogo'!$U:$U,'Catálogo'!$Q:$Q),0)),"")</f>
      </c>
      <c r="C142" s="41">
        <f>IFERROR(IF(INDEX('Catálogo'!$R:$R,MATCH($B$3&amp;"|"&amp;137,IF($B$3="TODAS",'Catálogo'!$U:$U,'Catálogo'!$Q:$Q),0))="","Cód: "&amp;INDEX('Catálogo'!$A:$A,MATCH($B$3&amp;"|"&amp;137,IF($B$3="TODAS",'Catálogo'!$U:$U,'Catálogo'!$Q:$Q),0)),"Medidas: "&amp;INDEX('Catálogo'!$R:$R,MATCH($B$3&amp;"|"&amp;137,IF($B$3="TODAS",'Catálogo'!$U:$U,'Catálogo'!$Q:$Q),0))&amp;"  ·  Cód: "&amp;INDEX('Catálogo'!$A:$A,MATCH($B$3&amp;"|"&amp;137,IF($B$3="TODAS",'Catálogo'!$U:$U,'Catálogo'!$Q:$Q),0))),"")</f>
      </c>
      <c r="D142" s="42">
        <f>IFERROR(IF($D$3="Mayor",INDEX('Catálogo'!$O:$O,MATCH($B$3&amp;"|"&amp;137,IF($B$3="TODAS",'Catálogo'!$U:$U,'Catálogo'!$Q:$Q),0)),INDEX('Catálogo'!$N:$N,MATCH($B$3&amp;"|"&amp;137,IF($B$3="TODAS",'Catálogo'!$U:$U,'Catálogo'!$Q:$Q),0))),"")</f>
      </c>
    </row>
    <row r="143" ht="90.00" customHeight="1">
      <c r="A143" s="39">
        <f>IFERROR(IF(INDEX('Catálogo'!$M:$M,MATCH($B$3&amp;"|"&amp;138,IF($B$3="TODAS",'Catálogo'!$U:$U,'Catálogo'!$Q:$Q),0))="","",IMAGE(INDEX('Catálogo'!$M:$M,MATCH($B$3&amp;"|"&amp;138,IF($B$3="TODAS",'Catálogo'!$U:$U,'Catálogo'!$Q:$Q),0)),1)),"")</f>
      </c>
      <c r="B143" s="40">
        <f>IFERROR(INDEX('Catálogo'!$B:$B,MATCH($B$3&amp;"|"&amp;138,IF($B$3="TODAS",'Catálogo'!$U:$U,'Catálogo'!$Q:$Q),0)),"")</f>
      </c>
      <c r="C143" s="41">
        <f>IFERROR(IF(INDEX('Catálogo'!$R:$R,MATCH($B$3&amp;"|"&amp;138,IF($B$3="TODAS",'Catálogo'!$U:$U,'Catálogo'!$Q:$Q),0))="","Cód: "&amp;INDEX('Catálogo'!$A:$A,MATCH($B$3&amp;"|"&amp;138,IF($B$3="TODAS",'Catálogo'!$U:$U,'Catálogo'!$Q:$Q),0)),"Medidas: "&amp;INDEX('Catálogo'!$R:$R,MATCH($B$3&amp;"|"&amp;138,IF($B$3="TODAS",'Catálogo'!$U:$U,'Catálogo'!$Q:$Q),0))&amp;"  ·  Cód: "&amp;INDEX('Catálogo'!$A:$A,MATCH($B$3&amp;"|"&amp;138,IF($B$3="TODAS",'Catálogo'!$U:$U,'Catálogo'!$Q:$Q),0))),"")</f>
      </c>
      <c r="D143" s="42">
        <f>IFERROR(IF($D$3="Mayor",INDEX('Catálogo'!$O:$O,MATCH($B$3&amp;"|"&amp;138,IF($B$3="TODAS",'Catálogo'!$U:$U,'Catálogo'!$Q:$Q),0)),INDEX('Catálogo'!$N:$N,MATCH($B$3&amp;"|"&amp;138,IF($B$3="TODAS",'Catálogo'!$U:$U,'Catálogo'!$Q:$Q),0))),"")</f>
      </c>
    </row>
    <row r="144" ht="90.00" customHeight="1">
      <c r="A144" s="39">
        <f>IFERROR(IF(INDEX('Catálogo'!$M:$M,MATCH($B$3&amp;"|"&amp;139,IF($B$3="TODAS",'Catálogo'!$U:$U,'Catálogo'!$Q:$Q),0))="","",IMAGE(INDEX('Catálogo'!$M:$M,MATCH($B$3&amp;"|"&amp;139,IF($B$3="TODAS",'Catálogo'!$U:$U,'Catálogo'!$Q:$Q),0)),1)),"")</f>
      </c>
      <c r="B144" s="40">
        <f>IFERROR(INDEX('Catálogo'!$B:$B,MATCH($B$3&amp;"|"&amp;139,IF($B$3="TODAS",'Catálogo'!$U:$U,'Catálogo'!$Q:$Q),0)),"")</f>
      </c>
      <c r="C144" s="41">
        <f>IFERROR(IF(INDEX('Catálogo'!$R:$R,MATCH($B$3&amp;"|"&amp;139,IF($B$3="TODAS",'Catálogo'!$U:$U,'Catálogo'!$Q:$Q),0))="","Cód: "&amp;INDEX('Catálogo'!$A:$A,MATCH($B$3&amp;"|"&amp;139,IF($B$3="TODAS",'Catálogo'!$U:$U,'Catálogo'!$Q:$Q),0)),"Medidas: "&amp;INDEX('Catálogo'!$R:$R,MATCH($B$3&amp;"|"&amp;139,IF($B$3="TODAS",'Catálogo'!$U:$U,'Catálogo'!$Q:$Q),0))&amp;"  ·  Cód: "&amp;INDEX('Catálogo'!$A:$A,MATCH($B$3&amp;"|"&amp;139,IF($B$3="TODAS",'Catálogo'!$U:$U,'Catálogo'!$Q:$Q),0))),"")</f>
      </c>
      <c r="D144" s="42">
        <f>IFERROR(IF($D$3="Mayor",INDEX('Catálogo'!$O:$O,MATCH($B$3&amp;"|"&amp;139,IF($B$3="TODAS",'Catálogo'!$U:$U,'Catálogo'!$Q:$Q),0)),INDEX('Catálogo'!$N:$N,MATCH($B$3&amp;"|"&amp;139,IF($B$3="TODAS",'Catálogo'!$U:$U,'Catálogo'!$Q:$Q),0))),"")</f>
      </c>
    </row>
    <row r="145" ht="90.00" customHeight="1">
      <c r="A145" s="39">
        <f>IFERROR(IF(INDEX('Catálogo'!$M:$M,MATCH($B$3&amp;"|"&amp;140,IF($B$3="TODAS",'Catálogo'!$U:$U,'Catálogo'!$Q:$Q),0))="","",IMAGE(INDEX('Catálogo'!$M:$M,MATCH($B$3&amp;"|"&amp;140,IF($B$3="TODAS",'Catálogo'!$U:$U,'Catálogo'!$Q:$Q),0)),1)),"")</f>
      </c>
      <c r="B145" s="40">
        <f>IFERROR(INDEX('Catálogo'!$B:$B,MATCH($B$3&amp;"|"&amp;140,IF($B$3="TODAS",'Catálogo'!$U:$U,'Catálogo'!$Q:$Q),0)),"")</f>
      </c>
      <c r="C145" s="41">
        <f>IFERROR(IF(INDEX('Catálogo'!$R:$R,MATCH($B$3&amp;"|"&amp;140,IF($B$3="TODAS",'Catálogo'!$U:$U,'Catálogo'!$Q:$Q),0))="","Cód: "&amp;INDEX('Catálogo'!$A:$A,MATCH($B$3&amp;"|"&amp;140,IF($B$3="TODAS",'Catálogo'!$U:$U,'Catálogo'!$Q:$Q),0)),"Medidas: "&amp;INDEX('Catálogo'!$R:$R,MATCH($B$3&amp;"|"&amp;140,IF($B$3="TODAS",'Catálogo'!$U:$U,'Catálogo'!$Q:$Q),0))&amp;"  ·  Cód: "&amp;INDEX('Catálogo'!$A:$A,MATCH($B$3&amp;"|"&amp;140,IF($B$3="TODAS",'Catálogo'!$U:$U,'Catálogo'!$Q:$Q),0))),"")</f>
      </c>
      <c r="D145" s="42">
        <f>IFERROR(IF($D$3="Mayor",INDEX('Catálogo'!$O:$O,MATCH($B$3&amp;"|"&amp;140,IF($B$3="TODAS",'Catálogo'!$U:$U,'Catálogo'!$Q:$Q),0)),INDEX('Catálogo'!$N:$N,MATCH($B$3&amp;"|"&amp;140,IF($B$3="TODAS",'Catálogo'!$U:$U,'Catálogo'!$Q:$Q),0))),"")</f>
      </c>
    </row>
    <row r="146" ht="90.00" customHeight="1">
      <c r="A146" s="39">
        <f>IFERROR(IF(INDEX('Catálogo'!$M:$M,MATCH($B$3&amp;"|"&amp;141,IF($B$3="TODAS",'Catálogo'!$U:$U,'Catálogo'!$Q:$Q),0))="","",IMAGE(INDEX('Catálogo'!$M:$M,MATCH($B$3&amp;"|"&amp;141,IF($B$3="TODAS",'Catálogo'!$U:$U,'Catálogo'!$Q:$Q),0)),1)),"")</f>
      </c>
      <c r="B146" s="40">
        <f>IFERROR(INDEX('Catálogo'!$B:$B,MATCH($B$3&amp;"|"&amp;141,IF($B$3="TODAS",'Catálogo'!$U:$U,'Catálogo'!$Q:$Q),0)),"")</f>
      </c>
      <c r="C146" s="41">
        <f>IFERROR(IF(INDEX('Catálogo'!$R:$R,MATCH($B$3&amp;"|"&amp;141,IF($B$3="TODAS",'Catálogo'!$U:$U,'Catálogo'!$Q:$Q),0))="","Cód: "&amp;INDEX('Catálogo'!$A:$A,MATCH($B$3&amp;"|"&amp;141,IF($B$3="TODAS",'Catálogo'!$U:$U,'Catálogo'!$Q:$Q),0)),"Medidas: "&amp;INDEX('Catálogo'!$R:$R,MATCH($B$3&amp;"|"&amp;141,IF($B$3="TODAS",'Catálogo'!$U:$U,'Catálogo'!$Q:$Q),0))&amp;"  ·  Cód: "&amp;INDEX('Catálogo'!$A:$A,MATCH($B$3&amp;"|"&amp;141,IF($B$3="TODAS",'Catálogo'!$U:$U,'Catálogo'!$Q:$Q),0))),"")</f>
      </c>
      <c r="D146" s="42">
        <f>IFERROR(IF($D$3="Mayor",INDEX('Catálogo'!$O:$O,MATCH($B$3&amp;"|"&amp;141,IF($B$3="TODAS",'Catálogo'!$U:$U,'Catálogo'!$Q:$Q),0)),INDEX('Catálogo'!$N:$N,MATCH($B$3&amp;"|"&amp;141,IF($B$3="TODAS",'Catálogo'!$U:$U,'Catálogo'!$Q:$Q),0))),"")</f>
      </c>
    </row>
    <row r="147" ht="90.00" customHeight="1">
      <c r="A147" s="39">
        <f>IFERROR(IF(INDEX('Catálogo'!$M:$M,MATCH($B$3&amp;"|"&amp;142,IF($B$3="TODAS",'Catálogo'!$U:$U,'Catálogo'!$Q:$Q),0))="","",IMAGE(INDEX('Catálogo'!$M:$M,MATCH($B$3&amp;"|"&amp;142,IF($B$3="TODAS",'Catálogo'!$U:$U,'Catálogo'!$Q:$Q),0)),1)),"")</f>
      </c>
      <c r="B147" s="40">
        <f>IFERROR(INDEX('Catálogo'!$B:$B,MATCH($B$3&amp;"|"&amp;142,IF($B$3="TODAS",'Catálogo'!$U:$U,'Catálogo'!$Q:$Q),0)),"")</f>
      </c>
      <c r="C147" s="41">
        <f>IFERROR(IF(INDEX('Catálogo'!$R:$R,MATCH($B$3&amp;"|"&amp;142,IF($B$3="TODAS",'Catálogo'!$U:$U,'Catálogo'!$Q:$Q),0))="","Cód: "&amp;INDEX('Catálogo'!$A:$A,MATCH($B$3&amp;"|"&amp;142,IF($B$3="TODAS",'Catálogo'!$U:$U,'Catálogo'!$Q:$Q),0)),"Medidas: "&amp;INDEX('Catálogo'!$R:$R,MATCH($B$3&amp;"|"&amp;142,IF($B$3="TODAS",'Catálogo'!$U:$U,'Catálogo'!$Q:$Q),0))&amp;"  ·  Cód: "&amp;INDEX('Catálogo'!$A:$A,MATCH($B$3&amp;"|"&amp;142,IF($B$3="TODAS",'Catálogo'!$U:$U,'Catálogo'!$Q:$Q),0))),"")</f>
      </c>
      <c r="D147" s="42">
        <f>IFERROR(IF($D$3="Mayor",INDEX('Catálogo'!$O:$O,MATCH($B$3&amp;"|"&amp;142,IF($B$3="TODAS",'Catálogo'!$U:$U,'Catálogo'!$Q:$Q),0)),INDEX('Catálogo'!$N:$N,MATCH($B$3&amp;"|"&amp;142,IF($B$3="TODAS",'Catálogo'!$U:$U,'Catálogo'!$Q:$Q),0))),"")</f>
      </c>
    </row>
    <row r="148" ht="90.00" customHeight="1">
      <c r="A148" s="39">
        <f>IFERROR(IF(INDEX('Catálogo'!$M:$M,MATCH($B$3&amp;"|"&amp;143,IF($B$3="TODAS",'Catálogo'!$U:$U,'Catálogo'!$Q:$Q),0))="","",IMAGE(INDEX('Catálogo'!$M:$M,MATCH($B$3&amp;"|"&amp;143,IF($B$3="TODAS",'Catálogo'!$U:$U,'Catálogo'!$Q:$Q),0)),1)),"")</f>
      </c>
      <c r="B148" s="40">
        <f>IFERROR(INDEX('Catálogo'!$B:$B,MATCH($B$3&amp;"|"&amp;143,IF($B$3="TODAS",'Catálogo'!$U:$U,'Catálogo'!$Q:$Q),0)),"")</f>
      </c>
      <c r="C148" s="41">
        <f>IFERROR(IF(INDEX('Catálogo'!$R:$R,MATCH($B$3&amp;"|"&amp;143,IF($B$3="TODAS",'Catálogo'!$U:$U,'Catálogo'!$Q:$Q),0))="","Cód: "&amp;INDEX('Catálogo'!$A:$A,MATCH($B$3&amp;"|"&amp;143,IF($B$3="TODAS",'Catálogo'!$U:$U,'Catálogo'!$Q:$Q),0)),"Medidas: "&amp;INDEX('Catálogo'!$R:$R,MATCH($B$3&amp;"|"&amp;143,IF($B$3="TODAS",'Catálogo'!$U:$U,'Catálogo'!$Q:$Q),0))&amp;"  ·  Cód: "&amp;INDEX('Catálogo'!$A:$A,MATCH($B$3&amp;"|"&amp;143,IF($B$3="TODAS",'Catálogo'!$U:$U,'Catálogo'!$Q:$Q),0))),"")</f>
      </c>
      <c r="D148" s="42">
        <f>IFERROR(IF($D$3="Mayor",INDEX('Catálogo'!$O:$O,MATCH($B$3&amp;"|"&amp;143,IF($B$3="TODAS",'Catálogo'!$U:$U,'Catálogo'!$Q:$Q),0)),INDEX('Catálogo'!$N:$N,MATCH($B$3&amp;"|"&amp;143,IF($B$3="TODAS",'Catálogo'!$U:$U,'Catálogo'!$Q:$Q),0))),"")</f>
      </c>
    </row>
    <row r="149" ht="90.00" customHeight="1">
      <c r="A149" s="39">
        <f>IFERROR(IF(INDEX('Catálogo'!$M:$M,MATCH($B$3&amp;"|"&amp;144,IF($B$3="TODAS",'Catálogo'!$U:$U,'Catálogo'!$Q:$Q),0))="","",IMAGE(INDEX('Catálogo'!$M:$M,MATCH($B$3&amp;"|"&amp;144,IF($B$3="TODAS",'Catálogo'!$U:$U,'Catálogo'!$Q:$Q),0)),1)),"")</f>
      </c>
      <c r="B149" s="40">
        <f>IFERROR(INDEX('Catálogo'!$B:$B,MATCH($B$3&amp;"|"&amp;144,IF($B$3="TODAS",'Catálogo'!$U:$U,'Catálogo'!$Q:$Q),0)),"")</f>
      </c>
      <c r="C149" s="41">
        <f>IFERROR(IF(INDEX('Catálogo'!$R:$R,MATCH($B$3&amp;"|"&amp;144,IF($B$3="TODAS",'Catálogo'!$U:$U,'Catálogo'!$Q:$Q),0))="","Cód: "&amp;INDEX('Catálogo'!$A:$A,MATCH($B$3&amp;"|"&amp;144,IF($B$3="TODAS",'Catálogo'!$U:$U,'Catálogo'!$Q:$Q),0)),"Medidas: "&amp;INDEX('Catálogo'!$R:$R,MATCH($B$3&amp;"|"&amp;144,IF($B$3="TODAS",'Catálogo'!$U:$U,'Catálogo'!$Q:$Q),0))&amp;"  ·  Cód: "&amp;INDEX('Catálogo'!$A:$A,MATCH($B$3&amp;"|"&amp;144,IF($B$3="TODAS",'Catálogo'!$U:$U,'Catálogo'!$Q:$Q),0))),"")</f>
      </c>
      <c r="D149" s="42">
        <f>IFERROR(IF($D$3="Mayor",INDEX('Catálogo'!$O:$O,MATCH($B$3&amp;"|"&amp;144,IF($B$3="TODAS",'Catálogo'!$U:$U,'Catálogo'!$Q:$Q),0)),INDEX('Catálogo'!$N:$N,MATCH($B$3&amp;"|"&amp;144,IF($B$3="TODAS",'Catálogo'!$U:$U,'Catálogo'!$Q:$Q),0))),"")</f>
      </c>
    </row>
    <row r="150" ht="90.00" customHeight="1">
      <c r="A150" s="39">
        <f>IFERROR(IF(INDEX('Catálogo'!$M:$M,MATCH($B$3&amp;"|"&amp;145,IF($B$3="TODAS",'Catálogo'!$U:$U,'Catálogo'!$Q:$Q),0))="","",IMAGE(INDEX('Catálogo'!$M:$M,MATCH($B$3&amp;"|"&amp;145,IF($B$3="TODAS",'Catálogo'!$U:$U,'Catálogo'!$Q:$Q),0)),1)),"")</f>
      </c>
      <c r="B150" s="40">
        <f>IFERROR(INDEX('Catálogo'!$B:$B,MATCH($B$3&amp;"|"&amp;145,IF($B$3="TODAS",'Catálogo'!$U:$U,'Catálogo'!$Q:$Q),0)),"")</f>
      </c>
      <c r="C150" s="41">
        <f>IFERROR(IF(INDEX('Catálogo'!$R:$R,MATCH($B$3&amp;"|"&amp;145,IF($B$3="TODAS",'Catálogo'!$U:$U,'Catálogo'!$Q:$Q),0))="","Cód: "&amp;INDEX('Catálogo'!$A:$A,MATCH($B$3&amp;"|"&amp;145,IF($B$3="TODAS",'Catálogo'!$U:$U,'Catálogo'!$Q:$Q),0)),"Medidas: "&amp;INDEX('Catálogo'!$R:$R,MATCH($B$3&amp;"|"&amp;145,IF($B$3="TODAS",'Catálogo'!$U:$U,'Catálogo'!$Q:$Q),0))&amp;"  ·  Cód: "&amp;INDEX('Catálogo'!$A:$A,MATCH($B$3&amp;"|"&amp;145,IF($B$3="TODAS",'Catálogo'!$U:$U,'Catálogo'!$Q:$Q),0))),"")</f>
      </c>
      <c r="D150" s="42">
        <f>IFERROR(IF($D$3="Mayor",INDEX('Catálogo'!$O:$O,MATCH($B$3&amp;"|"&amp;145,IF($B$3="TODAS",'Catálogo'!$U:$U,'Catálogo'!$Q:$Q),0)),INDEX('Catálogo'!$N:$N,MATCH($B$3&amp;"|"&amp;145,IF($B$3="TODAS",'Catálogo'!$U:$U,'Catálogo'!$Q:$Q),0))),"")</f>
      </c>
    </row>
    <row r="151" ht="90.00" customHeight="1">
      <c r="A151" s="39">
        <f>IFERROR(IF(INDEX('Catálogo'!$M:$M,MATCH($B$3&amp;"|"&amp;146,IF($B$3="TODAS",'Catálogo'!$U:$U,'Catálogo'!$Q:$Q),0))="","",IMAGE(INDEX('Catálogo'!$M:$M,MATCH($B$3&amp;"|"&amp;146,IF($B$3="TODAS",'Catálogo'!$U:$U,'Catálogo'!$Q:$Q),0)),1)),"")</f>
      </c>
      <c r="B151" s="40">
        <f>IFERROR(INDEX('Catálogo'!$B:$B,MATCH($B$3&amp;"|"&amp;146,IF($B$3="TODAS",'Catálogo'!$U:$U,'Catálogo'!$Q:$Q),0)),"")</f>
      </c>
      <c r="C151" s="41">
        <f>IFERROR(IF(INDEX('Catálogo'!$R:$R,MATCH($B$3&amp;"|"&amp;146,IF($B$3="TODAS",'Catálogo'!$U:$U,'Catálogo'!$Q:$Q),0))="","Cód: "&amp;INDEX('Catálogo'!$A:$A,MATCH($B$3&amp;"|"&amp;146,IF($B$3="TODAS",'Catálogo'!$U:$U,'Catálogo'!$Q:$Q),0)),"Medidas: "&amp;INDEX('Catálogo'!$R:$R,MATCH($B$3&amp;"|"&amp;146,IF($B$3="TODAS",'Catálogo'!$U:$U,'Catálogo'!$Q:$Q),0))&amp;"  ·  Cód: "&amp;INDEX('Catálogo'!$A:$A,MATCH($B$3&amp;"|"&amp;146,IF($B$3="TODAS",'Catálogo'!$U:$U,'Catálogo'!$Q:$Q),0))),"")</f>
      </c>
      <c r="D151" s="42">
        <f>IFERROR(IF($D$3="Mayor",INDEX('Catálogo'!$O:$O,MATCH($B$3&amp;"|"&amp;146,IF($B$3="TODAS",'Catálogo'!$U:$U,'Catálogo'!$Q:$Q),0)),INDEX('Catálogo'!$N:$N,MATCH($B$3&amp;"|"&amp;146,IF($B$3="TODAS",'Catálogo'!$U:$U,'Catálogo'!$Q:$Q),0))),"")</f>
      </c>
    </row>
    <row r="152" ht="90.00" customHeight="1">
      <c r="A152" s="39">
        <f>IFERROR(IF(INDEX('Catálogo'!$M:$M,MATCH($B$3&amp;"|"&amp;147,IF($B$3="TODAS",'Catálogo'!$U:$U,'Catálogo'!$Q:$Q),0))="","",IMAGE(INDEX('Catálogo'!$M:$M,MATCH($B$3&amp;"|"&amp;147,IF($B$3="TODAS",'Catálogo'!$U:$U,'Catálogo'!$Q:$Q),0)),1)),"")</f>
      </c>
      <c r="B152" s="40">
        <f>IFERROR(INDEX('Catálogo'!$B:$B,MATCH($B$3&amp;"|"&amp;147,IF($B$3="TODAS",'Catálogo'!$U:$U,'Catálogo'!$Q:$Q),0)),"")</f>
      </c>
      <c r="C152" s="41">
        <f>IFERROR(IF(INDEX('Catálogo'!$R:$R,MATCH($B$3&amp;"|"&amp;147,IF($B$3="TODAS",'Catálogo'!$U:$U,'Catálogo'!$Q:$Q),0))="","Cód: "&amp;INDEX('Catálogo'!$A:$A,MATCH($B$3&amp;"|"&amp;147,IF($B$3="TODAS",'Catálogo'!$U:$U,'Catálogo'!$Q:$Q),0)),"Medidas: "&amp;INDEX('Catálogo'!$R:$R,MATCH($B$3&amp;"|"&amp;147,IF($B$3="TODAS",'Catálogo'!$U:$U,'Catálogo'!$Q:$Q),0))&amp;"  ·  Cód: "&amp;INDEX('Catálogo'!$A:$A,MATCH($B$3&amp;"|"&amp;147,IF($B$3="TODAS",'Catálogo'!$U:$U,'Catálogo'!$Q:$Q),0))),"")</f>
      </c>
      <c r="D152" s="42">
        <f>IFERROR(IF($D$3="Mayor",INDEX('Catálogo'!$O:$O,MATCH($B$3&amp;"|"&amp;147,IF($B$3="TODAS",'Catálogo'!$U:$U,'Catálogo'!$Q:$Q),0)),INDEX('Catálogo'!$N:$N,MATCH($B$3&amp;"|"&amp;147,IF($B$3="TODAS",'Catálogo'!$U:$U,'Catálogo'!$Q:$Q),0))),"")</f>
      </c>
    </row>
    <row r="153" ht="90.00" customHeight="1">
      <c r="A153" s="39">
        <f>IFERROR(IF(INDEX('Catálogo'!$M:$M,MATCH($B$3&amp;"|"&amp;148,IF($B$3="TODAS",'Catálogo'!$U:$U,'Catálogo'!$Q:$Q),0))="","",IMAGE(INDEX('Catálogo'!$M:$M,MATCH($B$3&amp;"|"&amp;148,IF($B$3="TODAS",'Catálogo'!$U:$U,'Catálogo'!$Q:$Q),0)),1)),"")</f>
      </c>
      <c r="B153" s="40">
        <f>IFERROR(INDEX('Catálogo'!$B:$B,MATCH($B$3&amp;"|"&amp;148,IF($B$3="TODAS",'Catálogo'!$U:$U,'Catálogo'!$Q:$Q),0)),"")</f>
      </c>
      <c r="C153" s="41">
        <f>IFERROR(IF(INDEX('Catálogo'!$R:$R,MATCH($B$3&amp;"|"&amp;148,IF($B$3="TODAS",'Catálogo'!$U:$U,'Catálogo'!$Q:$Q),0))="","Cód: "&amp;INDEX('Catálogo'!$A:$A,MATCH($B$3&amp;"|"&amp;148,IF($B$3="TODAS",'Catálogo'!$U:$U,'Catálogo'!$Q:$Q),0)),"Medidas: "&amp;INDEX('Catálogo'!$R:$R,MATCH($B$3&amp;"|"&amp;148,IF($B$3="TODAS",'Catálogo'!$U:$U,'Catálogo'!$Q:$Q),0))&amp;"  ·  Cód: "&amp;INDEX('Catálogo'!$A:$A,MATCH($B$3&amp;"|"&amp;148,IF($B$3="TODAS",'Catálogo'!$U:$U,'Catálogo'!$Q:$Q),0))),"")</f>
      </c>
      <c r="D153" s="42">
        <f>IFERROR(IF($D$3="Mayor",INDEX('Catálogo'!$O:$O,MATCH($B$3&amp;"|"&amp;148,IF($B$3="TODAS",'Catálogo'!$U:$U,'Catálogo'!$Q:$Q),0)),INDEX('Catálogo'!$N:$N,MATCH($B$3&amp;"|"&amp;148,IF($B$3="TODAS",'Catálogo'!$U:$U,'Catálogo'!$Q:$Q),0))),"")</f>
      </c>
    </row>
    <row r="154" ht="90.00" customHeight="1">
      <c r="A154" s="39">
        <f>IFERROR(IF(INDEX('Catálogo'!$M:$M,MATCH($B$3&amp;"|"&amp;149,IF($B$3="TODAS",'Catálogo'!$U:$U,'Catálogo'!$Q:$Q),0))="","",IMAGE(INDEX('Catálogo'!$M:$M,MATCH($B$3&amp;"|"&amp;149,IF($B$3="TODAS",'Catálogo'!$U:$U,'Catálogo'!$Q:$Q),0)),1)),"")</f>
      </c>
      <c r="B154" s="40">
        <f>IFERROR(INDEX('Catálogo'!$B:$B,MATCH($B$3&amp;"|"&amp;149,IF($B$3="TODAS",'Catálogo'!$U:$U,'Catálogo'!$Q:$Q),0)),"")</f>
      </c>
      <c r="C154" s="41">
        <f>IFERROR(IF(INDEX('Catálogo'!$R:$R,MATCH($B$3&amp;"|"&amp;149,IF($B$3="TODAS",'Catálogo'!$U:$U,'Catálogo'!$Q:$Q),0))="","Cód: "&amp;INDEX('Catálogo'!$A:$A,MATCH($B$3&amp;"|"&amp;149,IF($B$3="TODAS",'Catálogo'!$U:$U,'Catálogo'!$Q:$Q),0)),"Medidas: "&amp;INDEX('Catálogo'!$R:$R,MATCH($B$3&amp;"|"&amp;149,IF($B$3="TODAS",'Catálogo'!$U:$U,'Catálogo'!$Q:$Q),0))&amp;"  ·  Cód: "&amp;INDEX('Catálogo'!$A:$A,MATCH($B$3&amp;"|"&amp;149,IF($B$3="TODAS",'Catálogo'!$U:$U,'Catálogo'!$Q:$Q),0))),"")</f>
      </c>
      <c r="D154" s="42">
        <f>IFERROR(IF($D$3="Mayor",INDEX('Catálogo'!$O:$O,MATCH($B$3&amp;"|"&amp;149,IF($B$3="TODAS",'Catálogo'!$U:$U,'Catálogo'!$Q:$Q),0)),INDEX('Catálogo'!$N:$N,MATCH($B$3&amp;"|"&amp;149,IF($B$3="TODAS",'Catálogo'!$U:$U,'Catálogo'!$Q:$Q),0))),"")</f>
      </c>
    </row>
    <row r="155" ht="90.00" customHeight="1">
      <c r="A155" s="39">
        <f>IFERROR(IF(INDEX('Catálogo'!$M:$M,MATCH($B$3&amp;"|"&amp;150,IF($B$3="TODAS",'Catálogo'!$U:$U,'Catálogo'!$Q:$Q),0))="","",IMAGE(INDEX('Catálogo'!$M:$M,MATCH($B$3&amp;"|"&amp;150,IF($B$3="TODAS",'Catálogo'!$U:$U,'Catálogo'!$Q:$Q),0)),1)),"")</f>
      </c>
      <c r="B155" s="40">
        <f>IFERROR(INDEX('Catálogo'!$B:$B,MATCH($B$3&amp;"|"&amp;150,IF($B$3="TODAS",'Catálogo'!$U:$U,'Catálogo'!$Q:$Q),0)),"")</f>
      </c>
      <c r="C155" s="41">
        <f>IFERROR(IF(INDEX('Catálogo'!$R:$R,MATCH($B$3&amp;"|"&amp;150,IF($B$3="TODAS",'Catálogo'!$U:$U,'Catálogo'!$Q:$Q),0))="","Cód: "&amp;INDEX('Catálogo'!$A:$A,MATCH($B$3&amp;"|"&amp;150,IF($B$3="TODAS",'Catálogo'!$U:$U,'Catálogo'!$Q:$Q),0)),"Medidas: "&amp;INDEX('Catálogo'!$R:$R,MATCH($B$3&amp;"|"&amp;150,IF($B$3="TODAS",'Catálogo'!$U:$U,'Catálogo'!$Q:$Q),0))&amp;"  ·  Cód: "&amp;INDEX('Catálogo'!$A:$A,MATCH($B$3&amp;"|"&amp;150,IF($B$3="TODAS",'Catálogo'!$U:$U,'Catálogo'!$Q:$Q),0))),"")</f>
      </c>
      <c r="D155" s="42">
        <f>IFERROR(IF($D$3="Mayor",INDEX('Catálogo'!$O:$O,MATCH($B$3&amp;"|"&amp;150,IF($B$3="TODAS",'Catálogo'!$U:$U,'Catálogo'!$Q:$Q),0)),INDEX('Catálogo'!$N:$N,MATCH($B$3&amp;"|"&amp;150,IF($B$3="TODAS",'Catálogo'!$U:$U,'Catálogo'!$Q:$Q),0))),"")</f>
      </c>
    </row>
    <row r="156" ht="90.00" customHeight="1">
      <c r="A156" s="39">
        <f>IFERROR(IF(INDEX('Catálogo'!$M:$M,MATCH($B$3&amp;"|"&amp;151,IF($B$3="TODAS",'Catálogo'!$U:$U,'Catálogo'!$Q:$Q),0))="","",IMAGE(INDEX('Catálogo'!$M:$M,MATCH($B$3&amp;"|"&amp;151,IF($B$3="TODAS",'Catálogo'!$U:$U,'Catálogo'!$Q:$Q),0)),1)),"")</f>
      </c>
      <c r="B156" s="40">
        <f>IFERROR(INDEX('Catálogo'!$B:$B,MATCH($B$3&amp;"|"&amp;151,IF($B$3="TODAS",'Catálogo'!$U:$U,'Catálogo'!$Q:$Q),0)),"")</f>
      </c>
      <c r="C156" s="41">
        <f>IFERROR(IF(INDEX('Catálogo'!$R:$R,MATCH($B$3&amp;"|"&amp;151,IF($B$3="TODAS",'Catálogo'!$U:$U,'Catálogo'!$Q:$Q),0))="","Cód: "&amp;INDEX('Catálogo'!$A:$A,MATCH($B$3&amp;"|"&amp;151,IF($B$3="TODAS",'Catálogo'!$U:$U,'Catálogo'!$Q:$Q),0)),"Medidas: "&amp;INDEX('Catálogo'!$R:$R,MATCH($B$3&amp;"|"&amp;151,IF($B$3="TODAS",'Catálogo'!$U:$U,'Catálogo'!$Q:$Q),0))&amp;"  ·  Cód: "&amp;INDEX('Catálogo'!$A:$A,MATCH($B$3&amp;"|"&amp;151,IF($B$3="TODAS",'Catálogo'!$U:$U,'Catálogo'!$Q:$Q),0))),"")</f>
      </c>
      <c r="D156" s="42">
        <f>IFERROR(IF($D$3="Mayor",INDEX('Catálogo'!$O:$O,MATCH($B$3&amp;"|"&amp;151,IF($B$3="TODAS",'Catálogo'!$U:$U,'Catálogo'!$Q:$Q),0)),INDEX('Catálogo'!$N:$N,MATCH($B$3&amp;"|"&amp;151,IF($B$3="TODAS",'Catálogo'!$U:$U,'Catálogo'!$Q:$Q),0))),"")</f>
      </c>
    </row>
    <row r="157" ht="90.00" customHeight="1">
      <c r="A157" s="39">
        <f>IFERROR(IF(INDEX('Catálogo'!$M:$M,MATCH($B$3&amp;"|"&amp;152,IF($B$3="TODAS",'Catálogo'!$U:$U,'Catálogo'!$Q:$Q),0))="","",IMAGE(INDEX('Catálogo'!$M:$M,MATCH($B$3&amp;"|"&amp;152,IF($B$3="TODAS",'Catálogo'!$U:$U,'Catálogo'!$Q:$Q),0)),1)),"")</f>
      </c>
      <c r="B157" s="40">
        <f>IFERROR(INDEX('Catálogo'!$B:$B,MATCH($B$3&amp;"|"&amp;152,IF($B$3="TODAS",'Catálogo'!$U:$U,'Catálogo'!$Q:$Q),0)),"")</f>
      </c>
      <c r="C157" s="41">
        <f>IFERROR(IF(INDEX('Catálogo'!$R:$R,MATCH($B$3&amp;"|"&amp;152,IF($B$3="TODAS",'Catálogo'!$U:$U,'Catálogo'!$Q:$Q),0))="","Cód: "&amp;INDEX('Catálogo'!$A:$A,MATCH($B$3&amp;"|"&amp;152,IF($B$3="TODAS",'Catálogo'!$U:$U,'Catálogo'!$Q:$Q),0)),"Medidas: "&amp;INDEX('Catálogo'!$R:$R,MATCH($B$3&amp;"|"&amp;152,IF($B$3="TODAS",'Catálogo'!$U:$U,'Catálogo'!$Q:$Q),0))&amp;"  ·  Cód: "&amp;INDEX('Catálogo'!$A:$A,MATCH($B$3&amp;"|"&amp;152,IF($B$3="TODAS",'Catálogo'!$U:$U,'Catálogo'!$Q:$Q),0))),"")</f>
      </c>
      <c r="D157" s="42">
        <f>IFERROR(IF($D$3="Mayor",INDEX('Catálogo'!$O:$O,MATCH($B$3&amp;"|"&amp;152,IF($B$3="TODAS",'Catálogo'!$U:$U,'Catálogo'!$Q:$Q),0)),INDEX('Catálogo'!$N:$N,MATCH($B$3&amp;"|"&amp;152,IF($B$3="TODAS",'Catálogo'!$U:$U,'Catálogo'!$Q:$Q),0))),"")</f>
      </c>
    </row>
    <row r="158" ht="90.00" customHeight="1">
      <c r="A158" s="39">
        <f>IFERROR(IF(INDEX('Catálogo'!$M:$M,MATCH($B$3&amp;"|"&amp;153,IF($B$3="TODAS",'Catálogo'!$U:$U,'Catálogo'!$Q:$Q),0))="","",IMAGE(INDEX('Catálogo'!$M:$M,MATCH($B$3&amp;"|"&amp;153,IF($B$3="TODAS",'Catálogo'!$U:$U,'Catálogo'!$Q:$Q),0)),1)),"")</f>
      </c>
      <c r="B158" s="40">
        <f>IFERROR(INDEX('Catálogo'!$B:$B,MATCH($B$3&amp;"|"&amp;153,IF($B$3="TODAS",'Catálogo'!$U:$U,'Catálogo'!$Q:$Q),0)),"")</f>
      </c>
      <c r="C158" s="41">
        <f>IFERROR(IF(INDEX('Catálogo'!$R:$R,MATCH($B$3&amp;"|"&amp;153,IF($B$3="TODAS",'Catálogo'!$U:$U,'Catálogo'!$Q:$Q),0))="","Cód: "&amp;INDEX('Catálogo'!$A:$A,MATCH($B$3&amp;"|"&amp;153,IF($B$3="TODAS",'Catálogo'!$U:$U,'Catálogo'!$Q:$Q),0)),"Medidas: "&amp;INDEX('Catálogo'!$R:$R,MATCH($B$3&amp;"|"&amp;153,IF($B$3="TODAS",'Catálogo'!$U:$U,'Catálogo'!$Q:$Q),0))&amp;"  ·  Cód: "&amp;INDEX('Catálogo'!$A:$A,MATCH($B$3&amp;"|"&amp;153,IF($B$3="TODAS",'Catálogo'!$U:$U,'Catálogo'!$Q:$Q),0))),"")</f>
      </c>
      <c r="D158" s="42">
        <f>IFERROR(IF($D$3="Mayor",INDEX('Catálogo'!$O:$O,MATCH($B$3&amp;"|"&amp;153,IF($B$3="TODAS",'Catálogo'!$U:$U,'Catálogo'!$Q:$Q),0)),INDEX('Catálogo'!$N:$N,MATCH($B$3&amp;"|"&amp;153,IF($B$3="TODAS",'Catálogo'!$U:$U,'Catálogo'!$Q:$Q),0))),"")</f>
      </c>
    </row>
    <row r="159" ht="90.00" customHeight="1">
      <c r="A159" s="39">
        <f>IFERROR(IF(INDEX('Catálogo'!$M:$M,MATCH($B$3&amp;"|"&amp;154,IF($B$3="TODAS",'Catálogo'!$U:$U,'Catálogo'!$Q:$Q),0))="","",IMAGE(INDEX('Catálogo'!$M:$M,MATCH($B$3&amp;"|"&amp;154,IF($B$3="TODAS",'Catálogo'!$U:$U,'Catálogo'!$Q:$Q),0)),1)),"")</f>
      </c>
      <c r="B159" s="40">
        <f>IFERROR(INDEX('Catálogo'!$B:$B,MATCH($B$3&amp;"|"&amp;154,IF($B$3="TODAS",'Catálogo'!$U:$U,'Catálogo'!$Q:$Q),0)),"")</f>
      </c>
      <c r="C159" s="41">
        <f>IFERROR(IF(INDEX('Catálogo'!$R:$R,MATCH($B$3&amp;"|"&amp;154,IF($B$3="TODAS",'Catálogo'!$U:$U,'Catálogo'!$Q:$Q),0))="","Cód: "&amp;INDEX('Catálogo'!$A:$A,MATCH($B$3&amp;"|"&amp;154,IF($B$3="TODAS",'Catálogo'!$U:$U,'Catálogo'!$Q:$Q),0)),"Medidas: "&amp;INDEX('Catálogo'!$R:$R,MATCH($B$3&amp;"|"&amp;154,IF($B$3="TODAS",'Catálogo'!$U:$U,'Catálogo'!$Q:$Q),0))&amp;"  ·  Cód: "&amp;INDEX('Catálogo'!$A:$A,MATCH($B$3&amp;"|"&amp;154,IF($B$3="TODAS",'Catálogo'!$U:$U,'Catálogo'!$Q:$Q),0))),"")</f>
      </c>
      <c r="D159" s="42">
        <f>IFERROR(IF($D$3="Mayor",INDEX('Catálogo'!$O:$O,MATCH($B$3&amp;"|"&amp;154,IF($B$3="TODAS",'Catálogo'!$U:$U,'Catálogo'!$Q:$Q),0)),INDEX('Catálogo'!$N:$N,MATCH($B$3&amp;"|"&amp;154,IF($B$3="TODAS",'Catálogo'!$U:$U,'Catálogo'!$Q:$Q),0))),"")</f>
      </c>
    </row>
    <row r="160" ht="90.00" customHeight="1">
      <c r="A160" s="39">
        <f>IFERROR(IF(INDEX('Catálogo'!$M:$M,MATCH($B$3&amp;"|"&amp;155,IF($B$3="TODAS",'Catálogo'!$U:$U,'Catálogo'!$Q:$Q),0))="","",IMAGE(INDEX('Catálogo'!$M:$M,MATCH($B$3&amp;"|"&amp;155,IF($B$3="TODAS",'Catálogo'!$U:$U,'Catálogo'!$Q:$Q),0)),1)),"")</f>
      </c>
      <c r="B160" s="40">
        <f>IFERROR(INDEX('Catálogo'!$B:$B,MATCH($B$3&amp;"|"&amp;155,IF($B$3="TODAS",'Catálogo'!$U:$U,'Catálogo'!$Q:$Q),0)),"")</f>
      </c>
      <c r="C160" s="41">
        <f>IFERROR(IF(INDEX('Catálogo'!$R:$R,MATCH($B$3&amp;"|"&amp;155,IF($B$3="TODAS",'Catálogo'!$U:$U,'Catálogo'!$Q:$Q),0))="","Cód: "&amp;INDEX('Catálogo'!$A:$A,MATCH($B$3&amp;"|"&amp;155,IF($B$3="TODAS",'Catálogo'!$U:$U,'Catálogo'!$Q:$Q),0)),"Medidas: "&amp;INDEX('Catálogo'!$R:$R,MATCH($B$3&amp;"|"&amp;155,IF($B$3="TODAS",'Catálogo'!$U:$U,'Catálogo'!$Q:$Q),0))&amp;"  ·  Cód: "&amp;INDEX('Catálogo'!$A:$A,MATCH($B$3&amp;"|"&amp;155,IF($B$3="TODAS",'Catálogo'!$U:$U,'Catálogo'!$Q:$Q),0))),"")</f>
      </c>
      <c r="D160" s="42">
        <f>IFERROR(IF($D$3="Mayor",INDEX('Catálogo'!$O:$O,MATCH($B$3&amp;"|"&amp;155,IF($B$3="TODAS",'Catálogo'!$U:$U,'Catálogo'!$Q:$Q),0)),INDEX('Catálogo'!$N:$N,MATCH($B$3&amp;"|"&amp;155,IF($B$3="TODAS",'Catálogo'!$U:$U,'Catálogo'!$Q:$Q),0))),"")</f>
      </c>
    </row>
    <row r="161" ht="90.00" customHeight="1">
      <c r="A161" s="39">
        <f>IFERROR(IF(INDEX('Catálogo'!$M:$M,MATCH($B$3&amp;"|"&amp;156,IF($B$3="TODAS",'Catálogo'!$U:$U,'Catálogo'!$Q:$Q),0))="","",IMAGE(INDEX('Catálogo'!$M:$M,MATCH($B$3&amp;"|"&amp;156,IF($B$3="TODAS",'Catálogo'!$U:$U,'Catálogo'!$Q:$Q),0)),1)),"")</f>
      </c>
      <c r="B161" s="40">
        <f>IFERROR(INDEX('Catálogo'!$B:$B,MATCH($B$3&amp;"|"&amp;156,IF($B$3="TODAS",'Catálogo'!$U:$U,'Catálogo'!$Q:$Q),0)),"")</f>
      </c>
      <c r="C161" s="41">
        <f>IFERROR(IF(INDEX('Catálogo'!$R:$R,MATCH($B$3&amp;"|"&amp;156,IF($B$3="TODAS",'Catálogo'!$U:$U,'Catálogo'!$Q:$Q),0))="","Cód: "&amp;INDEX('Catálogo'!$A:$A,MATCH($B$3&amp;"|"&amp;156,IF($B$3="TODAS",'Catálogo'!$U:$U,'Catálogo'!$Q:$Q),0)),"Medidas: "&amp;INDEX('Catálogo'!$R:$R,MATCH($B$3&amp;"|"&amp;156,IF($B$3="TODAS",'Catálogo'!$U:$U,'Catálogo'!$Q:$Q),0))&amp;"  ·  Cód: "&amp;INDEX('Catálogo'!$A:$A,MATCH($B$3&amp;"|"&amp;156,IF($B$3="TODAS",'Catálogo'!$U:$U,'Catálogo'!$Q:$Q),0))),"")</f>
      </c>
      <c r="D161" s="42">
        <f>IFERROR(IF($D$3="Mayor",INDEX('Catálogo'!$O:$O,MATCH($B$3&amp;"|"&amp;156,IF($B$3="TODAS",'Catálogo'!$U:$U,'Catálogo'!$Q:$Q),0)),INDEX('Catálogo'!$N:$N,MATCH($B$3&amp;"|"&amp;156,IF($B$3="TODAS",'Catálogo'!$U:$U,'Catálogo'!$Q:$Q),0))),"")</f>
      </c>
    </row>
    <row r="162" ht="90.00" customHeight="1">
      <c r="A162" s="39">
        <f>IFERROR(IF(INDEX('Catálogo'!$M:$M,MATCH($B$3&amp;"|"&amp;157,IF($B$3="TODAS",'Catálogo'!$U:$U,'Catálogo'!$Q:$Q),0))="","",IMAGE(INDEX('Catálogo'!$M:$M,MATCH($B$3&amp;"|"&amp;157,IF($B$3="TODAS",'Catálogo'!$U:$U,'Catálogo'!$Q:$Q),0)),1)),"")</f>
      </c>
      <c r="B162" s="40">
        <f>IFERROR(INDEX('Catálogo'!$B:$B,MATCH($B$3&amp;"|"&amp;157,IF($B$3="TODAS",'Catálogo'!$U:$U,'Catálogo'!$Q:$Q),0)),"")</f>
      </c>
      <c r="C162" s="41">
        <f>IFERROR(IF(INDEX('Catálogo'!$R:$R,MATCH($B$3&amp;"|"&amp;157,IF($B$3="TODAS",'Catálogo'!$U:$U,'Catálogo'!$Q:$Q),0))="","Cód: "&amp;INDEX('Catálogo'!$A:$A,MATCH($B$3&amp;"|"&amp;157,IF($B$3="TODAS",'Catálogo'!$U:$U,'Catálogo'!$Q:$Q),0)),"Medidas: "&amp;INDEX('Catálogo'!$R:$R,MATCH($B$3&amp;"|"&amp;157,IF($B$3="TODAS",'Catálogo'!$U:$U,'Catálogo'!$Q:$Q),0))&amp;"  ·  Cód: "&amp;INDEX('Catálogo'!$A:$A,MATCH($B$3&amp;"|"&amp;157,IF($B$3="TODAS",'Catálogo'!$U:$U,'Catálogo'!$Q:$Q),0))),"")</f>
      </c>
      <c r="D162" s="42">
        <f>IFERROR(IF($D$3="Mayor",INDEX('Catálogo'!$O:$O,MATCH($B$3&amp;"|"&amp;157,IF($B$3="TODAS",'Catálogo'!$U:$U,'Catálogo'!$Q:$Q),0)),INDEX('Catálogo'!$N:$N,MATCH($B$3&amp;"|"&amp;157,IF($B$3="TODAS",'Catálogo'!$U:$U,'Catálogo'!$Q:$Q),0))),"")</f>
      </c>
    </row>
    <row r="163" ht="90.00" customHeight="1">
      <c r="A163" s="39">
        <f>IFERROR(IF(INDEX('Catálogo'!$M:$M,MATCH($B$3&amp;"|"&amp;158,IF($B$3="TODAS",'Catálogo'!$U:$U,'Catálogo'!$Q:$Q),0))="","",IMAGE(INDEX('Catálogo'!$M:$M,MATCH($B$3&amp;"|"&amp;158,IF($B$3="TODAS",'Catálogo'!$U:$U,'Catálogo'!$Q:$Q),0)),1)),"")</f>
      </c>
      <c r="B163" s="40">
        <f>IFERROR(INDEX('Catálogo'!$B:$B,MATCH($B$3&amp;"|"&amp;158,IF($B$3="TODAS",'Catálogo'!$U:$U,'Catálogo'!$Q:$Q),0)),"")</f>
      </c>
      <c r="C163" s="41">
        <f>IFERROR(IF(INDEX('Catálogo'!$R:$R,MATCH($B$3&amp;"|"&amp;158,IF($B$3="TODAS",'Catálogo'!$U:$U,'Catálogo'!$Q:$Q),0))="","Cód: "&amp;INDEX('Catálogo'!$A:$A,MATCH($B$3&amp;"|"&amp;158,IF($B$3="TODAS",'Catálogo'!$U:$U,'Catálogo'!$Q:$Q),0)),"Medidas: "&amp;INDEX('Catálogo'!$R:$R,MATCH($B$3&amp;"|"&amp;158,IF($B$3="TODAS",'Catálogo'!$U:$U,'Catálogo'!$Q:$Q),0))&amp;"  ·  Cód: "&amp;INDEX('Catálogo'!$A:$A,MATCH($B$3&amp;"|"&amp;158,IF($B$3="TODAS",'Catálogo'!$U:$U,'Catálogo'!$Q:$Q),0))),"")</f>
      </c>
      <c r="D163" s="42">
        <f>IFERROR(IF($D$3="Mayor",INDEX('Catálogo'!$O:$O,MATCH($B$3&amp;"|"&amp;158,IF($B$3="TODAS",'Catálogo'!$U:$U,'Catálogo'!$Q:$Q),0)),INDEX('Catálogo'!$N:$N,MATCH($B$3&amp;"|"&amp;158,IF($B$3="TODAS",'Catálogo'!$U:$U,'Catálogo'!$Q:$Q),0))),"")</f>
      </c>
    </row>
    <row r="164" ht="90.00" customHeight="1">
      <c r="A164" s="39">
        <f>IFERROR(IF(INDEX('Catálogo'!$M:$M,MATCH($B$3&amp;"|"&amp;159,IF($B$3="TODAS",'Catálogo'!$U:$U,'Catálogo'!$Q:$Q),0))="","",IMAGE(INDEX('Catálogo'!$M:$M,MATCH($B$3&amp;"|"&amp;159,IF($B$3="TODAS",'Catálogo'!$U:$U,'Catálogo'!$Q:$Q),0)),1)),"")</f>
      </c>
      <c r="B164" s="40">
        <f>IFERROR(INDEX('Catálogo'!$B:$B,MATCH($B$3&amp;"|"&amp;159,IF($B$3="TODAS",'Catálogo'!$U:$U,'Catálogo'!$Q:$Q),0)),"")</f>
      </c>
      <c r="C164" s="41">
        <f>IFERROR(IF(INDEX('Catálogo'!$R:$R,MATCH($B$3&amp;"|"&amp;159,IF($B$3="TODAS",'Catálogo'!$U:$U,'Catálogo'!$Q:$Q),0))="","Cód: "&amp;INDEX('Catálogo'!$A:$A,MATCH($B$3&amp;"|"&amp;159,IF($B$3="TODAS",'Catálogo'!$U:$U,'Catálogo'!$Q:$Q),0)),"Medidas: "&amp;INDEX('Catálogo'!$R:$R,MATCH($B$3&amp;"|"&amp;159,IF($B$3="TODAS",'Catálogo'!$U:$U,'Catálogo'!$Q:$Q),0))&amp;"  ·  Cód: "&amp;INDEX('Catálogo'!$A:$A,MATCH($B$3&amp;"|"&amp;159,IF($B$3="TODAS",'Catálogo'!$U:$U,'Catálogo'!$Q:$Q),0))),"")</f>
      </c>
      <c r="D164" s="42">
        <f>IFERROR(IF($D$3="Mayor",INDEX('Catálogo'!$O:$O,MATCH($B$3&amp;"|"&amp;159,IF($B$3="TODAS",'Catálogo'!$U:$U,'Catálogo'!$Q:$Q),0)),INDEX('Catálogo'!$N:$N,MATCH($B$3&amp;"|"&amp;159,IF($B$3="TODAS",'Catálogo'!$U:$U,'Catálogo'!$Q:$Q),0))),"")</f>
      </c>
    </row>
    <row r="165" ht="90.00" customHeight="1">
      <c r="A165" s="39">
        <f>IFERROR(IF(INDEX('Catálogo'!$M:$M,MATCH($B$3&amp;"|"&amp;160,IF($B$3="TODAS",'Catálogo'!$U:$U,'Catálogo'!$Q:$Q),0))="","",IMAGE(INDEX('Catálogo'!$M:$M,MATCH($B$3&amp;"|"&amp;160,IF($B$3="TODAS",'Catálogo'!$U:$U,'Catálogo'!$Q:$Q),0)),1)),"")</f>
      </c>
      <c r="B165" s="40">
        <f>IFERROR(INDEX('Catálogo'!$B:$B,MATCH($B$3&amp;"|"&amp;160,IF($B$3="TODAS",'Catálogo'!$U:$U,'Catálogo'!$Q:$Q),0)),"")</f>
      </c>
      <c r="C165" s="41">
        <f>IFERROR(IF(INDEX('Catálogo'!$R:$R,MATCH($B$3&amp;"|"&amp;160,IF($B$3="TODAS",'Catálogo'!$U:$U,'Catálogo'!$Q:$Q),0))="","Cód: "&amp;INDEX('Catálogo'!$A:$A,MATCH($B$3&amp;"|"&amp;160,IF($B$3="TODAS",'Catálogo'!$U:$U,'Catálogo'!$Q:$Q),0)),"Medidas: "&amp;INDEX('Catálogo'!$R:$R,MATCH($B$3&amp;"|"&amp;160,IF($B$3="TODAS",'Catálogo'!$U:$U,'Catálogo'!$Q:$Q),0))&amp;"  ·  Cód: "&amp;INDEX('Catálogo'!$A:$A,MATCH($B$3&amp;"|"&amp;160,IF($B$3="TODAS",'Catálogo'!$U:$U,'Catálogo'!$Q:$Q),0))),"")</f>
      </c>
      <c r="D165" s="42">
        <f>IFERROR(IF($D$3="Mayor",INDEX('Catálogo'!$O:$O,MATCH($B$3&amp;"|"&amp;160,IF($B$3="TODAS",'Catálogo'!$U:$U,'Catálogo'!$Q:$Q),0)),INDEX('Catálogo'!$N:$N,MATCH($B$3&amp;"|"&amp;160,IF($B$3="TODAS",'Catálogo'!$U:$U,'Catálogo'!$Q:$Q),0))),"")</f>
      </c>
    </row>
    <row r="166" ht="90.00" customHeight="1">
      <c r="A166" s="39">
        <f>IFERROR(IF(INDEX('Catálogo'!$M:$M,MATCH($B$3&amp;"|"&amp;161,IF($B$3="TODAS",'Catálogo'!$U:$U,'Catálogo'!$Q:$Q),0))="","",IMAGE(INDEX('Catálogo'!$M:$M,MATCH($B$3&amp;"|"&amp;161,IF($B$3="TODAS",'Catálogo'!$U:$U,'Catálogo'!$Q:$Q),0)),1)),"")</f>
      </c>
      <c r="B166" s="40">
        <f>IFERROR(INDEX('Catálogo'!$B:$B,MATCH($B$3&amp;"|"&amp;161,IF($B$3="TODAS",'Catálogo'!$U:$U,'Catálogo'!$Q:$Q),0)),"")</f>
      </c>
      <c r="C166" s="41">
        <f>IFERROR(IF(INDEX('Catálogo'!$R:$R,MATCH($B$3&amp;"|"&amp;161,IF($B$3="TODAS",'Catálogo'!$U:$U,'Catálogo'!$Q:$Q),0))="","Cód: "&amp;INDEX('Catálogo'!$A:$A,MATCH($B$3&amp;"|"&amp;161,IF($B$3="TODAS",'Catálogo'!$U:$U,'Catálogo'!$Q:$Q),0)),"Medidas: "&amp;INDEX('Catálogo'!$R:$R,MATCH($B$3&amp;"|"&amp;161,IF($B$3="TODAS",'Catálogo'!$U:$U,'Catálogo'!$Q:$Q),0))&amp;"  ·  Cód: "&amp;INDEX('Catálogo'!$A:$A,MATCH($B$3&amp;"|"&amp;161,IF($B$3="TODAS",'Catálogo'!$U:$U,'Catálogo'!$Q:$Q),0))),"")</f>
      </c>
      <c r="D166" s="42">
        <f>IFERROR(IF($D$3="Mayor",INDEX('Catálogo'!$O:$O,MATCH($B$3&amp;"|"&amp;161,IF($B$3="TODAS",'Catálogo'!$U:$U,'Catálogo'!$Q:$Q),0)),INDEX('Catálogo'!$N:$N,MATCH($B$3&amp;"|"&amp;161,IF($B$3="TODAS",'Catálogo'!$U:$U,'Catálogo'!$Q:$Q),0))),"")</f>
      </c>
    </row>
    <row r="167" ht="90.00" customHeight="1">
      <c r="A167" s="39">
        <f>IFERROR(IF(INDEX('Catálogo'!$M:$M,MATCH($B$3&amp;"|"&amp;162,IF($B$3="TODAS",'Catálogo'!$U:$U,'Catálogo'!$Q:$Q),0))="","",IMAGE(INDEX('Catálogo'!$M:$M,MATCH($B$3&amp;"|"&amp;162,IF($B$3="TODAS",'Catálogo'!$U:$U,'Catálogo'!$Q:$Q),0)),1)),"")</f>
      </c>
      <c r="B167" s="40">
        <f>IFERROR(INDEX('Catálogo'!$B:$B,MATCH($B$3&amp;"|"&amp;162,IF($B$3="TODAS",'Catálogo'!$U:$U,'Catálogo'!$Q:$Q),0)),"")</f>
      </c>
      <c r="C167" s="41">
        <f>IFERROR(IF(INDEX('Catálogo'!$R:$R,MATCH($B$3&amp;"|"&amp;162,IF($B$3="TODAS",'Catálogo'!$U:$U,'Catálogo'!$Q:$Q),0))="","Cód: "&amp;INDEX('Catálogo'!$A:$A,MATCH($B$3&amp;"|"&amp;162,IF($B$3="TODAS",'Catálogo'!$U:$U,'Catálogo'!$Q:$Q),0)),"Medidas: "&amp;INDEX('Catálogo'!$R:$R,MATCH($B$3&amp;"|"&amp;162,IF($B$3="TODAS",'Catálogo'!$U:$U,'Catálogo'!$Q:$Q),0))&amp;"  ·  Cód: "&amp;INDEX('Catálogo'!$A:$A,MATCH($B$3&amp;"|"&amp;162,IF($B$3="TODAS",'Catálogo'!$U:$U,'Catálogo'!$Q:$Q),0))),"")</f>
      </c>
      <c r="D167" s="42">
        <f>IFERROR(IF($D$3="Mayor",INDEX('Catálogo'!$O:$O,MATCH($B$3&amp;"|"&amp;162,IF($B$3="TODAS",'Catálogo'!$U:$U,'Catálogo'!$Q:$Q),0)),INDEX('Catálogo'!$N:$N,MATCH($B$3&amp;"|"&amp;162,IF($B$3="TODAS",'Catálogo'!$U:$U,'Catálogo'!$Q:$Q),0))),"")</f>
      </c>
    </row>
    <row r="168" ht="90.00" customHeight="1">
      <c r="A168" s="39">
        <f>IFERROR(IF(INDEX('Catálogo'!$M:$M,MATCH($B$3&amp;"|"&amp;163,IF($B$3="TODAS",'Catálogo'!$U:$U,'Catálogo'!$Q:$Q),0))="","",IMAGE(INDEX('Catálogo'!$M:$M,MATCH($B$3&amp;"|"&amp;163,IF($B$3="TODAS",'Catálogo'!$U:$U,'Catálogo'!$Q:$Q),0)),1)),"")</f>
      </c>
      <c r="B168" s="40">
        <f>IFERROR(INDEX('Catálogo'!$B:$B,MATCH($B$3&amp;"|"&amp;163,IF($B$3="TODAS",'Catálogo'!$U:$U,'Catálogo'!$Q:$Q),0)),"")</f>
      </c>
      <c r="C168" s="41">
        <f>IFERROR(IF(INDEX('Catálogo'!$R:$R,MATCH($B$3&amp;"|"&amp;163,IF($B$3="TODAS",'Catálogo'!$U:$U,'Catálogo'!$Q:$Q),0))="","Cód: "&amp;INDEX('Catálogo'!$A:$A,MATCH($B$3&amp;"|"&amp;163,IF($B$3="TODAS",'Catálogo'!$U:$U,'Catálogo'!$Q:$Q),0)),"Medidas: "&amp;INDEX('Catálogo'!$R:$R,MATCH($B$3&amp;"|"&amp;163,IF($B$3="TODAS",'Catálogo'!$U:$U,'Catálogo'!$Q:$Q),0))&amp;"  ·  Cód: "&amp;INDEX('Catálogo'!$A:$A,MATCH($B$3&amp;"|"&amp;163,IF($B$3="TODAS",'Catálogo'!$U:$U,'Catálogo'!$Q:$Q),0))),"")</f>
      </c>
      <c r="D168" s="42">
        <f>IFERROR(IF($D$3="Mayor",INDEX('Catálogo'!$O:$O,MATCH($B$3&amp;"|"&amp;163,IF($B$3="TODAS",'Catálogo'!$U:$U,'Catálogo'!$Q:$Q),0)),INDEX('Catálogo'!$N:$N,MATCH($B$3&amp;"|"&amp;163,IF($B$3="TODAS",'Catálogo'!$U:$U,'Catálogo'!$Q:$Q),0))),"")</f>
      </c>
    </row>
    <row r="169" ht="90.00" customHeight="1">
      <c r="A169" s="39">
        <f>IFERROR(IF(INDEX('Catálogo'!$M:$M,MATCH($B$3&amp;"|"&amp;164,IF($B$3="TODAS",'Catálogo'!$U:$U,'Catálogo'!$Q:$Q),0))="","",IMAGE(INDEX('Catálogo'!$M:$M,MATCH($B$3&amp;"|"&amp;164,IF($B$3="TODAS",'Catálogo'!$U:$U,'Catálogo'!$Q:$Q),0)),1)),"")</f>
      </c>
      <c r="B169" s="40">
        <f>IFERROR(INDEX('Catálogo'!$B:$B,MATCH($B$3&amp;"|"&amp;164,IF($B$3="TODAS",'Catálogo'!$U:$U,'Catálogo'!$Q:$Q),0)),"")</f>
      </c>
      <c r="C169" s="41">
        <f>IFERROR(IF(INDEX('Catálogo'!$R:$R,MATCH($B$3&amp;"|"&amp;164,IF($B$3="TODAS",'Catálogo'!$U:$U,'Catálogo'!$Q:$Q),0))="","Cód: "&amp;INDEX('Catálogo'!$A:$A,MATCH($B$3&amp;"|"&amp;164,IF($B$3="TODAS",'Catálogo'!$U:$U,'Catálogo'!$Q:$Q),0)),"Medidas: "&amp;INDEX('Catálogo'!$R:$R,MATCH($B$3&amp;"|"&amp;164,IF($B$3="TODAS",'Catálogo'!$U:$U,'Catálogo'!$Q:$Q),0))&amp;"  ·  Cód: "&amp;INDEX('Catálogo'!$A:$A,MATCH($B$3&amp;"|"&amp;164,IF($B$3="TODAS",'Catálogo'!$U:$U,'Catálogo'!$Q:$Q),0))),"")</f>
      </c>
      <c r="D169" s="42">
        <f>IFERROR(IF($D$3="Mayor",INDEX('Catálogo'!$O:$O,MATCH($B$3&amp;"|"&amp;164,IF($B$3="TODAS",'Catálogo'!$U:$U,'Catálogo'!$Q:$Q),0)),INDEX('Catálogo'!$N:$N,MATCH($B$3&amp;"|"&amp;164,IF($B$3="TODAS",'Catálogo'!$U:$U,'Catálogo'!$Q:$Q),0))),"")</f>
      </c>
    </row>
    <row r="170" ht="90.00" customHeight="1">
      <c r="A170" s="39">
        <f>IFERROR(IF(INDEX('Catálogo'!$M:$M,MATCH($B$3&amp;"|"&amp;165,IF($B$3="TODAS",'Catálogo'!$U:$U,'Catálogo'!$Q:$Q),0))="","",IMAGE(INDEX('Catálogo'!$M:$M,MATCH($B$3&amp;"|"&amp;165,IF($B$3="TODAS",'Catálogo'!$U:$U,'Catálogo'!$Q:$Q),0)),1)),"")</f>
      </c>
      <c r="B170" s="40">
        <f>IFERROR(INDEX('Catálogo'!$B:$B,MATCH($B$3&amp;"|"&amp;165,IF($B$3="TODAS",'Catálogo'!$U:$U,'Catálogo'!$Q:$Q),0)),"")</f>
      </c>
      <c r="C170" s="41">
        <f>IFERROR(IF(INDEX('Catálogo'!$R:$R,MATCH($B$3&amp;"|"&amp;165,IF($B$3="TODAS",'Catálogo'!$U:$U,'Catálogo'!$Q:$Q),0))="","Cód: "&amp;INDEX('Catálogo'!$A:$A,MATCH($B$3&amp;"|"&amp;165,IF($B$3="TODAS",'Catálogo'!$U:$U,'Catálogo'!$Q:$Q),0)),"Medidas: "&amp;INDEX('Catálogo'!$R:$R,MATCH($B$3&amp;"|"&amp;165,IF($B$3="TODAS",'Catálogo'!$U:$U,'Catálogo'!$Q:$Q),0))&amp;"  ·  Cód: "&amp;INDEX('Catálogo'!$A:$A,MATCH($B$3&amp;"|"&amp;165,IF($B$3="TODAS",'Catálogo'!$U:$U,'Catálogo'!$Q:$Q),0))),"")</f>
      </c>
      <c r="D170" s="42">
        <f>IFERROR(IF($D$3="Mayor",INDEX('Catálogo'!$O:$O,MATCH($B$3&amp;"|"&amp;165,IF($B$3="TODAS",'Catálogo'!$U:$U,'Catálogo'!$Q:$Q),0)),INDEX('Catálogo'!$N:$N,MATCH($B$3&amp;"|"&amp;165,IF($B$3="TODAS",'Catálogo'!$U:$U,'Catálogo'!$Q:$Q),0))),"")</f>
      </c>
    </row>
    <row r="171" ht="90.00" customHeight="1">
      <c r="A171" s="39">
        <f>IFERROR(IF(INDEX('Catálogo'!$M:$M,MATCH($B$3&amp;"|"&amp;166,IF($B$3="TODAS",'Catálogo'!$U:$U,'Catálogo'!$Q:$Q),0))="","",IMAGE(INDEX('Catálogo'!$M:$M,MATCH($B$3&amp;"|"&amp;166,IF($B$3="TODAS",'Catálogo'!$U:$U,'Catálogo'!$Q:$Q),0)),1)),"")</f>
      </c>
      <c r="B171" s="40">
        <f>IFERROR(INDEX('Catálogo'!$B:$B,MATCH($B$3&amp;"|"&amp;166,IF($B$3="TODAS",'Catálogo'!$U:$U,'Catálogo'!$Q:$Q),0)),"")</f>
      </c>
      <c r="C171" s="41">
        <f>IFERROR(IF(INDEX('Catálogo'!$R:$R,MATCH($B$3&amp;"|"&amp;166,IF($B$3="TODAS",'Catálogo'!$U:$U,'Catálogo'!$Q:$Q),0))="","Cód: "&amp;INDEX('Catálogo'!$A:$A,MATCH($B$3&amp;"|"&amp;166,IF($B$3="TODAS",'Catálogo'!$U:$U,'Catálogo'!$Q:$Q),0)),"Medidas: "&amp;INDEX('Catálogo'!$R:$R,MATCH($B$3&amp;"|"&amp;166,IF($B$3="TODAS",'Catálogo'!$U:$U,'Catálogo'!$Q:$Q),0))&amp;"  ·  Cód: "&amp;INDEX('Catálogo'!$A:$A,MATCH($B$3&amp;"|"&amp;166,IF($B$3="TODAS",'Catálogo'!$U:$U,'Catálogo'!$Q:$Q),0))),"")</f>
      </c>
      <c r="D171" s="42">
        <f>IFERROR(IF($D$3="Mayor",INDEX('Catálogo'!$O:$O,MATCH($B$3&amp;"|"&amp;166,IF($B$3="TODAS",'Catálogo'!$U:$U,'Catálogo'!$Q:$Q),0)),INDEX('Catálogo'!$N:$N,MATCH($B$3&amp;"|"&amp;166,IF($B$3="TODAS",'Catálogo'!$U:$U,'Catálogo'!$Q:$Q),0))),"")</f>
      </c>
    </row>
    <row r="172" ht="90.00" customHeight="1">
      <c r="A172" s="39">
        <f>IFERROR(IF(INDEX('Catálogo'!$M:$M,MATCH($B$3&amp;"|"&amp;167,IF($B$3="TODAS",'Catálogo'!$U:$U,'Catálogo'!$Q:$Q),0))="","",IMAGE(INDEX('Catálogo'!$M:$M,MATCH($B$3&amp;"|"&amp;167,IF($B$3="TODAS",'Catálogo'!$U:$U,'Catálogo'!$Q:$Q),0)),1)),"")</f>
      </c>
      <c r="B172" s="40">
        <f>IFERROR(INDEX('Catálogo'!$B:$B,MATCH($B$3&amp;"|"&amp;167,IF($B$3="TODAS",'Catálogo'!$U:$U,'Catálogo'!$Q:$Q),0)),"")</f>
      </c>
      <c r="C172" s="41">
        <f>IFERROR(IF(INDEX('Catálogo'!$R:$R,MATCH($B$3&amp;"|"&amp;167,IF($B$3="TODAS",'Catálogo'!$U:$U,'Catálogo'!$Q:$Q),0))="","Cód: "&amp;INDEX('Catálogo'!$A:$A,MATCH($B$3&amp;"|"&amp;167,IF($B$3="TODAS",'Catálogo'!$U:$U,'Catálogo'!$Q:$Q),0)),"Medidas: "&amp;INDEX('Catálogo'!$R:$R,MATCH($B$3&amp;"|"&amp;167,IF($B$3="TODAS",'Catálogo'!$U:$U,'Catálogo'!$Q:$Q),0))&amp;"  ·  Cód: "&amp;INDEX('Catálogo'!$A:$A,MATCH($B$3&amp;"|"&amp;167,IF($B$3="TODAS",'Catálogo'!$U:$U,'Catálogo'!$Q:$Q),0))),"")</f>
      </c>
      <c r="D172" s="42">
        <f>IFERROR(IF($D$3="Mayor",INDEX('Catálogo'!$O:$O,MATCH($B$3&amp;"|"&amp;167,IF($B$3="TODAS",'Catálogo'!$U:$U,'Catálogo'!$Q:$Q),0)),INDEX('Catálogo'!$N:$N,MATCH($B$3&amp;"|"&amp;167,IF($B$3="TODAS",'Catálogo'!$U:$U,'Catálogo'!$Q:$Q),0))),"")</f>
      </c>
    </row>
    <row r="173" ht="90.00" customHeight="1">
      <c r="A173" s="39">
        <f>IFERROR(IF(INDEX('Catálogo'!$M:$M,MATCH($B$3&amp;"|"&amp;168,IF($B$3="TODAS",'Catálogo'!$U:$U,'Catálogo'!$Q:$Q),0))="","",IMAGE(INDEX('Catálogo'!$M:$M,MATCH($B$3&amp;"|"&amp;168,IF($B$3="TODAS",'Catálogo'!$U:$U,'Catálogo'!$Q:$Q),0)),1)),"")</f>
      </c>
      <c r="B173" s="40">
        <f>IFERROR(INDEX('Catálogo'!$B:$B,MATCH($B$3&amp;"|"&amp;168,IF($B$3="TODAS",'Catálogo'!$U:$U,'Catálogo'!$Q:$Q),0)),"")</f>
      </c>
      <c r="C173" s="41">
        <f>IFERROR(IF(INDEX('Catálogo'!$R:$R,MATCH($B$3&amp;"|"&amp;168,IF($B$3="TODAS",'Catálogo'!$U:$U,'Catálogo'!$Q:$Q),0))="","Cód: "&amp;INDEX('Catálogo'!$A:$A,MATCH($B$3&amp;"|"&amp;168,IF($B$3="TODAS",'Catálogo'!$U:$U,'Catálogo'!$Q:$Q),0)),"Medidas: "&amp;INDEX('Catálogo'!$R:$R,MATCH($B$3&amp;"|"&amp;168,IF($B$3="TODAS",'Catálogo'!$U:$U,'Catálogo'!$Q:$Q),0))&amp;"  ·  Cód: "&amp;INDEX('Catálogo'!$A:$A,MATCH($B$3&amp;"|"&amp;168,IF($B$3="TODAS",'Catálogo'!$U:$U,'Catálogo'!$Q:$Q),0))),"")</f>
      </c>
      <c r="D173" s="42">
        <f>IFERROR(IF($D$3="Mayor",INDEX('Catálogo'!$O:$O,MATCH($B$3&amp;"|"&amp;168,IF($B$3="TODAS",'Catálogo'!$U:$U,'Catálogo'!$Q:$Q),0)),INDEX('Catálogo'!$N:$N,MATCH($B$3&amp;"|"&amp;168,IF($B$3="TODAS",'Catálogo'!$U:$U,'Catálogo'!$Q:$Q),0))),"")</f>
      </c>
    </row>
    <row r="174" ht="90.00" customHeight="1">
      <c r="A174" s="39">
        <f>IFERROR(IF(INDEX('Catálogo'!$M:$M,MATCH($B$3&amp;"|"&amp;169,IF($B$3="TODAS",'Catálogo'!$U:$U,'Catálogo'!$Q:$Q),0))="","",IMAGE(INDEX('Catálogo'!$M:$M,MATCH($B$3&amp;"|"&amp;169,IF($B$3="TODAS",'Catálogo'!$U:$U,'Catálogo'!$Q:$Q),0)),1)),"")</f>
      </c>
      <c r="B174" s="40">
        <f>IFERROR(INDEX('Catálogo'!$B:$B,MATCH($B$3&amp;"|"&amp;169,IF($B$3="TODAS",'Catálogo'!$U:$U,'Catálogo'!$Q:$Q),0)),"")</f>
      </c>
      <c r="C174" s="41">
        <f>IFERROR(IF(INDEX('Catálogo'!$R:$R,MATCH($B$3&amp;"|"&amp;169,IF($B$3="TODAS",'Catálogo'!$U:$U,'Catálogo'!$Q:$Q),0))="","Cód: "&amp;INDEX('Catálogo'!$A:$A,MATCH($B$3&amp;"|"&amp;169,IF($B$3="TODAS",'Catálogo'!$U:$U,'Catálogo'!$Q:$Q),0)),"Medidas: "&amp;INDEX('Catálogo'!$R:$R,MATCH($B$3&amp;"|"&amp;169,IF($B$3="TODAS",'Catálogo'!$U:$U,'Catálogo'!$Q:$Q),0))&amp;"  ·  Cód: "&amp;INDEX('Catálogo'!$A:$A,MATCH($B$3&amp;"|"&amp;169,IF($B$3="TODAS",'Catálogo'!$U:$U,'Catálogo'!$Q:$Q),0))),"")</f>
      </c>
      <c r="D174" s="42">
        <f>IFERROR(IF($D$3="Mayor",INDEX('Catálogo'!$O:$O,MATCH($B$3&amp;"|"&amp;169,IF($B$3="TODAS",'Catálogo'!$U:$U,'Catálogo'!$Q:$Q),0)),INDEX('Catálogo'!$N:$N,MATCH($B$3&amp;"|"&amp;169,IF($B$3="TODAS",'Catálogo'!$U:$U,'Catálogo'!$Q:$Q),0))),"")</f>
      </c>
    </row>
    <row r="175" ht="90.00" customHeight="1">
      <c r="A175" s="39">
        <f>IFERROR(IF(INDEX('Catálogo'!$M:$M,MATCH($B$3&amp;"|"&amp;170,IF($B$3="TODAS",'Catálogo'!$U:$U,'Catálogo'!$Q:$Q),0))="","",IMAGE(INDEX('Catálogo'!$M:$M,MATCH($B$3&amp;"|"&amp;170,IF($B$3="TODAS",'Catálogo'!$U:$U,'Catálogo'!$Q:$Q),0)),1)),"")</f>
      </c>
      <c r="B175" s="40">
        <f>IFERROR(INDEX('Catálogo'!$B:$B,MATCH($B$3&amp;"|"&amp;170,IF($B$3="TODAS",'Catálogo'!$U:$U,'Catálogo'!$Q:$Q),0)),"")</f>
      </c>
      <c r="C175" s="41">
        <f>IFERROR(IF(INDEX('Catálogo'!$R:$R,MATCH($B$3&amp;"|"&amp;170,IF($B$3="TODAS",'Catálogo'!$U:$U,'Catálogo'!$Q:$Q),0))="","Cód: "&amp;INDEX('Catálogo'!$A:$A,MATCH($B$3&amp;"|"&amp;170,IF($B$3="TODAS",'Catálogo'!$U:$U,'Catálogo'!$Q:$Q),0)),"Medidas: "&amp;INDEX('Catálogo'!$R:$R,MATCH($B$3&amp;"|"&amp;170,IF($B$3="TODAS",'Catálogo'!$U:$U,'Catálogo'!$Q:$Q),0))&amp;"  ·  Cód: "&amp;INDEX('Catálogo'!$A:$A,MATCH($B$3&amp;"|"&amp;170,IF($B$3="TODAS",'Catálogo'!$U:$U,'Catálogo'!$Q:$Q),0))),"")</f>
      </c>
      <c r="D175" s="42">
        <f>IFERROR(IF($D$3="Mayor",INDEX('Catálogo'!$O:$O,MATCH($B$3&amp;"|"&amp;170,IF($B$3="TODAS",'Catálogo'!$U:$U,'Catálogo'!$Q:$Q),0)),INDEX('Catálogo'!$N:$N,MATCH($B$3&amp;"|"&amp;170,IF($B$3="TODAS",'Catálogo'!$U:$U,'Catálogo'!$Q:$Q),0))),"")</f>
      </c>
    </row>
    <row r="176" ht="90.00" customHeight="1">
      <c r="A176" s="39">
        <f>IFERROR(IF(INDEX('Catálogo'!$M:$M,MATCH($B$3&amp;"|"&amp;171,IF($B$3="TODAS",'Catálogo'!$U:$U,'Catálogo'!$Q:$Q),0))="","",IMAGE(INDEX('Catálogo'!$M:$M,MATCH($B$3&amp;"|"&amp;171,IF($B$3="TODAS",'Catálogo'!$U:$U,'Catálogo'!$Q:$Q),0)),1)),"")</f>
      </c>
      <c r="B176" s="40">
        <f>IFERROR(INDEX('Catálogo'!$B:$B,MATCH($B$3&amp;"|"&amp;171,IF($B$3="TODAS",'Catálogo'!$U:$U,'Catálogo'!$Q:$Q),0)),"")</f>
      </c>
      <c r="C176" s="41">
        <f>IFERROR(IF(INDEX('Catálogo'!$R:$R,MATCH($B$3&amp;"|"&amp;171,IF($B$3="TODAS",'Catálogo'!$U:$U,'Catálogo'!$Q:$Q),0))="","Cód: "&amp;INDEX('Catálogo'!$A:$A,MATCH($B$3&amp;"|"&amp;171,IF($B$3="TODAS",'Catálogo'!$U:$U,'Catálogo'!$Q:$Q),0)),"Medidas: "&amp;INDEX('Catálogo'!$R:$R,MATCH($B$3&amp;"|"&amp;171,IF($B$3="TODAS",'Catálogo'!$U:$U,'Catálogo'!$Q:$Q),0))&amp;"  ·  Cód: "&amp;INDEX('Catálogo'!$A:$A,MATCH($B$3&amp;"|"&amp;171,IF($B$3="TODAS",'Catálogo'!$U:$U,'Catálogo'!$Q:$Q),0))),"")</f>
      </c>
      <c r="D176" s="42">
        <f>IFERROR(IF($D$3="Mayor",INDEX('Catálogo'!$O:$O,MATCH($B$3&amp;"|"&amp;171,IF($B$3="TODAS",'Catálogo'!$U:$U,'Catálogo'!$Q:$Q),0)),INDEX('Catálogo'!$N:$N,MATCH($B$3&amp;"|"&amp;171,IF($B$3="TODAS",'Catálogo'!$U:$U,'Catálogo'!$Q:$Q),0))),"")</f>
      </c>
    </row>
    <row r="177" ht="90.00" customHeight="1">
      <c r="A177" s="39">
        <f>IFERROR(IF(INDEX('Catálogo'!$M:$M,MATCH($B$3&amp;"|"&amp;172,IF($B$3="TODAS",'Catálogo'!$U:$U,'Catálogo'!$Q:$Q),0))="","",IMAGE(INDEX('Catálogo'!$M:$M,MATCH($B$3&amp;"|"&amp;172,IF($B$3="TODAS",'Catálogo'!$U:$U,'Catálogo'!$Q:$Q),0)),1)),"")</f>
      </c>
      <c r="B177" s="40">
        <f>IFERROR(INDEX('Catálogo'!$B:$B,MATCH($B$3&amp;"|"&amp;172,IF($B$3="TODAS",'Catálogo'!$U:$U,'Catálogo'!$Q:$Q),0)),"")</f>
      </c>
      <c r="C177" s="41">
        <f>IFERROR(IF(INDEX('Catálogo'!$R:$R,MATCH($B$3&amp;"|"&amp;172,IF($B$3="TODAS",'Catálogo'!$U:$U,'Catálogo'!$Q:$Q),0))="","Cód: "&amp;INDEX('Catálogo'!$A:$A,MATCH($B$3&amp;"|"&amp;172,IF($B$3="TODAS",'Catálogo'!$U:$U,'Catálogo'!$Q:$Q),0)),"Medidas: "&amp;INDEX('Catálogo'!$R:$R,MATCH($B$3&amp;"|"&amp;172,IF($B$3="TODAS",'Catálogo'!$U:$U,'Catálogo'!$Q:$Q),0))&amp;"  ·  Cód: "&amp;INDEX('Catálogo'!$A:$A,MATCH($B$3&amp;"|"&amp;172,IF($B$3="TODAS",'Catálogo'!$U:$U,'Catálogo'!$Q:$Q),0))),"")</f>
      </c>
      <c r="D177" s="42">
        <f>IFERROR(IF($D$3="Mayor",INDEX('Catálogo'!$O:$O,MATCH($B$3&amp;"|"&amp;172,IF($B$3="TODAS",'Catálogo'!$U:$U,'Catálogo'!$Q:$Q),0)),INDEX('Catálogo'!$N:$N,MATCH($B$3&amp;"|"&amp;172,IF($B$3="TODAS",'Catálogo'!$U:$U,'Catálogo'!$Q:$Q),0))),"")</f>
      </c>
    </row>
    <row r="178" ht="90.00" customHeight="1">
      <c r="A178" s="39">
        <f>IFERROR(IF(INDEX('Catálogo'!$M:$M,MATCH($B$3&amp;"|"&amp;173,IF($B$3="TODAS",'Catálogo'!$U:$U,'Catálogo'!$Q:$Q),0))="","",IMAGE(INDEX('Catálogo'!$M:$M,MATCH($B$3&amp;"|"&amp;173,IF($B$3="TODAS",'Catálogo'!$U:$U,'Catálogo'!$Q:$Q),0)),1)),"")</f>
      </c>
      <c r="B178" s="40">
        <f>IFERROR(INDEX('Catálogo'!$B:$B,MATCH($B$3&amp;"|"&amp;173,IF($B$3="TODAS",'Catálogo'!$U:$U,'Catálogo'!$Q:$Q),0)),"")</f>
      </c>
      <c r="C178" s="41">
        <f>IFERROR(IF(INDEX('Catálogo'!$R:$R,MATCH($B$3&amp;"|"&amp;173,IF($B$3="TODAS",'Catálogo'!$U:$U,'Catálogo'!$Q:$Q),0))="","Cód: "&amp;INDEX('Catálogo'!$A:$A,MATCH($B$3&amp;"|"&amp;173,IF($B$3="TODAS",'Catálogo'!$U:$U,'Catálogo'!$Q:$Q),0)),"Medidas: "&amp;INDEX('Catálogo'!$R:$R,MATCH($B$3&amp;"|"&amp;173,IF($B$3="TODAS",'Catálogo'!$U:$U,'Catálogo'!$Q:$Q),0))&amp;"  ·  Cód: "&amp;INDEX('Catálogo'!$A:$A,MATCH($B$3&amp;"|"&amp;173,IF($B$3="TODAS",'Catálogo'!$U:$U,'Catálogo'!$Q:$Q),0))),"")</f>
      </c>
      <c r="D178" s="42">
        <f>IFERROR(IF($D$3="Mayor",INDEX('Catálogo'!$O:$O,MATCH($B$3&amp;"|"&amp;173,IF($B$3="TODAS",'Catálogo'!$U:$U,'Catálogo'!$Q:$Q),0)),INDEX('Catálogo'!$N:$N,MATCH($B$3&amp;"|"&amp;173,IF($B$3="TODAS",'Catálogo'!$U:$U,'Catálogo'!$Q:$Q),0))),"")</f>
      </c>
    </row>
    <row r="179" ht="90.00" customHeight="1">
      <c r="A179" s="39">
        <f>IFERROR(IF(INDEX('Catálogo'!$M:$M,MATCH($B$3&amp;"|"&amp;174,IF($B$3="TODAS",'Catálogo'!$U:$U,'Catálogo'!$Q:$Q),0))="","",IMAGE(INDEX('Catálogo'!$M:$M,MATCH($B$3&amp;"|"&amp;174,IF($B$3="TODAS",'Catálogo'!$U:$U,'Catálogo'!$Q:$Q),0)),1)),"")</f>
      </c>
      <c r="B179" s="40">
        <f>IFERROR(INDEX('Catálogo'!$B:$B,MATCH($B$3&amp;"|"&amp;174,IF($B$3="TODAS",'Catálogo'!$U:$U,'Catálogo'!$Q:$Q),0)),"")</f>
      </c>
      <c r="C179" s="41">
        <f>IFERROR(IF(INDEX('Catálogo'!$R:$R,MATCH($B$3&amp;"|"&amp;174,IF($B$3="TODAS",'Catálogo'!$U:$U,'Catálogo'!$Q:$Q),0))="","Cód: "&amp;INDEX('Catálogo'!$A:$A,MATCH($B$3&amp;"|"&amp;174,IF($B$3="TODAS",'Catálogo'!$U:$U,'Catálogo'!$Q:$Q),0)),"Medidas: "&amp;INDEX('Catálogo'!$R:$R,MATCH($B$3&amp;"|"&amp;174,IF($B$3="TODAS",'Catálogo'!$U:$U,'Catálogo'!$Q:$Q),0))&amp;"  ·  Cód: "&amp;INDEX('Catálogo'!$A:$A,MATCH($B$3&amp;"|"&amp;174,IF($B$3="TODAS",'Catálogo'!$U:$U,'Catálogo'!$Q:$Q),0))),"")</f>
      </c>
      <c r="D179" s="42">
        <f>IFERROR(IF($D$3="Mayor",INDEX('Catálogo'!$O:$O,MATCH($B$3&amp;"|"&amp;174,IF($B$3="TODAS",'Catálogo'!$U:$U,'Catálogo'!$Q:$Q),0)),INDEX('Catálogo'!$N:$N,MATCH($B$3&amp;"|"&amp;174,IF($B$3="TODAS",'Catálogo'!$U:$U,'Catálogo'!$Q:$Q),0))),"")</f>
      </c>
    </row>
    <row r="180" ht="90.00" customHeight="1">
      <c r="A180" s="39">
        <f>IFERROR(IF(INDEX('Catálogo'!$M:$M,MATCH($B$3&amp;"|"&amp;175,IF($B$3="TODAS",'Catálogo'!$U:$U,'Catálogo'!$Q:$Q),0))="","",IMAGE(INDEX('Catálogo'!$M:$M,MATCH($B$3&amp;"|"&amp;175,IF($B$3="TODAS",'Catálogo'!$U:$U,'Catálogo'!$Q:$Q),0)),1)),"")</f>
      </c>
      <c r="B180" s="40">
        <f>IFERROR(INDEX('Catálogo'!$B:$B,MATCH($B$3&amp;"|"&amp;175,IF($B$3="TODAS",'Catálogo'!$U:$U,'Catálogo'!$Q:$Q),0)),"")</f>
      </c>
      <c r="C180" s="41">
        <f>IFERROR(IF(INDEX('Catálogo'!$R:$R,MATCH($B$3&amp;"|"&amp;175,IF($B$3="TODAS",'Catálogo'!$U:$U,'Catálogo'!$Q:$Q),0))="","Cód: "&amp;INDEX('Catálogo'!$A:$A,MATCH($B$3&amp;"|"&amp;175,IF($B$3="TODAS",'Catálogo'!$U:$U,'Catálogo'!$Q:$Q),0)),"Medidas: "&amp;INDEX('Catálogo'!$R:$R,MATCH($B$3&amp;"|"&amp;175,IF($B$3="TODAS",'Catálogo'!$U:$U,'Catálogo'!$Q:$Q),0))&amp;"  ·  Cód: "&amp;INDEX('Catálogo'!$A:$A,MATCH($B$3&amp;"|"&amp;175,IF($B$3="TODAS",'Catálogo'!$U:$U,'Catálogo'!$Q:$Q),0))),"")</f>
      </c>
      <c r="D180" s="42">
        <f>IFERROR(IF($D$3="Mayor",INDEX('Catálogo'!$O:$O,MATCH($B$3&amp;"|"&amp;175,IF($B$3="TODAS",'Catálogo'!$U:$U,'Catálogo'!$Q:$Q),0)),INDEX('Catálogo'!$N:$N,MATCH($B$3&amp;"|"&amp;175,IF($B$3="TODAS",'Catálogo'!$U:$U,'Catálogo'!$Q:$Q),0))),"")</f>
      </c>
    </row>
    <row r="181" ht="90.00" customHeight="1">
      <c r="A181" s="39">
        <f>IFERROR(IF(INDEX('Catálogo'!$M:$M,MATCH($B$3&amp;"|"&amp;176,IF($B$3="TODAS",'Catálogo'!$U:$U,'Catálogo'!$Q:$Q),0))="","",IMAGE(INDEX('Catálogo'!$M:$M,MATCH($B$3&amp;"|"&amp;176,IF($B$3="TODAS",'Catálogo'!$U:$U,'Catálogo'!$Q:$Q),0)),1)),"")</f>
      </c>
      <c r="B181" s="40">
        <f>IFERROR(INDEX('Catálogo'!$B:$B,MATCH($B$3&amp;"|"&amp;176,IF($B$3="TODAS",'Catálogo'!$U:$U,'Catálogo'!$Q:$Q),0)),"")</f>
      </c>
      <c r="C181" s="41">
        <f>IFERROR(IF(INDEX('Catálogo'!$R:$R,MATCH($B$3&amp;"|"&amp;176,IF($B$3="TODAS",'Catálogo'!$U:$U,'Catálogo'!$Q:$Q),0))="","Cód: "&amp;INDEX('Catálogo'!$A:$A,MATCH($B$3&amp;"|"&amp;176,IF($B$3="TODAS",'Catálogo'!$U:$U,'Catálogo'!$Q:$Q),0)),"Medidas: "&amp;INDEX('Catálogo'!$R:$R,MATCH($B$3&amp;"|"&amp;176,IF($B$3="TODAS",'Catálogo'!$U:$U,'Catálogo'!$Q:$Q),0))&amp;"  ·  Cód: "&amp;INDEX('Catálogo'!$A:$A,MATCH($B$3&amp;"|"&amp;176,IF($B$3="TODAS",'Catálogo'!$U:$U,'Catálogo'!$Q:$Q),0))),"")</f>
      </c>
      <c r="D181" s="42">
        <f>IFERROR(IF($D$3="Mayor",INDEX('Catálogo'!$O:$O,MATCH($B$3&amp;"|"&amp;176,IF($B$3="TODAS",'Catálogo'!$U:$U,'Catálogo'!$Q:$Q),0)),INDEX('Catálogo'!$N:$N,MATCH($B$3&amp;"|"&amp;176,IF($B$3="TODAS",'Catálogo'!$U:$U,'Catálogo'!$Q:$Q),0))),"")</f>
      </c>
    </row>
    <row r="182" ht="90.00" customHeight="1">
      <c r="A182" s="39">
        <f>IFERROR(IF(INDEX('Catálogo'!$M:$M,MATCH($B$3&amp;"|"&amp;177,IF($B$3="TODAS",'Catálogo'!$U:$U,'Catálogo'!$Q:$Q),0))="","",IMAGE(INDEX('Catálogo'!$M:$M,MATCH($B$3&amp;"|"&amp;177,IF($B$3="TODAS",'Catálogo'!$U:$U,'Catálogo'!$Q:$Q),0)),1)),"")</f>
      </c>
      <c r="B182" s="40">
        <f>IFERROR(INDEX('Catálogo'!$B:$B,MATCH($B$3&amp;"|"&amp;177,IF($B$3="TODAS",'Catálogo'!$U:$U,'Catálogo'!$Q:$Q),0)),"")</f>
      </c>
      <c r="C182" s="41">
        <f>IFERROR(IF(INDEX('Catálogo'!$R:$R,MATCH($B$3&amp;"|"&amp;177,IF($B$3="TODAS",'Catálogo'!$U:$U,'Catálogo'!$Q:$Q),0))="","Cód: "&amp;INDEX('Catálogo'!$A:$A,MATCH($B$3&amp;"|"&amp;177,IF($B$3="TODAS",'Catálogo'!$U:$U,'Catálogo'!$Q:$Q),0)),"Medidas: "&amp;INDEX('Catálogo'!$R:$R,MATCH($B$3&amp;"|"&amp;177,IF($B$3="TODAS",'Catálogo'!$U:$U,'Catálogo'!$Q:$Q),0))&amp;"  ·  Cód: "&amp;INDEX('Catálogo'!$A:$A,MATCH($B$3&amp;"|"&amp;177,IF($B$3="TODAS",'Catálogo'!$U:$U,'Catálogo'!$Q:$Q),0))),"")</f>
      </c>
      <c r="D182" s="42">
        <f>IFERROR(IF($D$3="Mayor",INDEX('Catálogo'!$O:$O,MATCH($B$3&amp;"|"&amp;177,IF($B$3="TODAS",'Catálogo'!$U:$U,'Catálogo'!$Q:$Q),0)),INDEX('Catálogo'!$N:$N,MATCH($B$3&amp;"|"&amp;177,IF($B$3="TODAS",'Catálogo'!$U:$U,'Catálogo'!$Q:$Q),0))),"")</f>
      </c>
    </row>
    <row r="183" ht="90.00" customHeight="1">
      <c r="A183" s="39">
        <f>IFERROR(IF(INDEX('Catálogo'!$M:$M,MATCH($B$3&amp;"|"&amp;178,IF($B$3="TODAS",'Catálogo'!$U:$U,'Catálogo'!$Q:$Q),0))="","",IMAGE(INDEX('Catálogo'!$M:$M,MATCH($B$3&amp;"|"&amp;178,IF($B$3="TODAS",'Catálogo'!$U:$U,'Catálogo'!$Q:$Q),0)),1)),"")</f>
      </c>
      <c r="B183" s="40">
        <f>IFERROR(INDEX('Catálogo'!$B:$B,MATCH($B$3&amp;"|"&amp;178,IF($B$3="TODAS",'Catálogo'!$U:$U,'Catálogo'!$Q:$Q),0)),"")</f>
      </c>
      <c r="C183" s="41">
        <f>IFERROR(IF(INDEX('Catálogo'!$R:$R,MATCH($B$3&amp;"|"&amp;178,IF($B$3="TODAS",'Catálogo'!$U:$U,'Catálogo'!$Q:$Q),0))="","Cód: "&amp;INDEX('Catálogo'!$A:$A,MATCH($B$3&amp;"|"&amp;178,IF($B$3="TODAS",'Catálogo'!$U:$U,'Catálogo'!$Q:$Q),0)),"Medidas: "&amp;INDEX('Catálogo'!$R:$R,MATCH($B$3&amp;"|"&amp;178,IF($B$3="TODAS",'Catálogo'!$U:$U,'Catálogo'!$Q:$Q),0))&amp;"  ·  Cód: "&amp;INDEX('Catálogo'!$A:$A,MATCH($B$3&amp;"|"&amp;178,IF($B$3="TODAS",'Catálogo'!$U:$U,'Catálogo'!$Q:$Q),0))),"")</f>
      </c>
      <c r="D183" s="42">
        <f>IFERROR(IF($D$3="Mayor",INDEX('Catálogo'!$O:$O,MATCH($B$3&amp;"|"&amp;178,IF($B$3="TODAS",'Catálogo'!$U:$U,'Catálogo'!$Q:$Q),0)),INDEX('Catálogo'!$N:$N,MATCH($B$3&amp;"|"&amp;178,IF($B$3="TODAS",'Catálogo'!$U:$U,'Catálogo'!$Q:$Q),0))),"")</f>
      </c>
    </row>
    <row r="184" ht="90.00" customHeight="1">
      <c r="A184" s="39">
        <f>IFERROR(IF(INDEX('Catálogo'!$M:$M,MATCH($B$3&amp;"|"&amp;179,IF($B$3="TODAS",'Catálogo'!$U:$U,'Catálogo'!$Q:$Q),0))="","",IMAGE(INDEX('Catálogo'!$M:$M,MATCH($B$3&amp;"|"&amp;179,IF($B$3="TODAS",'Catálogo'!$U:$U,'Catálogo'!$Q:$Q),0)),1)),"")</f>
      </c>
      <c r="B184" s="40">
        <f>IFERROR(INDEX('Catálogo'!$B:$B,MATCH($B$3&amp;"|"&amp;179,IF($B$3="TODAS",'Catálogo'!$U:$U,'Catálogo'!$Q:$Q),0)),"")</f>
      </c>
      <c r="C184" s="41">
        <f>IFERROR(IF(INDEX('Catálogo'!$R:$R,MATCH($B$3&amp;"|"&amp;179,IF($B$3="TODAS",'Catálogo'!$U:$U,'Catálogo'!$Q:$Q),0))="","Cód: "&amp;INDEX('Catálogo'!$A:$A,MATCH($B$3&amp;"|"&amp;179,IF($B$3="TODAS",'Catálogo'!$U:$U,'Catálogo'!$Q:$Q),0)),"Medidas: "&amp;INDEX('Catálogo'!$R:$R,MATCH($B$3&amp;"|"&amp;179,IF($B$3="TODAS",'Catálogo'!$U:$U,'Catálogo'!$Q:$Q),0))&amp;"  ·  Cód: "&amp;INDEX('Catálogo'!$A:$A,MATCH($B$3&amp;"|"&amp;179,IF($B$3="TODAS",'Catálogo'!$U:$U,'Catálogo'!$Q:$Q),0))),"")</f>
      </c>
      <c r="D184" s="42">
        <f>IFERROR(IF($D$3="Mayor",INDEX('Catálogo'!$O:$O,MATCH($B$3&amp;"|"&amp;179,IF($B$3="TODAS",'Catálogo'!$U:$U,'Catálogo'!$Q:$Q),0)),INDEX('Catálogo'!$N:$N,MATCH($B$3&amp;"|"&amp;179,IF($B$3="TODAS",'Catálogo'!$U:$U,'Catálogo'!$Q:$Q),0))),"")</f>
      </c>
    </row>
    <row r="185" ht="90.00" customHeight="1">
      <c r="A185" s="39">
        <f>IFERROR(IF(INDEX('Catálogo'!$M:$M,MATCH($B$3&amp;"|"&amp;180,IF($B$3="TODAS",'Catálogo'!$U:$U,'Catálogo'!$Q:$Q),0))="","",IMAGE(INDEX('Catálogo'!$M:$M,MATCH($B$3&amp;"|"&amp;180,IF($B$3="TODAS",'Catálogo'!$U:$U,'Catálogo'!$Q:$Q),0)),1)),"")</f>
      </c>
      <c r="B185" s="40">
        <f>IFERROR(INDEX('Catálogo'!$B:$B,MATCH($B$3&amp;"|"&amp;180,IF($B$3="TODAS",'Catálogo'!$U:$U,'Catálogo'!$Q:$Q),0)),"")</f>
      </c>
      <c r="C185" s="41">
        <f>IFERROR(IF(INDEX('Catálogo'!$R:$R,MATCH($B$3&amp;"|"&amp;180,IF($B$3="TODAS",'Catálogo'!$U:$U,'Catálogo'!$Q:$Q),0))="","Cód: "&amp;INDEX('Catálogo'!$A:$A,MATCH($B$3&amp;"|"&amp;180,IF($B$3="TODAS",'Catálogo'!$U:$U,'Catálogo'!$Q:$Q),0)),"Medidas: "&amp;INDEX('Catálogo'!$R:$R,MATCH($B$3&amp;"|"&amp;180,IF($B$3="TODAS",'Catálogo'!$U:$U,'Catálogo'!$Q:$Q),0))&amp;"  ·  Cód: "&amp;INDEX('Catálogo'!$A:$A,MATCH($B$3&amp;"|"&amp;180,IF($B$3="TODAS",'Catálogo'!$U:$U,'Catálogo'!$Q:$Q),0))),"")</f>
      </c>
      <c r="D185" s="42">
        <f>IFERROR(IF($D$3="Mayor",INDEX('Catálogo'!$O:$O,MATCH($B$3&amp;"|"&amp;180,IF($B$3="TODAS",'Catálogo'!$U:$U,'Catálogo'!$Q:$Q),0)),INDEX('Catálogo'!$N:$N,MATCH($B$3&amp;"|"&amp;180,IF($B$3="TODAS",'Catálogo'!$U:$U,'Catálogo'!$Q:$Q),0))),"")</f>
      </c>
    </row>
    <row r="186" ht="90.00" customHeight="1">
      <c r="A186" s="39">
        <f>IFERROR(IF(INDEX('Catálogo'!$M:$M,MATCH($B$3&amp;"|"&amp;181,IF($B$3="TODAS",'Catálogo'!$U:$U,'Catálogo'!$Q:$Q),0))="","",IMAGE(INDEX('Catálogo'!$M:$M,MATCH($B$3&amp;"|"&amp;181,IF($B$3="TODAS",'Catálogo'!$U:$U,'Catálogo'!$Q:$Q),0)),1)),"")</f>
      </c>
      <c r="B186" s="40">
        <f>IFERROR(INDEX('Catálogo'!$B:$B,MATCH($B$3&amp;"|"&amp;181,IF($B$3="TODAS",'Catálogo'!$U:$U,'Catálogo'!$Q:$Q),0)),"")</f>
      </c>
      <c r="C186" s="41">
        <f>IFERROR(IF(INDEX('Catálogo'!$R:$R,MATCH($B$3&amp;"|"&amp;181,IF($B$3="TODAS",'Catálogo'!$U:$U,'Catálogo'!$Q:$Q),0))="","Cód: "&amp;INDEX('Catálogo'!$A:$A,MATCH($B$3&amp;"|"&amp;181,IF($B$3="TODAS",'Catálogo'!$U:$U,'Catálogo'!$Q:$Q),0)),"Medidas: "&amp;INDEX('Catálogo'!$R:$R,MATCH($B$3&amp;"|"&amp;181,IF($B$3="TODAS",'Catálogo'!$U:$U,'Catálogo'!$Q:$Q),0))&amp;"  ·  Cód: "&amp;INDEX('Catálogo'!$A:$A,MATCH($B$3&amp;"|"&amp;181,IF($B$3="TODAS",'Catálogo'!$U:$U,'Catálogo'!$Q:$Q),0))),"")</f>
      </c>
      <c r="D186" s="42">
        <f>IFERROR(IF($D$3="Mayor",INDEX('Catálogo'!$O:$O,MATCH($B$3&amp;"|"&amp;181,IF($B$3="TODAS",'Catálogo'!$U:$U,'Catálogo'!$Q:$Q),0)),INDEX('Catálogo'!$N:$N,MATCH($B$3&amp;"|"&amp;181,IF($B$3="TODAS",'Catálogo'!$U:$U,'Catálogo'!$Q:$Q),0))),"")</f>
      </c>
    </row>
    <row r="187" ht="90.00" customHeight="1">
      <c r="A187" s="39">
        <f>IFERROR(IF(INDEX('Catálogo'!$M:$M,MATCH($B$3&amp;"|"&amp;182,IF($B$3="TODAS",'Catálogo'!$U:$U,'Catálogo'!$Q:$Q),0))="","",IMAGE(INDEX('Catálogo'!$M:$M,MATCH($B$3&amp;"|"&amp;182,IF($B$3="TODAS",'Catálogo'!$U:$U,'Catálogo'!$Q:$Q),0)),1)),"")</f>
      </c>
      <c r="B187" s="40">
        <f>IFERROR(INDEX('Catálogo'!$B:$B,MATCH($B$3&amp;"|"&amp;182,IF($B$3="TODAS",'Catálogo'!$U:$U,'Catálogo'!$Q:$Q),0)),"")</f>
      </c>
      <c r="C187" s="41">
        <f>IFERROR(IF(INDEX('Catálogo'!$R:$R,MATCH($B$3&amp;"|"&amp;182,IF($B$3="TODAS",'Catálogo'!$U:$U,'Catálogo'!$Q:$Q),0))="","Cód: "&amp;INDEX('Catálogo'!$A:$A,MATCH($B$3&amp;"|"&amp;182,IF($B$3="TODAS",'Catálogo'!$U:$U,'Catálogo'!$Q:$Q),0)),"Medidas: "&amp;INDEX('Catálogo'!$R:$R,MATCH($B$3&amp;"|"&amp;182,IF($B$3="TODAS",'Catálogo'!$U:$U,'Catálogo'!$Q:$Q),0))&amp;"  ·  Cód: "&amp;INDEX('Catálogo'!$A:$A,MATCH($B$3&amp;"|"&amp;182,IF($B$3="TODAS",'Catálogo'!$U:$U,'Catálogo'!$Q:$Q),0))),"")</f>
      </c>
      <c r="D187" s="42">
        <f>IFERROR(IF($D$3="Mayor",INDEX('Catálogo'!$O:$O,MATCH($B$3&amp;"|"&amp;182,IF($B$3="TODAS",'Catálogo'!$U:$U,'Catálogo'!$Q:$Q),0)),INDEX('Catálogo'!$N:$N,MATCH($B$3&amp;"|"&amp;182,IF($B$3="TODAS",'Catálogo'!$U:$U,'Catálogo'!$Q:$Q),0))),"")</f>
      </c>
    </row>
    <row r="188" ht="90.00" customHeight="1">
      <c r="A188" s="39">
        <f>IFERROR(IF(INDEX('Catálogo'!$M:$M,MATCH($B$3&amp;"|"&amp;183,IF($B$3="TODAS",'Catálogo'!$U:$U,'Catálogo'!$Q:$Q),0))="","",IMAGE(INDEX('Catálogo'!$M:$M,MATCH($B$3&amp;"|"&amp;183,IF($B$3="TODAS",'Catálogo'!$U:$U,'Catálogo'!$Q:$Q),0)),1)),"")</f>
      </c>
      <c r="B188" s="40">
        <f>IFERROR(INDEX('Catálogo'!$B:$B,MATCH($B$3&amp;"|"&amp;183,IF($B$3="TODAS",'Catálogo'!$U:$U,'Catálogo'!$Q:$Q),0)),"")</f>
      </c>
      <c r="C188" s="41">
        <f>IFERROR(IF(INDEX('Catálogo'!$R:$R,MATCH($B$3&amp;"|"&amp;183,IF($B$3="TODAS",'Catálogo'!$U:$U,'Catálogo'!$Q:$Q),0))="","Cód: "&amp;INDEX('Catálogo'!$A:$A,MATCH($B$3&amp;"|"&amp;183,IF($B$3="TODAS",'Catálogo'!$U:$U,'Catálogo'!$Q:$Q),0)),"Medidas: "&amp;INDEX('Catálogo'!$R:$R,MATCH($B$3&amp;"|"&amp;183,IF($B$3="TODAS",'Catálogo'!$U:$U,'Catálogo'!$Q:$Q),0))&amp;"  ·  Cód: "&amp;INDEX('Catálogo'!$A:$A,MATCH($B$3&amp;"|"&amp;183,IF($B$3="TODAS",'Catálogo'!$U:$U,'Catálogo'!$Q:$Q),0))),"")</f>
      </c>
      <c r="D188" s="42">
        <f>IFERROR(IF($D$3="Mayor",INDEX('Catálogo'!$O:$O,MATCH($B$3&amp;"|"&amp;183,IF($B$3="TODAS",'Catálogo'!$U:$U,'Catálogo'!$Q:$Q),0)),INDEX('Catálogo'!$N:$N,MATCH($B$3&amp;"|"&amp;183,IF($B$3="TODAS",'Catálogo'!$U:$U,'Catálogo'!$Q:$Q),0))),"")</f>
      </c>
    </row>
    <row r="189" ht="90.00" customHeight="1">
      <c r="A189" s="39">
        <f>IFERROR(IF(INDEX('Catálogo'!$M:$M,MATCH($B$3&amp;"|"&amp;184,IF($B$3="TODAS",'Catálogo'!$U:$U,'Catálogo'!$Q:$Q),0))="","",IMAGE(INDEX('Catálogo'!$M:$M,MATCH($B$3&amp;"|"&amp;184,IF($B$3="TODAS",'Catálogo'!$U:$U,'Catálogo'!$Q:$Q),0)),1)),"")</f>
      </c>
      <c r="B189" s="40">
        <f>IFERROR(INDEX('Catálogo'!$B:$B,MATCH($B$3&amp;"|"&amp;184,IF($B$3="TODAS",'Catálogo'!$U:$U,'Catálogo'!$Q:$Q),0)),"")</f>
      </c>
      <c r="C189" s="41">
        <f>IFERROR(IF(INDEX('Catálogo'!$R:$R,MATCH($B$3&amp;"|"&amp;184,IF($B$3="TODAS",'Catálogo'!$U:$U,'Catálogo'!$Q:$Q),0))="","Cód: "&amp;INDEX('Catálogo'!$A:$A,MATCH($B$3&amp;"|"&amp;184,IF($B$3="TODAS",'Catálogo'!$U:$U,'Catálogo'!$Q:$Q),0)),"Medidas: "&amp;INDEX('Catálogo'!$R:$R,MATCH($B$3&amp;"|"&amp;184,IF($B$3="TODAS",'Catálogo'!$U:$U,'Catálogo'!$Q:$Q),0))&amp;"  ·  Cód: "&amp;INDEX('Catálogo'!$A:$A,MATCH($B$3&amp;"|"&amp;184,IF($B$3="TODAS",'Catálogo'!$U:$U,'Catálogo'!$Q:$Q),0))),"")</f>
      </c>
      <c r="D189" s="42">
        <f>IFERROR(IF($D$3="Mayor",INDEX('Catálogo'!$O:$O,MATCH($B$3&amp;"|"&amp;184,IF($B$3="TODAS",'Catálogo'!$U:$U,'Catálogo'!$Q:$Q),0)),INDEX('Catálogo'!$N:$N,MATCH($B$3&amp;"|"&amp;184,IF($B$3="TODAS",'Catálogo'!$U:$U,'Catálogo'!$Q:$Q),0))),"")</f>
      </c>
    </row>
    <row r="190" ht="90.00" customHeight="1">
      <c r="A190" s="39">
        <f>IFERROR(IF(INDEX('Catálogo'!$M:$M,MATCH($B$3&amp;"|"&amp;185,IF($B$3="TODAS",'Catálogo'!$U:$U,'Catálogo'!$Q:$Q),0))="","",IMAGE(INDEX('Catálogo'!$M:$M,MATCH($B$3&amp;"|"&amp;185,IF($B$3="TODAS",'Catálogo'!$U:$U,'Catálogo'!$Q:$Q),0)),1)),"")</f>
      </c>
      <c r="B190" s="40">
        <f>IFERROR(INDEX('Catálogo'!$B:$B,MATCH($B$3&amp;"|"&amp;185,IF($B$3="TODAS",'Catálogo'!$U:$U,'Catálogo'!$Q:$Q),0)),"")</f>
      </c>
      <c r="C190" s="41">
        <f>IFERROR(IF(INDEX('Catálogo'!$R:$R,MATCH($B$3&amp;"|"&amp;185,IF($B$3="TODAS",'Catálogo'!$U:$U,'Catálogo'!$Q:$Q),0))="","Cód: "&amp;INDEX('Catálogo'!$A:$A,MATCH($B$3&amp;"|"&amp;185,IF($B$3="TODAS",'Catálogo'!$U:$U,'Catálogo'!$Q:$Q),0)),"Medidas: "&amp;INDEX('Catálogo'!$R:$R,MATCH($B$3&amp;"|"&amp;185,IF($B$3="TODAS",'Catálogo'!$U:$U,'Catálogo'!$Q:$Q),0))&amp;"  ·  Cód: "&amp;INDEX('Catálogo'!$A:$A,MATCH($B$3&amp;"|"&amp;185,IF($B$3="TODAS",'Catálogo'!$U:$U,'Catálogo'!$Q:$Q),0))),"")</f>
      </c>
      <c r="D190" s="42">
        <f>IFERROR(IF($D$3="Mayor",INDEX('Catálogo'!$O:$O,MATCH($B$3&amp;"|"&amp;185,IF($B$3="TODAS",'Catálogo'!$U:$U,'Catálogo'!$Q:$Q),0)),INDEX('Catálogo'!$N:$N,MATCH($B$3&amp;"|"&amp;185,IF($B$3="TODAS",'Catálogo'!$U:$U,'Catálogo'!$Q:$Q),0))),"")</f>
      </c>
    </row>
    <row r="191" ht="90.00" customHeight="1">
      <c r="A191" s="39">
        <f>IFERROR(IF(INDEX('Catálogo'!$M:$M,MATCH($B$3&amp;"|"&amp;186,IF($B$3="TODAS",'Catálogo'!$U:$U,'Catálogo'!$Q:$Q),0))="","",IMAGE(INDEX('Catálogo'!$M:$M,MATCH($B$3&amp;"|"&amp;186,IF($B$3="TODAS",'Catálogo'!$U:$U,'Catálogo'!$Q:$Q),0)),1)),"")</f>
      </c>
      <c r="B191" s="40">
        <f>IFERROR(INDEX('Catálogo'!$B:$B,MATCH($B$3&amp;"|"&amp;186,IF($B$3="TODAS",'Catálogo'!$U:$U,'Catálogo'!$Q:$Q),0)),"")</f>
      </c>
      <c r="C191" s="41">
        <f>IFERROR(IF(INDEX('Catálogo'!$R:$R,MATCH($B$3&amp;"|"&amp;186,IF($B$3="TODAS",'Catálogo'!$U:$U,'Catálogo'!$Q:$Q),0))="","Cód: "&amp;INDEX('Catálogo'!$A:$A,MATCH($B$3&amp;"|"&amp;186,IF($B$3="TODAS",'Catálogo'!$U:$U,'Catálogo'!$Q:$Q),0)),"Medidas: "&amp;INDEX('Catálogo'!$R:$R,MATCH($B$3&amp;"|"&amp;186,IF($B$3="TODAS",'Catálogo'!$U:$U,'Catálogo'!$Q:$Q),0))&amp;"  ·  Cód: "&amp;INDEX('Catálogo'!$A:$A,MATCH($B$3&amp;"|"&amp;186,IF($B$3="TODAS",'Catálogo'!$U:$U,'Catálogo'!$Q:$Q),0))),"")</f>
      </c>
      <c r="D191" s="42">
        <f>IFERROR(IF($D$3="Mayor",INDEX('Catálogo'!$O:$O,MATCH($B$3&amp;"|"&amp;186,IF($B$3="TODAS",'Catálogo'!$U:$U,'Catálogo'!$Q:$Q),0)),INDEX('Catálogo'!$N:$N,MATCH($B$3&amp;"|"&amp;186,IF($B$3="TODAS",'Catálogo'!$U:$U,'Catálogo'!$Q:$Q),0))),"")</f>
      </c>
    </row>
    <row r="192" ht="90.00" customHeight="1">
      <c r="A192" s="39">
        <f>IFERROR(IF(INDEX('Catálogo'!$M:$M,MATCH($B$3&amp;"|"&amp;187,IF($B$3="TODAS",'Catálogo'!$U:$U,'Catálogo'!$Q:$Q),0))="","",IMAGE(INDEX('Catálogo'!$M:$M,MATCH($B$3&amp;"|"&amp;187,IF($B$3="TODAS",'Catálogo'!$U:$U,'Catálogo'!$Q:$Q),0)),1)),"")</f>
      </c>
      <c r="B192" s="40">
        <f>IFERROR(INDEX('Catálogo'!$B:$B,MATCH($B$3&amp;"|"&amp;187,IF($B$3="TODAS",'Catálogo'!$U:$U,'Catálogo'!$Q:$Q),0)),"")</f>
      </c>
      <c r="C192" s="41">
        <f>IFERROR(IF(INDEX('Catálogo'!$R:$R,MATCH($B$3&amp;"|"&amp;187,IF($B$3="TODAS",'Catálogo'!$U:$U,'Catálogo'!$Q:$Q),0))="","Cód: "&amp;INDEX('Catálogo'!$A:$A,MATCH($B$3&amp;"|"&amp;187,IF($B$3="TODAS",'Catálogo'!$U:$U,'Catálogo'!$Q:$Q),0)),"Medidas: "&amp;INDEX('Catálogo'!$R:$R,MATCH($B$3&amp;"|"&amp;187,IF($B$3="TODAS",'Catálogo'!$U:$U,'Catálogo'!$Q:$Q),0))&amp;"  ·  Cód: "&amp;INDEX('Catálogo'!$A:$A,MATCH($B$3&amp;"|"&amp;187,IF($B$3="TODAS",'Catálogo'!$U:$U,'Catálogo'!$Q:$Q),0))),"")</f>
      </c>
      <c r="D192" s="42">
        <f>IFERROR(IF($D$3="Mayor",INDEX('Catálogo'!$O:$O,MATCH($B$3&amp;"|"&amp;187,IF($B$3="TODAS",'Catálogo'!$U:$U,'Catálogo'!$Q:$Q),0)),INDEX('Catálogo'!$N:$N,MATCH($B$3&amp;"|"&amp;187,IF($B$3="TODAS",'Catálogo'!$U:$U,'Catálogo'!$Q:$Q),0))),"")</f>
      </c>
    </row>
    <row r="193" ht="90.00" customHeight="1">
      <c r="A193" s="39">
        <f>IFERROR(IF(INDEX('Catálogo'!$M:$M,MATCH($B$3&amp;"|"&amp;188,IF($B$3="TODAS",'Catálogo'!$U:$U,'Catálogo'!$Q:$Q),0))="","",IMAGE(INDEX('Catálogo'!$M:$M,MATCH($B$3&amp;"|"&amp;188,IF($B$3="TODAS",'Catálogo'!$U:$U,'Catálogo'!$Q:$Q),0)),1)),"")</f>
      </c>
      <c r="B193" s="40">
        <f>IFERROR(INDEX('Catálogo'!$B:$B,MATCH($B$3&amp;"|"&amp;188,IF($B$3="TODAS",'Catálogo'!$U:$U,'Catálogo'!$Q:$Q),0)),"")</f>
      </c>
      <c r="C193" s="41">
        <f>IFERROR(IF(INDEX('Catálogo'!$R:$R,MATCH($B$3&amp;"|"&amp;188,IF($B$3="TODAS",'Catálogo'!$U:$U,'Catálogo'!$Q:$Q),0))="","Cód: "&amp;INDEX('Catálogo'!$A:$A,MATCH($B$3&amp;"|"&amp;188,IF($B$3="TODAS",'Catálogo'!$U:$U,'Catálogo'!$Q:$Q),0)),"Medidas: "&amp;INDEX('Catálogo'!$R:$R,MATCH($B$3&amp;"|"&amp;188,IF($B$3="TODAS",'Catálogo'!$U:$U,'Catálogo'!$Q:$Q),0))&amp;"  ·  Cód: "&amp;INDEX('Catálogo'!$A:$A,MATCH($B$3&amp;"|"&amp;188,IF($B$3="TODAS",'Catálogo'!$U:$U,'Catálogo'!$Q:$Q),0))),"")</f>
      </c>
      <c r="D193" s="42">
        <f>IFERROR(IF($D$3="Mayor",INDEX('Catálogo'!$O:$O,MATCH($B$3&amp;"|"&amp;188,IF($B$3="TODAS",'Catálogo'!$U:$U,'Catálogo'!$Q:$Q),0)),INDEX('Catálogo'!$N:$N,MATCH($B$3&amp;"|"&amp;188,IF($B$3="TODAS",'Catálogo'!$U:$U,'Catálogo'!$Q:$Q),0))),"")</f>
      </c>
    </row>
    <row r="194" ht="90.00" customHeight="1">
      <c r="A194" s="39">
        <f>IFERROR(IF(INDEX('Catálogo'!$M:$M,MATCH($B$3&amp;"|"&amp;189,IF($B$3="TODAS",'Catálogo'!$U:$U,'Catálogo'!$Q:$Q),0))="","",IMAGE(INDEX('Catálogo'!$M:$M,MATCH($B$3&amp;"|"&amp;189,IF($B$3="TODAS",'Catálogo'!$U:$U,'Catálogo'!$Q:$Q),0)),1)),"")</f>
      </c>
      <c r="B194" s="40">
        <f>IFERROR(INDEX('Catálogo'!$B:$B,MATCH($B$3&amp;"|"&amp;189,IF($B$3="TODAS",'Catálogo'!$U:$U,'Catálogo'!$Q:$Q),0)),"")</f>
      </c>
      <c r="C194" s="41">
        <f>IFERROR(IF(INDEX('Catálogo'!$R:$R,MATCH($B$3&amp;"|"&amp;189,IF($B$3="TODAS",'Catálogo'!$U:$U,'Catálogo'!$Q:$Q),0))="","Cód: "&amp;INDEX('Catálogo'!$A:$A,MATCH($B$3&amp;"|"&amp;189,IF($B$3="TODAS",'Catálogo'!$U:$U,'Catálogo'!$Q:$Q),0)),"Medidas: "&amp;INDEX('Catálogo'!$R:$R,MATCH($B$3&amp;"|"&amp;189,IF($B$3="TODAS",'Catálogo'!$U:$U,'Catálogo'!$Q:$Q),0))&amp;"  ·  Cód: "&amp;INDEX('Catálogo'!$A:$A,MATCH($B$3&amp;"|"&amp;189,IF($B$3="TODAS",'Catálogo'!$U:$U,'Catálogo'!$Q:$Q),0))),"")</f>
      </c>
      <c r="D194" s="42">
        <f>IFERROR(IF($D$3="Mayor",INDEX('Catálogo'!$O:$O,MATCH($B$3&amp;"|"&amp;189,IF($B$3="TODAS",'Catálogo'!$U:$U,'Catálogo'!$Q:$Q),0)),INDEX('Catálogo'!$N:$N,MATCH($B$3&amp;"|"&amp;189,IF($B$3="TODAS",'Catálogo'!$U:$U,'Catálogo'!$Q:$Q),0))),"")</f>
      </c>
    </row>
    <row r="195" ht="90.00" customHeight="1">
      <c r="A195" s="39">
        <f>IFERROR(IF(INDEX('Catálogo'!$M:$M,MATCH($B$3&amp;"|"&amp;190,IF($B$3="TODAS",'Catálogo'!$U:$U,'Catálogo'!$Q:$Q),0))="","",IMAGE(INDEX('Catálogo'!$M:$M,MATCH($B$3&amp;"|"&amp;190,IF($B$3="TODAS",'Catálogo'!$U:$U,'Catálogo'!$Q:$Q),0)),1)),"")</f>
      </c>
      <c r="B195" s="40">
        <f>IFERROR(INDEX('Catálogo'!$B:$B,MATCH($B$3&amp;"|"&amp;190,IF($B$3="TODAS",'Catálogo'!$U:$U,'Catálogo'!$Q:$Q),0)),"")</f>
      </c>
      <c r="C195" s="41">
        <f>IFERROR(IF(INDEX('Catálogo'!$R:$R,MATCH($B$3&amp;"|"&amp;190,IF($B$3="TODAS",'Catálogo'!$U:$U,'Catálogo'!$Q:$Q),0))="","Cód: "&amp;INDEX('Catálogo'!$A:$A,MATCH($B$3&amp;"|"&amp;190,IF($B$3="TODAS",'Catálogo'!$U:$U,'Catálogo'!$Q:$Q),0)),"Medidas: "&amp;INDEX('Catálogo'!$R:$R,MATCH($B$3&amp;"|"&amp;190,IF($B$3="TODAS",'Catálogo'!$U:$U,'Catálogo'!$Q:$Q),0))&amp;"  ·  Cód: "&amp;INDEX('Catálogo'!$A:$A,MATCH($B$3&amp;"|"&amp;190,IF($B$3="TODAS",'Catálogo'!$U:$U,'Catálogo'!$Q:$Q),0))),"")</f>
      </c>
      <c r="D195" s="42">
        <f>IFERROR(IF($D$3="Mayor",INDEX('Catálogo'!$O:$O,MATCH($B$3&amp;"|"&amp;190,IF($B$3="TODAS",'Catálogo'!$U:$U,'Catálogo'!$Q:$Q),0)),INDEX('Catálogo'!$N:$N,MATCH($B$3&amp;"|"&amp;190,IF($B$3="TODAS",'Catálogo'!$U:$U,'Catálogo'!$Q:$Q),0))),"")</f>
      </c>
    </row>
    <row r="196" ht="90.00" customHeight="1">
      <c r="A196" s="39">
        <f>IFERROR(IF(INDEX('Catálogo'!$M:$M,MATCH($B$3&amp;"|"&amp;191,IF($B$3="TODAS",'Catálogo'!$U:$U,'Catálogo'!$Q:$Q),0))="","",IMAGE(INDEX('Catálogo'!$M:$M,MATCH($B$3&amp;"|"&amp;191,IF($B$3="TODAS",'Catálogo'!$U:$U,'Catálogo'!$Q:$Q),0)),1)),"")</f>
      </c>
      <c r="B196" s="40">
        <f>IFERROR(INDEX('Catálogo'!$B:$B,MATCH($B$3&amp;"|"&amp;191,IF($B$3="TODAS",'Catálogo'!$U:$U,'Catálogo'!$Q:$Q),0)),"")</f>
      </c>
      <c r="C196" s="41">
        <f>IFERROR(IF(INDEX('Catálogo'!$R:$R,MATCH($B$3&amp;"|"&amp;191,IF($B$3="TODAS",'Catálogo'!$U:$U,'Catálogo'!$Q:$Q),0))="","Cód: "&amp;INDEX('Catálogo'!$A:$A,MATCH($B$3&amp;"|"&amp;191,IF($B$3="TODAS",'Catálogo'!$U:$U,'Catálogo'!$Q:$Q),0)),"Medidas: "&amp;INDEX('Catálogo'!$R:$R,MATCH($B$3&amp;"|"&amp;191,IF($B$3="TODAS",'Catálogo'!$U:$U,'Catálogo'!$Q:$Q),0))&amp;"  ·  Cód: "&amp;INDEX('Catálogo'!$A:$A,MATCH($B$3&amp;"|"&amp;191,IF($B$3="TODAS",'Catálogo'!$U:$U,'Catálogo'!$Q:$Q),0))),"")</f>
      </c>
      <c r="D196" s="42">
        <f>IFERROR(IF($D$3="Mayor",INDEX('Catálogo'!$O:$O,MATCH($B$3&amp;"|"&amp;191,IF($B$3="TODAS",'Catálogo'!$U:$U,'Catálogo'!$Q:$Q),0)),INDEX('Catálogo'!$N:$N,MATCH($B$3&amp;"|"&amp;191,IF($B$3="TODAS",'Catálogo'!$U:$U,'Catálogo'!$Q:$Q),0))),"")</f>
      </c>
    </row>
    <row r="197" ht="90.00" customHeight="1">
      <c r="A197" s="39">
        <f>IFERROR(IF(INDEX('Catálogo'!$M:$M,MATCH($B$3&amp;"|"&amp;192,IF($B$3="TODAS",'Catálogo'!$U:$U,'Catálogo'!$Q:$Q),0))="","",IMAGE(INDEX('Catálogo'!$M:$M,MATCH($B$3&amp;"|"&amp;192,IF($B$3="TODAS",'Catálogo'!$U:$U,'Catálogo'!$Q:$Q),0)),1)),"")</f>
      </c>
      <c r="B197" s="40">
        <f>IFERROR(INDEX('Catálogo'!$B:$B,MATCH($B$3&amp;"|"&amp;192,IF($B$3="TODAS",'Catálogo'!$U:$U,'Catálogo'!$Q:$Q),0)),"")</f>
      </c>
      <c r="C197" s="41">
        <f>IFERROR(IF(INDEX('Catálogo'!$R:$R,MATCH($B$3&amp;"|"&amp;192,IF($B$3="TODAS",'Catálogo'!$U:$U,'Catálogo'!$Q:$Q),0))="","Cód: "&amp;INDEX('Catálogo'!$A:$A,MATCH($B$3&amp;"|"&amp;192,IF($B$3="TODAS",'Catálogo'!$U:$U,'Catálogo'!$Q:$Q),0)),"Medidas: "&amp;INDEX('Catálogo'!$R:$R,MATCH($B$3&amp;"|"&amp;192,IF($B$3="TODAS",'Catálogo'!$U:$U,'Catálogo'!$Q:$Q),0))&amp;"  ·  Cód: "&amp;INDEX('Catálogo'!$A:$A,MATCH($B$3&amp;"|"&amp;192,IF($B$3="TODAS",'Catálogo'!$U:$U,'Catálogo'!$Q:$Q),0))),"")</f>
      </c>
      <c r="D197" s="42">
        <f>IFERROR(IF($D$3="Mayor",INDEX('Catálogo'!$O:$O,MATCH($B$3&amp;"|"&amp;192,IF($B$3="TODAS",'Catálogo'!$U:$U,'Catálogo'!$Q:$Q),0)),INDEX('Catálogo'!$N:$N,MATCH($B$3&amp;"|"&amp;192,IF($B$3="TODAS",'Catálogo'!$U:$U,'Catálogo'!$Q:$Q),0))),"")</f>
      </c>
    </row>
    <row r="198" ht="90.00" customHeight="1">
      <c r="A198" s="39">
        <f>IFERROR(IF(INDEX('Catálogo'!$M:$M,MATCH($B$3&amp;"|"&amp;193,IF($B$3="TODAS",'Catálogo'!$U:$U,'Catálogo'!$Q:$Q),0))="","",IMAGE(INDEX('Catálogo'!$M:$M,MATCH($B$3&amp;"|"&amp;193,IF($B$3="TODAS",'Catálogo'!$U:$U,'Catálogo'!$Q:$Q),0)),1)),"")</f>
      </c>
      <c r="B198" s="40">
        <f>IFERROR(INDEX('Catálogo'!$B:$B,MATCH($B$3&amp;"|"&amp;193,IF($B$3="TODAS",'Catálogo'!$U:$U,'Catálogo'!$Q:$Q),0)),"")</f>
      </c>
      <c r="C198" s="41">
        <f>IFERROR(IF(INDEX('Catálogo'!$R:$R,MATCH($B$3&amp;"|"&amp;193,IF($B$3="TODAS",'Catálogo'!$U:$U,'Catálogo'!$Q:$Q),0))="","Cód: "&amp;INDEX('Catálogo'!$A:$A,MATCH($B$3&amp;"|"&amp;193,IF($B$3="TODAS",'Catálogo'!$U:$U,'Catálogo'!$Q:$Q),0)),"Medidas: "&amp;INDEX('Catálogo'!$R:$R,MATCH($B$3&amp;"|"&amp;193,IF($B$3="TODAS",'Catálogo'!$U:$U,'Catálogo'!$Q:$Q),0))&amp;"  ·  Cód: "&amp;INDEX('Catálogo'!$A:$A,MATCH($B$3&amp;"|"&amp;193,IF($B$3="TODAS",'Catálogo'!$U:$U,'Catálogo'!$Q:$Q),0))),"")</f>
      </c>
      <c r="D198" s="42">
        <f>IFERROR(IF($D$3="Mayor",INDEX('Catálogo'!$O:$O,MATCH($B$3&amp;"|"&amp;193,IF($B$3="TODAS",'Catálogo'!$U:$U,'Catálogo'!$Q:$Q),0)),INDEX('Catálogo'!$N:$N,MATCH($B$3&amp;"|"&amp;193,IF($B$3="TODAS",'Catálogo'!$U:$U,'Catálogo'!$Q:$Q),0))),"")</f>
      </c>
    </row>
    <row r="199" ht="90.00" customHeight="1">
      <c r="A199" s="39">
        <f>IFERROR(IF(INDEX('Catálogo'!$M:$M,MATCH($B$3&amp;"|"&amp;194,IF($B$3="TODAS",'Catálogo'!$U:$U,'Catálogo'!$Q:$Q),0))="","",IMAGE(INDEX('Catálogo'!$M:$M,MATCH($B$3&amp;"|"&amp;194,IF($B$3="TODAS",'Catálogo'!$U:$U,'Catálogo'!$Q:$Q),0)),1)),"")</f>
      </c>
      <c r="B199" s="40">
        <f>IFERROR(INDEX('Catálogo'!$B:$B,MATCH($B$3&amp;"|"&amp;194,IF($B$3="TODAS",'Catálogo'!$U:$U,'Catálogo'!$Q:$Q),0)),"")</f>
      </c>
      <c r="C199" s="41">
        <f>IFERROR(IF(INDEX('Catálogo'!$R:$R,MATCH($B$3&amp;"|"&amp;194,IF($B$3="TODAS",'Catálogo'!$U:$U,'Catálogo'!$Q:$Q),0))="","Cód: "&amp;INDEX('Catálogo'!$A:$A,MATCH($B$3&amp;"|"&amp;194,IF($B$3="TODAS",'Catálogo'!$U:$U,'Catálogo'!$Q:$Q),0)),"Medidas: "&amp;INDEX('Catálogo'!$R:$R,MATCH($B$3&amp;"|"&amp;194,IF($B$3="TODAS",'Catálogo'!$U:$U,'Catálogo'!$Q:$Q),0))&amp;"  ·  Cód: "&amp;INDEX('Catálogo'!$A:$A,MATCH($B$3&amp;"|"&amp;194,IF($B$3="TODAS",'Catálogo'!$U:$U,'Catálogo'!$Q:$Q),0))),"")</f>
      </c>
      <c r="D199" s="42">
        <f>IFERROR(IF($D$3="Mayor",INDEX('Catálogo'!$O:$O,MATCH($B$3&amp;"|"&amp;194,IF($B$3="TODAS",'Catálogo'!$U:$U,'Catálogo'!$Q:$Q),0)),INDEX('Catálogo'!$N:$N,MATCH($B$3&amp;"|"&amp;194,IF($B$3="TODAS",'Catálogo'!$U:$U,'Catálogo'!$Q:$Q),0))),"")</f>
      </c>
    </row>
    <row r="200" ht="90.00" customHeight="1">
      <c r="A200" s="39">
        <f>IFERROR(IF(INDEX('Catálogo'!$M:$M,MATCH($B$3&amp;"|"&amp;195,IF($B$3="TODAS",'Catálogo'!$U:$U,'Catálogo'!$Q:$Q),0))="","",IMAGE(INDEX('Catálogo'!$M:$M,MATCH($B$3&amp;"|"&amp;195,IF($B$3="TODAS",'Catálogo'!$U:$U,'Catálogo'!$Q:$Q),0)),1)),"")</f>
      </c>
      <c r="B200" s="40">
        <f>IFERROR(INDEX('Catálogo'!$B:$B,MATCH($B$3&amp;"|"&amp;195,IF($B$3="TODAS",'Catálogo'!$U:$U,'Catálogo'!$Q:$Q),0)),"")</f>
      </c>
      <c r="C200" s="41">
        <f>IFERROR(IF(INDEX('Catálogo'!$R:$R,MATCH($B$3&amp;"|"&amp;195,IF($B$3="TODAS",'Catálogo'!$U:$U,'Catálogo'!$Q:$Q),0))="","Cód: "&amp;INDEX('Catálogo'!$A:$A,MATCH($B$3&amp;"|"&amp;195,IF($B$3="TODAS",'Catálogo'!$U:$U,'Catálogo'!$Q:$Q),0)),"Medidas: "&amp;INDEX('Catálogo'!$R:$R,MATCH($B$3&amp;"|"&amp;195,IF($B$3="TODAS",'Catálogo'!$U:$U,'Catálogo'!$Q:$Q),0))&amp;"  ·  Cód: "&amp;INDEX('Catálogo'!$A:$A,MATCH($B$3&amp;"|"&amp;195,IF($B$3="TODAS",'Catálogo'!$U:$U,'Catálogo'!$Q:$Q),0))),"")</f>
      </c>
      <c r="D200" s="42">
        <f>IFERROR(IF($D$3="Mayor",INDEX('Catálogo'!$O:$O,MATCH($B$3&amp;"|"&amp;195,IF($B$3="TODAS",'Catálogo'!$U:$U,'Catálogo'!$Q:$Q),0)),INDEX('Catálogo'!$N:$N,MATCH($B$3&amp;"|"&amp;195,IF($B$3="TODAS",'Catálogo'!$U:$U,'Catálogo'!$Q:$Q),0))),"")</f>
      </c>
    </row>
    <row r="201" ht="90.00" customHeight="1">
      <c r="A201" s="39">
        <f>IFERROR(IF(INDEX('Catálogo'!$M:$M,MATCH($B$3&amp;"|"&amp;196,IF($B$3="TODAS",'Catálogo'!$U:$U,'Catálogo'!$Q:$Q),0))="","",IMAGE(INDEX('Catálogo'!$M:$M,MATCH($B$3&amp;"|"&amp;196,IF($B$3="TODAS",'Catálogo'!$U:$U,'Catálogo'!$Q:$Q),0)),1)),"")</f>
      </c>
      <c r="B201" s="40">
        <f>IFERROR(INDEX('Catálogo'!$B:$B,MATCH($B$3&amp;"|"&amp;196,IF($B$3="TODAS",'Catálogo'!$U:$U,'Catálogo'!$Q:$Q),0)),"")</f>
      </c>
      <c r="C201" s="41">
        <f>IFERROR(IF(INDEX('Catálogo'!$R:$R,MATCH($B$3&amp;"|"&amp;196,IF($B$3="TODAS",'Catálogo'!$U:$U,'Catálogo'!$Q:$Q),0))="","Cód: "&amp;INDEX('Catálogo'!$A:$A,MATCH($B$3&amp;"|"&amp;196,IF($B$3="TODAS",'Catálogo'!$U:$U,'Catálogo'!$Q:$Q),0)),"Medidas: "&amp;INDEX('Catálogo'!$R:$R,MATCH($B$3&amp;"|"&amp;196,IF($B$3="TODAS",'Catálogo'!$U:$U,'Catálogo'!$Q:$Q),0))&amp;"  ·  Cód: "&amp;INDEX('Catálogo'!$A:$A,MATCH($B$3&amp;"|"&amp;196,IF($B$3="TODAS",'Catálogo'!$U:$U,'Catálogo'!$Q:$Q),0))),"")</f>
      </c>
      <c r="D201" s="42">
        <f>IFERROR(IF($D$3="Mayor",INDEX('Catálogo'!$O:$O,MATCH($B$3&amp;"|"&amp;196,IF($B$3="TODAS",'Catálogo'!$U:$U,'Catálogo'!$Q:$Q),0)),INDEX('Catálogo'!$N:$N,MATCH($B$3&amp;"|"&amp;196,IF($B$3="TODAS",'Catálogo'!$U:$U,'Catálogo'!$Q:$Q),0))),"")</f>
      </c>
    </row>
    <row r="202" ht="90.00" customHeight="1">
      <c r="A202" s="39">
        <f>IFERROR(IF(INDEX('Catálogo'!$M:$M,MATCH($B$3&amp;"|"&amp;197,IF($B$3="TODAS",'Catálogo'!$U:$U,'Catálogo'!$Q:$Q),0))="","",IMAGE(INDEX('Catálogo'!$M:$M,MATCH($B$3&amp;"|"&amp;197,IF($B$3="TODAS",'Catálogo'!$U:$U,'Catálogo'!$Q:$Q),0)),1)),"")</f>
      </c>
      <c r="B202" s="40">
        <f>IFERROR(INDEX('Catálogo'!$B:$B,MATCH($B$3&amp;"|"&amp;197,IF($B$3="TODAS",'Catálogo'!$U:$U,'Catálogo'!$Q:$Q),0)),"")</f>
      </c>
      <c r="C202" s="41">
        <f>IFERROR(IF(INDEX('Catálogo'!$R:$R,MATCH($B$3&amp;"|"&amp;197,IF($B$3="TODAS",'Catálogo'!$U:$U,'Catálogo'!$Q:$Q),0))="","Cód: "&amp;INDEX('Catálogo'!$A:$A,MATCH($B$3&amp;"|"&amp;197,IF($B$3="TODAS",'Catálogo'!$U:$U,'Catálogo'!$Q:$Q),0)),"Medidas: "&amp;INDEX('Catálogo'!$R:$R,MATCH($B$3&amp;"|"&amp;197,IF($B$3="TODAS",'Catálogo'!$U:$U,'Catálogo'!$Q:$Q),0))&amp;"  ·  Cód: "&amp;INDEX('Catálogo'!$A:$A,MATCH($B$3&amp;"|"&amp;197,IF($B$3="TODAS",'Catálogo'!$U:$U,'Catálogo'!$Q:$Q),0))),"")</f>
      </c>
      <c r="D202" s="42">
        <f>IFERROR(IF($D$3="Mayor",INDEX('Catálogo'!$O:$O,MATCH($B$3&amp;"|"&amp;197,IF($B$3="TODAS",'Catálogo'!$U:$U,'Catálogo'!$Q:$Q),0)),INDEX('Catálogo'!$N:$N,MATCH($B$3&amp;"|"&amp;197,IF($B$3="TODAS",'Catálogo'!$U:$U,'Catálogo'!$Q:$Q),0))),"")</f>
      </c>
    </row>
    <row r="203" ht="90.00" customHeight="1">
      <c r="A203" s="39">
        <f>IFERROR(IF(INDEX('Catálogo'!$M:$M,MATCH($B$3&amp;"|"&amp;198,IF($B$3="TODAS",'Catálogo'!$U:$U,'Catálogo'!$Q:$Q),0))="","",IMAGE(INDEX('Catálogo'!$M:$M,MATCH($B$3&amp;"|"&amp;198,IF($B$3="TODAS",'Catálogo'!$U:$U,'Catálogo'!$Q:$Q),0)),1)),"")</f>
      </c>
      <c r="B203" s="40">
        <f>IFERROR(INDEX('Catálogo'!$B:$B,MATCH($B$3&amp;"|"&amp;198,IF($B$3="TODAS",'Catálogo'!$U:$U,'Catálogo'!$Q:$Q),0)),"")</f>
      </c>
      <c r="C203" s="41">
        <f>IFERROR(IF(INDEX('Catálogo'!$R:$R,MATCH($B$3&amp;"|"&amp;198,IF($B$3="TODAS",'Catálogo'!$U:$U,'Catálogo'!$Q:$Q),0))="","Cód: "&amp;INDEX('Catálogo'!$A:$A,MATCH($B$3&amp;"|"&amp;198,IF($B$3="TODAS",'Catálogo'!$U:$U,'Catálogo'!$Q:$Q),0)),"Medidas: "&amp;INDEX('Catálogo'!$R:$R,MATCH($B$3&amp;"|"&amp;198,IF($B$3="TODAS",'Catálogo'!$U:$U,'Catálogo'!$Q:$Q),0))&amp;"  ·  Cód: "&amp;INDEX('Catálogo'!$A:$A,MATCH($B$3&amp;"|"&amp;198,IF($B$3="TODAS",'Catálogo'!$U:$U,'Catálogo'!$Q:$Q),0))),"")</f>
      </c>
      <c r="D203" s="42">
        <f>IFERROR(IF($D$3="Mayor",INDEX('Catálogo'!$O:$O,MATCH($B$3&amp;"|"&amp;198,IF($B$3="TODAS",'Catálogo'!$U:$U,'Catálogo'!$Q:$Q),0)),INDEX('Catálogo'!$N:$N,MATCH($B$3&amp;"|"&amp;198,IF($B$3="TODAS",'Catálogo'!$U:$U,'Catálogo'!$Q:$Q),0))),"")</f>
      </c>
    </row>
    <row r="204" ht="90.00" customHeight="1">
      <c r="A204" s="39">
        <f>IFERROR(IF(INDEX('Catálogo'!$M:$M,MATCH($B$3&amp;"|"&amp;199,IF($B$3="TODAS",'Catálogo'!$U:$U,'Catálogo'!$Q:$Q),0))="","",IMAGE(INDEX('Catálogo'!$M:$M,MATCH($B$3&amp;"|"&amp;199,IF($B$3="TODAS",'Catálogo'!$U:$U,'Catálogo'!$Q:$Q),0)),1)),"")</f>
      </c>
      <c r="B204" s="40">
        <f>IFERROR(INDEX('Catálogo'!$B:$B,MATCH($B$3&amp;"|"&amp;199,IF($B$3="TODAS",'Catálogo'!$U:$U,'Catálogo'!$Q:$Q),0)),"")</f>
      </c>
      <c r="C204" s="41">
        <f>IFERROR(IF(INDEX('Catálogo'!$R:$R,MATCH($B$3&amp;"|"&amp;199,IF($B$3="TODAS",'Catálogo'!$U:$U,'Catálogo'!$Q:$Q),0))="","Cód: "&amp;INDEX('Catálogo'!$A:$A,MATCH($B$3&amp;"|"&amp;199,IF($B$3="TODAS",'Catálogo'!$U:$U,'Catálogo'!$Q:$Q),0)),"Medidas: "&amp;INDEX('Catálogo'!$R:$R,MATCH($B$3&amp;"|"&amp;199,IF($B$3="TODAS",'Catálogo'!$U:$U,'Catálogo'!$Q:$Q),0))&amp;"  ·  Cód: "&amp;INDEX('Catálogo'!$A:$A,MATCH($B$3&amp;"|"&amp;199,IF($B$3="TODAS",'Catálogo'!$U:$U,'Catálogo'!$Q:$Q),0))),"")</f>
      </c>
      <c r="D204" s="42">
        <f>IFERROR(IF($D$3="Mayor",INDEX('Catálogo'!$O:$O,MATCH($B$3&amp;"|"&amp;199,IF($B$3="TODAS",'Catálogo'!$U:$U,'Catálogo'!$Q:$Q),0)),INDEX('Catálogo'!$N:$N,MATCH($B$3&amp;"|"&amp;199,IF($B$3="TODAS",'Catálogo'!$U:$U,'Catálogo'!$Q:$Q),0))),"")</f>
      </c>
    </row>
    <row r="205" ht="90.00" customHeight="1">
      <c r="A205" s="39">
        <f>IFERROR(IF(INDEX('Catálogo'!$M:$M,MATCH($B$3&amp;"|"&amp;200,IF($B$3="TODAS",'Catálogo'!$U:$U,'Catálogo'!$Q:$Q),0))="","",IMAGE(INDEX('Catálogo'!$M:$M,MATCH($B$3&amp;"|"&amp;200,IF($B$3="TODAS",'Catálogo'!$U:$U,'Catálogo'!$Q:$Q),0)),1)),"")</f>
      </c>
      <c r="B205" s="40">
        <f>IFERROR(INDEX('Catálogo'!$B:$B,MATCH($B$3&amp;"|"&amp;200,IF($B$3="TODAS",'Catálogo'!$U:$U,'Catálogo'!$Q:$Q),0)),"")</f>
      </c>
      <c r="C205" s="41">
        <f>IFERROR(IF(INDEX('Catálogo'!$R:$R,MATCH($B$3&amp;"|"&amp;200,IF($B$3="TODAS",'Catálogo'!$U:$U,'Catálogo'!$Q:$Q),0))="","Cód: "&amp;INDEX('Catálogo'!$A:$A,MATCH($B$3&amp;"|"&amp;200,IF($B$3="TODAS",'Catálogo'!$U:$U,'Catálogo'!$Q:$Q),0)),"Medidas: "&amp;INDEX('Catálogo'!$R:$R,MATCH($B$3&amp;"|"&amp;200,IF($B$3="TODAS",'Catálogo'!$U:$U,'Catálogo'!$Q:$Q),0))&amp;"  ·  Cód: "&amp;INDEX('Catálogo'!$A:$A,MATCH($B$3&amp;"|"&amp;200,IF($B$3="TODAS",'Catálogo'!$U:$U,'Catálogo'!$Q:$Q),0))),"")</f>
      </c>
      <c r="D205" s="42">
        <f>IFERROR(IF($D$3="Mayor",INDEX('Catálogo'!$O:$O,MATCH($B$3&amp;"|"&amp;200,IF($B$3="TODAS",'Catálogo'!$U:$U,'Catálogo'!$Q:$Q),0)),INDEX('Catálogo'!$N:$N,MATCH($B$3&amp;"|"&amp;200,IF($B$3="TODAS",'Catálogo'!$U:$U,'Catálogo'!$Q:$Q),0))),"")</f>
      </c>
    </row>
  </sheetData>
  <mergeCells count="2">
    <mergeCell ref="A1:D1"/>
    <mergeCell ref="A2:D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0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Medios de pago / Tarjetas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Transferencia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Tarjeta Visa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Tarjeta Mastercard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Tarjeta Crédito 1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Tarjeta Crédito 2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Nequi / Daviplata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Crédito proveedor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</row>
    <row r="11">
      <c r="A11" s="7" t="inlineStr">
        <is>
          <t xml:space="preserve">Costo fijo: envío (Mary)</t>
        </is>
      </c>
      <c r="B11" s="22">
        <v>1000</v>
      </c>
      <c r="D11" s="20"/>
      <c r="E11" s="21"/>
      <c r="L11" s="9">
        <f>IF($D10="","",$D10)</f>
      </c>
      <c r="N11" s="20"/>
    </row>
    <row r="12">
      <c r="A12" s="7" t="inlineStr">
        <is>
          <t xml:space="preserve">Costo fijo: bolsa y etiqueta</t>
        </is>
      </c>
      <c r="B12" s="22">
        <v>1000</v>
      </c>
      <c r="D12" s="20"/>
      <c r="E12" s="21"/>
      <c r="L12" s="9">
        <f>IF($D11="","",$D11)</f>
      </c>
      <c r="N12" s="20"/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</row>
    <row r="16">
      <c r="D16" s="20"/>
      <c r="E16" s="21"/>
      <c r="L16" s="9">
        <f>IF($D15="","",$D15)</f>
      </c>
      <c r="N16" s="20"/>
    </row>
    <row r="17">
      <c r="D17" s="20"/>
      <c r="E17" s="21"/>
      <c r="L17" s="9">
        <f>IF($D16="","",$D16)</f>
      </c>
      <c r="N17" s="20"/>
    </row>
    <row r="18">
      <c r="D18" s="20"/>
      <c r="E18" s="21"/>
      <c r="L18" s="9">
        <f>IF($D17="","",$D17)</f>
      </c>
      <c r="N18" s="20"/>
    </row>
    <row r="19">
      <c r="D19" s="20"/>
      <c r="E19" s="21"/>
      <c r="L19" s="9">
        <f>IF($D18="","",$D18)</f>
      </c>
      <c r="N19" s="20"/>
    </row>
    <row r="20">
      <c r="D20" s="20"/>
      <c r="E20" s="21"/>
      <c r="L20" s="9">
        <f>IF($D19="","",$D19)</f>
      </c>
      <c r="N20" s="20"/>
    </row>
    <row r="21">
      <c r="D21" s="20"/>
      <c r="E21" s="21"/>
      <c r="L21" s="9">
        <f>IF($D20="","",$D20)</f>
      </c>
    </row>
    <row r="22">
      <c r="D22" s="20"/>
      <c r="E22" s="21"/>
      <c r="L22" s="9">
        <f>IF($D21="","",$D21)</f>
      </c>
    </row>
    <row r="23">
      <c r="D23" s="20"/>
      <c r="E23" s="21"/>
      <c r="L23" s="9">
        <f>IF($D22="","",$D22)</f>
      </c>
    </row>
    <row r="24">
      <c r="D24" s="20"/>
      <c r="E24" s="21"/>
      <c r="L24" s="9">
        <f>IF($D23="","",$D23)</f>
      </c>
    </row>
    <row r="25">
      <c r="D25" s="20"/>
      <c r="E25" s="21"/>
      <c r="L25" s="9">
        <f>IF($D24="","",$D24)</f>
      </c>
    </row>
    <row r="26">
      <c r="D26" s="20"/>
      <c r="E26" s="21"/>
      <c r="L26" s="9">
        <f>IF($D25="","",$D25)</f>
      </c>
    </row>
    <row r="27">
      <c r="D27" s="20"/>
      <c r="E27" s="21"/>
      <c r="L27" s="9">
        <f>IF($D26="","",$D26)</f>
      </c>
    </row>
    <row r="28">
      <c r="D28" s="20"/>
      <c r="E28" s="21"/>
      <c r="L28" s="9">
        <f>IF($D27="","",$D27)</f>
      </c>
    </row>
    <row r="29">
      <c r="D29" s="20"/>
      <c r="E29" s="21"/>
      <c r="L29" s="9">
        <f>IF($D28="","",$D28)</f>
      </c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